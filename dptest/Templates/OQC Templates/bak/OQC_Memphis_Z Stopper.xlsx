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Users\Winter Test\Desktop\oqc templates\"/>
    </mc:Choice>
  </mc:AlternateContent>
  <xr:revisionPtr revIDLastSave="0" documentId="8_{0C773D29-9A74-4FD1-8807-F6E01AAC4FDF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16" r:id="rId1"/>
    <sheet name="1.CAV기존" sheetId="7" state="hidden" r:id="rId2"/>
    <sheet name="2.CAV기존" sheetId="1" state="hidden" r:id="rId3"/>
    <sheet name="3.CAV기존" sheetId="6" state="hidden" r:id="rId4"/>
    <sheet name="4.CAV기존" sheetId="8" state="hidden" r:id="rId5"/>
    <sheet name="OOC" sheetId="15" state="hidden" r:id="rId6"/>
    <sheet name="Drawing" sheetId="2" state="hidden" r:id="rId7"/>
    <sheet name="Setup" sheetId="3" state="hidden" r:id="rId8"/>
    <sheet name="Revision" sheetId="4" state="hidden" r:id="rId9"/>
  </sheets>
  <definedNames>
    <definedName name="__123Graph_B" localSheetId="0" hidden="1">#REF!</definedName>
    <definedName name="__123Graph_B" hidden="1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1">'1.CAV기존'!$R$6</definedName>
    <definedName name="CMMVersion" localSheetId="3">'3.CAV기존'!$R$6</definedName>
    <definedName name="CMMVersion" localSheetId="4">'4.CAV기존'!$R$6</definedName>
    <definedName name="CMMVersion" localSheetId="5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localSheetId="5">#REF!</definedName>
    <definedName name="dim_types" localSheetId="5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localSheetId="5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localSheetId="5">#REF!</definedName>
    <definedName name="JJUHG" localSheetId="0" hidden="1">{#N/A,#N/A,FALSE,"원가검토서"}</definedName>
    <definedName name="JJUHG" hidden="1">{#N/A,#N/A,FALSE,"원가검토서"}</definedName>
    <definedName name="on" localSheetId="0" hidden="1">#REF!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localSheetId="0" hidden="1">#REF!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6" l="1" a="1"/>
  <c r="AK2" i="16" s="1"/>
  <c r="CE10" i="16" a="1"/>
  <c r="CE10" i="16" s="1"/>
  <c r="AK5" i="16" a="1"/>
  <c r="AK5" i="16" s="1"/>
  <c r="AK4" i="16"/>
  <c r="AK4" i="16" a="1"/>
  <c r="BU40" i="16" l="1" a="1"/>
  <c r="BU40" i="16" s="1"/>
  <c r="BY40" i="16" s="1" a="1"/>
  <c r="BY40" i="16" s="1"/>
  <c r="CD39" i="16"/>
  <c r="CC39" i="16"/>
  <c r="CB39" i="16"/>
  <c r="CA39" i="16"/>
  <c r="BU39" i="16" a="1"/>
  <c r="BU39" i="16" s="1"/>
  <c r="BY39" i="16" s="1" a="1"/>
  <c r="BY39" i="16" s="1"/>
  <c r="CD38" i="16"/>
  <c r="CC38" i="16"/>
  <c r="CB38" i="16"/>
  <c r="CA38" i="16"/>
  <c r="BU38" i="16" a="1"/>
  <c r="BU38" i="16" s="1"/>
  <c r="BY38" i="16" s="1" a="1"/>
  <c r="BY38" i="16" s="1"/>
  <c r="CD37" i="16"/>
  <c r="CC37" i="16"/>
  <c r="CB37" i="16"/>
  <c r="CA37" i="16"/>
  <c r="BU37" i="16" a="1"/>
  <c r="BU37" i="16" s="1"/>
  <c r="BY37" i="16" s="1" a="1"/>
  <c r="BY37" i="16" s="1"/>
  <c r="CD36" i="16"/>
  <c r="CC36" i="16"/>
  <c r="CB36" i="16"/>
  <c r="CA36" i="16"/>
  <c r="BU36" i="16" a="1"/>
  <c r="BU36" i="16" s="1"/>
  <c r="BY36" i="16" s="1" a="1"/>
  <c r="BY36" i="16" s="1"/>
  <c r="CD35" i="16"/>
  <c r="CC35" i="16"/>
  <c r="CB35" i="16"/>
  <c r="CA35" i="16"/>
  <c r="BU35" i="16" a="1"/>
  <c r="BU35" i="16" s="1"/>
  <c r="BY35" i="16" s="1" a="1"/>
  <c r="BY35" i="16" s="1"/>
  <c r="CD34" i="16"/>
  <c r="CC34" i="16"/>
  <c r="CB34" i="16"/>
  <c r="CA34" i="16"/>
  <c r="BU34" i="16" a="1"/>
  <c r="BU34" i="16" s="1"/>
  <c r="BY34" i="16" s="1" a="1"/>
  <c r="BY34" i="16" s="1"/>
  <c r="CD33" i="16"/>
  <c r="CC33" i="16"/>
  <c r="CB33" i="16"/>
  <c r="CA33" i="16"/>
  <c r="BU33" i="16" a="1"/>
  <c r="BU33" i="16" s="1"/>
  <c r="BY33" i="16" s="1" a="1"/>
  <c r="BY33" i="16" s="1"/>
  <c r="CD32" i="16"/>
  <c r="CC32" i="16"/>
  <c r="CB32" i="16"/>
  <c r="CA32" i="16"/>
  <c r="BU32" i="16" a="1"/>
  <c r="BU32" i="16" s="1"/>
  <c r="BY32" i="16" s="1" a="1"/>
  <c r="BY32" i="16" s="1"/>
  <c r="CD31" i="16"/>
  <c r="CC31" i="16"/>
  <c r="CB31" i="16"/>
  <c r="CA31" i="16"/>
  <c r="BU31" i="16" a="1"/>
  <c r="BU31" i="16" s="1"/>
  <c r="BY31" i="16" s="1" a="1"/>
  <c r="BY31" i="16" s="1"/>
  <c r="CD30" i="16"/>
  <c r="CC30" i="16"/>
  <c r="CB30" i="16"/>
  <c r="CA30" i="16"/>
  <c r="BU30" i="16" a="1"/>
  <c r="BU30" i="16" s="1"/>
  <c r="BY30" i="16" s="1" a="1"/>
  <c r="BY30" i="16" s="1"/>
  <c r="CD29" i="16"/>
  <c r="CC29" i="16"/>
  <c r="CB29" i="16"/>
  <c r="CA29" i="16"/>
  <c r="BU29" i="16" a="1"/>
  <c r="BU29" i="16" s="1"/>
  <c r="BY29" i="16" s="1" a="1"/>
  <c r="BY29" i="16" s="1"/>
  <c r="CD28" i="16"/>
  <c r="CC28" i="16"/>
  <c r="CB28" i="16"/>
  <c r="CA28" i="16"/>
  <c r="BU28" i="16" a="1"/>
  <c r="BU28" i="16" s="1"/>
  <c r="BY28" i="16" s="1" a="1"/>
  <c r="BY28" i="16" s="1"/>
  <c r="CD27" i="16"/>
  <c r="CC27" i="16"/>
  <c r="CB27" i="16"/>
  <c r="CA27" i="16"/>
  <c r="BU27" i="16" a="1"/>
  <c r="BU27" i="16" s="1"/>
  <c r="BY27" i="16" s="1" a="1"/>
  <c r="BY27" i="16" s="1"/>
  <c r="CD26" i="16"/>
  <c r="CC26" i="16"/>
  <c r="CB26" i="16"/>
  <c r="CA26" i="16"/>
  <c r="BU26" i="16" a="1"/>
  <c r="BU26" i="16" s="1"/>
  <c r="BY26" i="16" s="1" a="1"/>
  <c r="BY26" i="16" s="1"/>
  <c r="CD25" i="16"/>
  <c r="CC25" i="16"/>
  <c r="CB25" i="16"/>
  <c r="CA25" i="16"/>
  <c r="BU25" i="16" a="1"/>
  <c r="BU25" i="16" s="1"/>
  <c r="BY25" i="16" s="1" a="1"/>
  <c r="BY25" i="16" s="1"/>
  <c r="CD24" i="16"/>
  <c r="CC24" i="16"/>
  <c r="CB24" i="16"/>
  <c r="CA24" i="16"/>
  <c r="BU24" i="16" a="1"/>
  <c r="BU24" i="16" s="1"/>
  <c r="BY24" i="16" s="1" a="1"/>
  <c r="BY24" i="16" s="1"/>
  <c r="CD23" i="16"/>
  <c r="CC23" i="16"/>
  <c r="CB23" i="16"/>
  <c r="CA23" i="16"/>
  <c r="BU23" i="16" a="1"/>
  <c r="BU23" i="16" s="1"/>
  <c r="BY23" i="16" s="1" a="1"/>
  <c r="BY23" i="16" s="1"/>
  <c r="CD22" i="16"/>
  <c r="CC22" i="16"/>
  <c r="CB22" i="16"/>
  <c r="CA22" i="16"/>
  <c r="BU22" i="16" a="1"/>
  <c r="BU22" i="16" s="1"/>
  <c r="BY22" i="16" s="1" a="1"/>
  <c r="BY22" i="16" s="1"/>
  <c r="CD21" i="16"/>
  <c r="CC21" i="16"/>
  <c r="CB21" i="16"/>
  <c r="CA21" i="16"/>
  <c r="BU21" i="16" a="1"/>
  <c r="BU21" i="16" s="1"/>
  <c r="BY21" i="16" s="1" a="1"/>
  <c r="BY21" i="16" s="1"/>
  <c r="CD20" i="16"/>
  <c r="CC20" i="16"/>
  <c r="CB20" i="16"/>
  <c r="CA20" i="16"/>
  <c r="BU20" i="16" a="1"/>
  <c r="BU20" i="16" s="1"/>
  <c r="BY20" i="16" s="1" a="1"/>
  <c r="BY20" i="16" s="1"/>
  <c r="CD19" i="16"/>
  <c r="CC19" i="16"/>
  <c r="CB19" i="16"/>
  <c r="CA19" i="16"/>
  <c r="BU19" i="16" a="1"/>
  <c r="BU19" i="16" s="1"/>
  <c r="BY19" i="16" s="1" a="1"/>
  <c r="BY19" i="16" s="1"/>
  <c r="BS10" i="16" a="1"/>
  <c r="BS10" i="16" s="1"/>
  <c r="BT10" i="16" s="1" a="1"/>
  <c r="BT10" i="16" s="1"/>
  <c r="BQ10" i="16" a="1"/>
  <c r="BQ10" i="16" s="1"/>
  <c r="BR10" i="16" s="1" a="1"/>
  <c r="BR10" i="16" s="1"/>
  <c r="BU17" i="16" l="1" a="1"/>
  <c r="BU17" i="16" s="1"/>
  <c r="BU14" i="16" a="1"/>
  <c r="BU14" i="16" s="1"/>
  <c r="BU11" i="16" a="1"/>
  <c r="BU11" i="16" s="1"/>
  <c r="BU16" i="16" a="1"/>
  <c r="BU16" i="16" s="1"/>
  <c r="BU13" i="16" a="1"/>
  <c r="BU13" i="16" s="1"/>
  <c r="BU18" i="16" a="1"/>
  <c r="BU18" i="16" s="1"/>
  <c r="BU15" i="16" a="1"/>
  <c r="BU15" i="16" s="1"/>
  <c r="BU12" i="16" a="1"/>
  <c r="BU12" i="16" s="1"/>
  <c r="BU10" i="16" a="1"/>
  <c r="BU10" i="16" s="1"/>
  <c r="BY10" i="16" s="1" a="1"/>
  <c r="BY10" i="16" s="1"/>
  <c r="BY12" i="16" l="1" a="1"/>
  <c r="BY12" i="16" s="1"/>
  <c r="CD12" i="16"/>
  <c r="CC12" i="16"/>
  <c r="CB12" i="16"/>
  <c r="CA12" i="16"/>
  <c r="BY15" i="16" a="1"/>
  <c r="BY15" i="16" s="1"/>
  <c r="CD15" i="16"/>
  <c r="CC15" i="16"/>
  <c r="CB15" i="16"/>
  <c r="CA15" i="16"/>
  <c r="BY13" i="16" a="1"/>
  <c r="BY13" i="16" s="1"/>
  <c r="CD13" i="16"/>
  <c r="CC13" i="16"/>
  <c r="CB13" i="16"/>
  <c r="CA13" i="16"/>
  <c r="BY16" i="16" a="1"/>
  <c r="BY16" i="16" s="1"/>
  <c r="CD16" i="16"/>
  <c r="CC16" i="16"/>
  <c r="CB16" i="16"/>
  <c r="CA16" i="16"/>
  <c r="BY11" i="16" a="1"/>
  <c r="BY11" i="16" s="1"/>
  <c r="CA11" i="16"/>
  <c r="CB11" i="16"/>
  <c r="CD11" i="16"/>
  <c r="CC11" i="16"/>
  <c r="BY18" i="16" a="1"/>
  <c r="BY18" i="16" s="1"/>
  <c r="CD18" i="16"/>
  <c r="CC18" i="16"/>
  <c r="CB18" i="16"/>
  <c r="CA18" i="16"/>
  <c r="BY14" i="16" a="1"/>
  <c r="BY14" i="16" s="1"/>
  <c r="CA14" i="16"/>
  <c r="CB14" i="16"/>
  <c r="CD14" i="16"/>
  <c r="CC14" i="16"/>
  <c r="BY17" i="16" a="1"/>
  <c r="BY17" i="16" s="1"/>
  <c r="CA17" i="16"/>
  <c r="CD17" i="16"/>
  <c r="CC17" i="16"/>
  <c r="CB17" i="16"/>
  <c r="CD10" i="16"/>
  <c r="CC10" i="16"/>
  <c r="CA10" i="16"/>
  <c r="CB10" i="16"/>
  <c r="AG7" i="15" l="1"/>
  <c r="AB7" i="15"/>
  <c r="W7" i="15"/>
  <c r="R7" i="15"/>
  <c r="S228" i="15" l="1"/>
  <c r="U228" i="15" s="1"/>
  <c r="S12" i="15"/>
  <c r="U12" i="15" s="1"/>
  <c r="S20" i="15"/>
  <c r="U20" i="15" s="1"/>
  <c r="S30" i="15"/>
  <c r="U30" i="15" s="1"/>
  <c r="S38" i="15"/>
  <c r="U38" i="15" s="1"/>
  <c r="S48" i="15"/>
  <c r="U48" i="15" s="1"/>
  <c r="S56" i="15"/>
  <c r="U56" i="15" s="1"/>
  <c r="S66" i="15"/>
  <c r="U66" i="15" s="1"/>
  <c r="S74" i="15"/>
  <c r="U74" i="15" s="1"/>
  <c r="S83" i="15"/>
  <c r="U83" i="15" s="1"/>
  <c r="S92" i="15"/>
  <c r="U92" i="15" s="1"/>
  <c r="S24" i="15"/>
  <c r="U24" i="15" s="1"/>
  <c r="S26" i="15"/>
  <c r="U26" i="15" s="1"/>
  <c r="T30" i="15"/>
  <c r="V30" i="15" s="1"/>
  <c r="S32" i="15"/>
  <c r="U32" i="15" s="1"/>
  <c r="S34" i="15"/>
  <c r="U34" i="15" s="1"/>
  <c r="T38" i="15"/>
  <c r="V38" i="15" s="1"/>
  <c r="T12" i="15"/>
  <c r="V12" i="15" s="1"/>
  <c r="S14" i="15"/>
  <c r="U14" i="15" s="1"/>
  <c r="S16" i="15"/>
  <c r="U16" i="15" s="1"/>
  <c r="T20" i="15"/>
  <c r="V20" i="15" s="1"/>
  <c r="S22" i="15"/>
  <c r="U22" i="15" s="1"/>
  <c r="T14" i="15"/>
  <c r="V14" i="15" s="1"/>
  <c r="T16" i="15"/>
  <c r="V16" i="15" s="1"/>
  <c r="S18" i="15"/>
  <c r="U18" i="15" s="1"/>
  <c r="T22" i="15"/>
  <c r="V22" i="15" s="1"/>
  <c r="T24" i="15"/>
  <c r="V24" i="15" s="1"/>
  <c r="T26" i="15"/>
  <c r="V26" i="15" s="1"/>
  <c r="S28" i="15"/>
  <c r="U28" i="15" s="1"/>
  <c r="T32" i="15"/>
  <c r="V32" i="15" s="1"/>
  <c r="T34" i="15"/>
  <c r="V34" i="15" s="1"/>
  <c r="S36" i="15"/>
  <c r="U36" i="15" s="1"/>
  <c r="T40" i="15"/>
  <c r="V40" i="15" s="1"/>
  <c r="T42" i="15"/>
  <c r="V42" i="15" s="1"/>
  <c r="T44" i="15"/>
  <c r="V44" i="15" s="1"/>
  <c r="S46" i="15"/>
  <c r="U46" i="15" s="1"/>
  <c r="T50" i="15"/>
  <c r="V50" i="15" s="1"/>
  <c r="T52" i="15"/>
  <c r="V52" i="15" s="1"/>
  <c r="S54" i="15"/>
  <c r="U54" i="15" s="1"/>
  <c r="T58" i="15"/>
  <c r="V58" i="15" s="1"/>
  <c r="T60" i="15"/>
  <c r="V60" i="15" s="1"/>
  <c r="T62" i="15"/>
  <c r="V62" i="15" s="1"/>
  <c r="S64" i="15"/>
  <c r="U64" i="15" s="1"/>
  <c r="T68" i="15"/>
  <c r="V68" i="15" s="1"/>
  <c r="T70" i="15"/>
  <c r="V70" i="15" s="1"/>
  <c r="S72" i="15"/>
  <c r="U72" i="15" s="1"/>
  <c r="T76" i="15"/>
  <c r="V76" i="15" s="1"/>
  <c r="S78" i="15"/>
  <c r="U78" i="15" s="1"/>
  <c r="T85" i="15"/>
  <c r="V85" i="15" s="1"/>
  <c r="S87" i="15"/>
  <c r="U87" i="15" s="1"/>
  <c r="T94" i="15"/>
  <c r="V94" i="15" s="1"/>
  <c r="S96" i="15"/>
  <c r="U96" i="15" s="1"/>
  <c r="T18" i="15"/>
  <c r="V18" i="15" s="1"/>
  <c r="T28" i="15"/>
  <c r="V28" i="15" s="1"/>
  <c r="T36" i="15"/>
  <c r="V36" i="15" s="1"/>
  <c r="T46" i="15"/>
  <c r="V46" i="15" s="1"/>
  <c r="T54" i="15"/>
  <c r="V54" i="15" s="1"/>
  <c r="T64" i="15"/>
  <c r="V64" i="15" s="1"/>
  <c r="T72" i="15"/>
  <c r="V72" i="15" s="1"/>
  <c r="T78" i="15"/>
  <c r="V78" i="15" s="1"/>
  <c r="T87" i="15"/>
  <c r="V87" i="15" s="1"/>
  <c r="T96" i="15"/>
  <c r="V96" i="15" s="1"/>
  <c r="S80" i="15"/>
  <c r="U80" i="15" s="1"/>
  <c r="S89" i="15"/>
  <c r="U89" i="15" s="1"/>
  <c r="S98" i="15"/>
  <c r="U98" i="15" s="1"/>
  <c r="T80" i="15"/>
  <c r="V80" i="15" s="1"/>
  <c r="S82" i="15"/>
  <c r="U82" i="15" s="1"/>
  <c r="T89" i="15"/>
  <c r="V89" i="15" s="1"/>
  <c r="S91" i="15"/>
  <c r="U91" i="15" s="1"/>
  <c r="T98" i="15"/>
  <c r="V98" i="15" s="1"/>
  <c r="S100" i="15"/>
  <c r="U100" i="15" s="1"/>
  <c r="S21" i="15"/>
  <c r="U21" i="15" s="1"/>
  <c r="S29" i="15"/>
  <c r="U29" i="15" s="1"/>
  <c r="S39" i="15"/>
  <c r="U39" i="15" s="1"/>
  <c r="S47" i="15"/>
  <c r="U47" i="15" s="1"/>
  <c r="S57" i="15"/>
  <c r="U57" i="15" s="1"/>
  <c r="S65" i="15"/>
  <c r="U65" i="15" s="1"/>
  <c r="S75" i="15"/>
  <c r="U75" i="15" s="1"/>
  <c r="T82" i="15"/>
  <c r="V82" i="15" s="1"/>
  <c r="S84" i="15"/>
  <c r="U84" i="15" s="1"/>
  <c r="T91" i="15"/>
  <c r="V91" i="15" s="1"/>
  <c r="S93" i="15"/>
  <c r="U93" i="15" s="1"/>
  <c r="T100" i="15"/>
  <c r="V100" i="15" s="1"/>
  <c r="S13" i="15"/>
  <c r="U13" i="15" s="1"/>
  <c r="S15" i="15"/>
  <c r="U15" i="15" s="1"/>
  <c r="S17" i="15"/>
  <c r="U17" i="15" s="1"/>
  <c r="T21" i="15"/>
  <c r="V21" i="15" s="1"/>
  <c r="S23" i="15"/>
  <c r="U23" i="15" s="1"/>
  <c r="S25" i="15"/>
  <c r="U25" i="15" s="1"/>
  <c r="T29" i="15"/>
  <c r="V29" i="15" s="1"/>
  <c r="S31" i="15"/>
  <c r="U31" i="15" s="1"/>
  <c r="S33" i="15"/>
  <c r="U33" i="15" s="1"/>
  <c r="S35" i="15"/>
  <c r="U35" i="15" s="1"/>
  <c r="T39" i="15"/>
  <c r="V39" i="15" s="1"/>
  <c r="S41" i="15"/>
  <c r="U41" i="15" s="1"/>
  <c r="S43" i="15"/>
  <c r="U43" i="15" s="1"/>
  <c r="T47" i="15"/>
  <c r="V47" i="15" s="1"/>
  <c r="S49" i="15"/>
  <c r="U49" i="15" s="1"/>
  <c r="S51" i="15"/>
  <c r="U51" i="15" s="1"/>
  <c r="S53" i="15"/>
  <c r="U53" i="15" s="1"/>
  <c r="T57" i="15"/>
  <c r="V57" i="15" s="1"/>
  <c r="S59" i="15"/>
  <c r="U59" i="15" s="1"/>
  <c r="S61" i="15"/>
  <c r="U61" i="15" s="1"/>
  <c r="T65" i="15"/>
  <c r="V65" i="15" s="1"/>
  <c r="S67" i="15"/>
  <c r="U67" i="15" s="1"/>
  <c r="S69" i="15"/>
  <c r="U69" i="15" s="1"/>
  <c r="S71" i="15"/>
  <c r="U71" i="15" s="1"/>
  <c r="T75" i="15"/>
  <c r="V75" i="15" s="1"/>
  <c r="T84" i="15"/>
  <c r="V84" i="15" s="1"/>
  <c r="T93" i="15"/>
  <c r="V93" i="15" s="1"/>
  <c r="T25" i="15"/>
  <c r="V25" i="15" s="1"/>
  <c r="S27" i="15"/>
  <c r="U27" i="15" s="1"/>
  <c r="T31" i="15"/>
  <c r="V31" i="15" s="1"/>
  <c r="T33" i="15"/>
  <c r="V33" i="15" s="1"/>
  <c r="T35" i="15"/>
  <c r="V35" i="15" s="1"/>
  <c r="S37" i="15"/>
  <c r="U37" i="15" s="1"/>
  <c r="T41" i="15"/>
  <c r="V41" i="15" s="1"/>
  <c r="T43" i="15"/>
  <c r="V43" i="15" s="1"/>
  <c r="S45" i="15"/>
  <c r="U45" i="15" s="1"/>
  <c r="T49" i="15"/>
  <c r="V49" i="15" s="1"/>
  <c r="T51" i="15"/>
  <c r="V51" i="15" s="1"/>
  <c r="T53" i="15"/>
  <c r="V53" i="15" s="1"/>
  <c r="T13" i="15"/>
  <c r="V13" i="15" s="1"/>
  <c r="T15" i="15"/>
  <c r="V15" i="15" s="1"/>
  <c r="T17" i="15"/>
  <c r="V17" i="15" s="1"/>
  <c r="S19" i="15"/>
  <c r="U19" i="15" s="1"/>
  <c r="T23" i="15"/>
  <c r="V23" i="15" s="1"/>
  <c r="T19" i="15"/>
  <c r="V19" i="15" s="1"/>
  <c r="T27" i="15"/>
  <c r="V27" i="15" s="1"/>
  <c r="T37" i="15"/>
  <c r="V37" i="15" s="1"/>
  <c r="T45" i="15"/>
  <c r="V45" i="15" s="1"/>
  <c r="T55" i="15"/>
  <c r="V55" i="15" s="1"/>
  <c r="T63" i="15"/>
  <c r="V63" i="15" s="1"/>
  <c r="T73" i="15"/>
  <c r="V73" i="15" s="1"/>
  <c r="T77" i="15"/>
  <c r="V77" i="15" s="1"/>
  <c r="S79" i="15"/>
  <c r="U79" i="15" s="1"/>
  <c r="T86" i="15"/>
  <c r="V86" i="15" s="1"/>
  <c r="S88" i="15"/>
  <c r="U88" i="15" s="1"/>
  <c r="T95" i="15"/>
  <c r="V95" i="15" s="1"/>
  <c r="S97" i="15"/>
  <c r="U97" i="15" s="1"/>
  <c r="T79" i="15"/>
  <c r="V79" i="15" s="1"/>
  <c r="S81" i="15"/>
  <c r="U81" i="15" s="1"/>
  <c r="T88" i="15"/>
  <c r="V88" i="15" s="1"/>
  <c r="S90" i="15"/>
  <c r="U90" i="15" s="1"/>
  <c r="T97" i="15"/>
  <c r="V97" i="15" s="1"/>
  <c r="S99" i="15"/>
  <c r="U99" i="15" s="1"/>
  <c r="T81" i="15"/>
  <c r="V81" i="15" s="1"/>
  <c r="T90" i="15"/>
  <c r="V90" i="15" s="1"/>
  <c r="T99" i="15"/>
  <c r="V99" i="15" s="1"/>
  <c r="S40" i="15"/>
  <c r="U40" i="15" s="1"/>
  <c r="T59" i="15"/>
  <c r="V59" i="15" s="1"/>
  <c r="T71" i="15"/>
  <c r="V71" i="15" s="1"/>
  <c r="S86" i="15"/>
  <c r="U86" i="15" s="1"/>
  <c r="S42" i="15"/>
  <c r="U42" i="15" s="1"/>
  <c r="S60" i="15"/>
  <c r="U60" i="15" s="1"/>
  <c r="T83" i="15"/>
  <c r="V83" i="15" s="1"/>
  <c r="S94" i="15"/>
  <c r="U94" i="15" s="1"/>
  <c r="S73" i="15"/>
  <c r="U73" i="15" s="1"/>
  <c r="S62" i="15"/>
  <c r="U62" i="15" s="1"/>
  <c r="S85" i="15"/>
  <c r="U85" i="15" s="1"/>
  <c r="S63" i="15"/>
  <c r="U63" i="15" s="1"/>
  <c r="S44" i="15"/>
  <c r="U44" i="15" s="1"/>
  <c r="T61" i="15"/>
  <c r="V61" i="15" s="1"/>
  <c r="S95" i="15"/>
  <c r="U95" i="15" s="1"/>
  <c r="T74" i="15"/>
  <c r="V74" i="15" s="1"/>
  <c r="T48" i="15"/>
  <c r="V48" i="15" s="1"/>
  <c r="S50" i="15"/>
  <c r="U50" i="15" s="1"/>
  <c r="S76" i="15"/>
  <c r="U76" i="15" s="1"/>
  <c r="S52" i="15"/>
  <c r="U52" i="15" s="1"/>
  <c r="S77" i="15"/>
  <c r="U77" i="15" s="1"/>
  <c r="T66" i="15"/>
  <c r="V66" i="15" s="1"/>
  <c r="S55" i="15"/>
  <c r="U55" i="15" s="1"/>
  <c r="T67" i="15"/>
  <c r="V67" i="15" s="1"/>
  <c r="S70" i="15"/>
  <c r="U70" i="15" s="1"/>
  <c r="T92" i="15"/>
  <c r="V92" i="15" s="1"/>
  <c r="T56" i="15"/>
  <c r="V56" i="15" s="1"/>
  <c r="S68" i="15"/>
  <c r="U68" i="15" s="1"/>
  <c r="T69" i="15"/>
  <c r="V69" i="15" s="1"/>
  <c r="S58" i="15"/>
  <c r="U58" i="15" s="1"/>
  <c r="X304" i="15"/>
  <c r="Z304" i="15" s="1"/>
  <c r="Y13" i="15"/>
  <c r="AA13" i="15" s="1"/>
  <c r="Y17" i="15"/>
  <c r="AA17" i="15" s="1"/>
  <c r="Y27" i="15"/>
  <c r="Y31" i="15"/>
  <c r="Y35" i="15"/>
  <c r="Y45" i="15"/>
  <c r="Y49" i="15"/>
  <c r="Y53" i="15"/>
  <c r="Y63" i="15"/>
  <c r="Y67" i="15"/>
  <c r="Y71" i="15"/>
  <c r="Y77" i="15"/>
  <c r="Y86" i="15"/>
  <c r="Y95" i="15"/>
  <c r="Y79" i="15"/>
  <c r="Y81" i="15"/>
  <c r="Y88" i="15"/>
  <c r="Y90" i="15"/>
  <c r="Y97" i="15"/>
  <c r="Y99" i="15"/>
  <c r="AA99" i="15" s="1"/>
  <c r="X12" i="15"/>
  <c r="Z12" i="15" s="1"/>
  <c r="X16" i="15"/>
  <c r="Z16" i="15" s="1"/>
  <c r="X20" i="15"/>
  <c r="Z20" i="15" s="1"/>
  <c r="X30" i="15"/>
  <c r="X34" i="15"/>
  <c r="X38" i="15"/>
  <c r="X48" i="15"/>
  <c r="X52" i="15"/>
  <c r="X56" i="15"/>
  <c r="X66" i="15"/>
  <c r="X70" i="15"/>
  <c r="X74" i="15"/>
  <c r="X83" i="15"/>
  <c r="X92" i="15"/>
  <c r="Y12" i="15"/>
  <c r="AA12" i="15" s="1"/>
  <c r="X14" i="15"/>
  <c r="Z14" i="15" s="1"/>
  <c r="Y16" i="15"/>
  <c r="AA16" i="15" s="1"/>
  <c r="Y20" i="15"/>
  <c r="AA20" i="15" s="1"/>
  <c r="X24" i="15"/>
  <c r="X28" i="15"/>
  <c r="Y30" i="15"/>
  <c r="X32" i="15"/>
  <c r="Y34" i="15"/>
  <c r="Y38" i="15"/>
  <c r="X42" i="15"/>
  <c r="X46" i="15"/>
  <c r="Y48" i="15"/>
  <c r="X50" i="15"/>
  <c r="Y52" i="15"/>
  <c r="Y56" i="15"/>
  <c r="X60" i="15"/>
  <c r="X64" i="15"/>
  <c r="Y66" i="15"/>
  <c r="X68" i="15"/>
  <c r="Y70" i="15"/>
  <c r="Y74" i="15"/>
  <c r="Y83" i="15"/>
  <c r="Y92" i="15"/>
  <c r="Y14" i="15"/>
  <c r="AA14" i="15" s="1"/>
  <c r="X18" i="15"/>
  <c r="Z18" i="15" s="1"/>
  <c r="X22" i="15"/>
  <c r="Y24" i="15"/>
  <c r="X26" i="15"/>
  <c r="Y28" i="15"/>
  <c r="Y32" i="15"/>
  <c r="X36" i="15"/>
  <c r="X40" i="15"/>
  <c r="Y42" i="15"/>
  <c r="X44" i="15"/>
  <c r="Y46" i="15"/>
  <c r="Y50" i="15"/>
  <c r="X54" i="15"/>
  <c r="X58" i="15"/>
  <c r="Y60" i="15"/>
  <c r="X62" i="15"/>
  <c r="Y64" i="15"/>
  <c r="Y68" i="15"/>
  <c r="X72" i="15"/>
  <c r="X76" i="15"/>
  <c r="X78" i="15"/>
  <c r="X85" i="15"/>
  <c r="X87" i="15"/>
  <c r="X94" i="15"/>
  <c r="Z94" i="15" s="1"/>
  <c r="X96" i="15"/>
  <c r="Y18" i="15"/>
  <c r="AA18" i="15" s="1"/>
  <c r="Y22" i="15"/>
  <c r="Y26" i="15"/>
  <c r="Y36" i="15"/>
  <c r="Y40" i="15"/>
  <c r="Y44" i="15"/>
  <c r="Y54" i="15"/>
  <c r="Y58" i="15"/>
  <c r="Y62" i="15"/>
  <c r="Y72" i="15"/>
  <c r="Y76" i="15"/>
  <c r="Y78" i="15"/>
  <c r="Y85" i="15"/>
  <c r="Y87" i="15"/>
  <c r="Y94" i="15"/>
  <c r="AA94" i="15" s="1"/>
  <c r="Y96" i="15"/>
  <c r="X80" i="15"/>
  <c r="X89" i="15"/>
  <c r="X98" i="15"/>
  <c r="X21" i="15"/>
  <c r="X25" i="15"/>
  <c r="X29" i="15"/>
  <c r="X39" i="15"/>
  <c r="X43" i="15"/>
  <c r="X47" i="15"/>
  <c r="X57" i="15"/>
  <c r="X61" i="15"/>
  <c r="X65" i="15"/>
  <c r="X75" i="15"/>
  <c r="X82" i="15"/>
  <c r="X84" i="15"/>
  <c r="X91" i="15"/>
  <c r="X93" i="15"/>
  <c r="X100" i="15"/>
  <c r="Z100" i="15" s="1"/>
  <c r="X15" i="15"/>
  <c r="Z15" i="15" s="1"/>
  <c r="X19" i="15"/>
  <c r="Z19" i="15" s="1"/>
  <c r="Y21" i="15"/>
  <c r="X23" i="15"/>
  <c r="Y25" i="15"/>
  <c r="Y29" i="15"/>
  <c r="X33" i="15"/>
  <c r="X37" i="15"/>
  <c r="Y39" i="15"/>
  <c r="X41" i="15"/>
  <c r="Y43" i="15"/>
  <c r="Y47" i="15"/>
  <c r="X51" i="15"/>
  <c r="X55" i="15"/>
  <c r="Y57" i="15"/>
  <c r="X59" i="15"/>
  <c r="Y61" i="15"/>
  <c r="Y65" i="15"/>
  <c r="X69" i="15"/>
  <c r="X73" i="15"/>
  <c r="Y75" i="15"/>
  <c r="Y82" i="15"/>
  <c r="Y84" i="15"/>
  <c r="Y91" i="15"/>
  <c r="Y93" i="15"/>
  <c r="Y100" i="15"/>
  <c r="AA100" i="15" s="1"/>
  <c r="X13" i="15"/>
  <c r="Z13" i="15" s="1"/>
  <c r="Y15" i="15"/>
  <c r="AA15" i="15" s="1"/>
  <c r="X17" i="15"/>
  <c r="Z17" i="15" s="1"/>
  <c r="Y19" i="15"/>
  <c r="AA19" i="15" s="1"/>
  <c r="Y23" i="15"/>
  <c r="X27" i="15"/>
  <c r="X31" i="15"/>
  <c r="Y33" i="15"/>
  <c r="X35" i="15"/>
  <c r="Y37" i="15"/>
  <c r="Y41" i="15"/>
  <c r="X45" i="15"/>
  <c r="X49" i="15"/>
  <c r="Y51" i="15"/>
  <c r="X53" i="15"/>
  <c r="Y55" i="15"/>
  <c r="Y59" i="15"/>
  <c r="X63" i="15"/>
  <c r="X67" i="15"/>
  <c r="Y69" i="15"/>
  <c r="X71" i="15"/>
  <c r="Y73" i="15"/>
  <c r="X77" i="15"/>
  <c r="X86" i="15"/>
  <c r="X95" i="15"/>
  <c r="X97" i="15"/>
  <c r="Y98" i="15"/>
  <c r="X88" i="15"/>
  <c r="X99" i="15"/>
  <c r="Z99" i="15" s="1"/>
  <c r="Y89" i="15"/>
  <c r="X79" i="15"/>
  <c r="X90" i="15"/>
  <c r="X81" i="15"/>
  <c r="Y80" i="15"/>
  <c r="AH247" i="15"/>
  <c r="AJ247" i="15" s="1"/>
  <c r="AH15" i="15"/>
  <c r="AJ15" i="15" s="1"/>
  <c r="AH19" i="15"/>
  <c r="AJ19" i="15" s="1"/>
  <c r="AI34" i="15"/>
  <c r="AI38" i="15"/>
  <c r="AH43" i="15"/>
  <c r="AH47" i="15"/>
  <c r="AI48" i="15"/>
  <c r="AI53" i="15"/>
  <c r="AH57" i="15"/>
  <c r="AH62" i="15"/>
  <c r="AH66" i="15"/>
  <c r="AI71" i="15"/>
  <c r="AH74" i="15"/>
  <c r="AI75" i="15"/>
  <c r="AI81" i="15"/>
  <c r="AI87" i="15"/>
  <c r="AI93" i="15"/>
  <c r="AI99" i="15"/>
  <c r="AK99" i="15" s="1"/>
  <c r="AI23" i="15"/>
  <c r="AI15" i="15"/>
  <c r="AK15" i="15" s="1"/>
  <c r="AI19" i="15"/>
  <c r="AK19" i="15" s="1"/>
  <c r="AH24" i="15"/>
  <c r="AH28" i="15"/>
  <c r="AI43" i="15"/>
  <c r="AI47" i="15"/>
  <c r="AH52" i="15"/>
  <c r="AH56" i="15"/>
  <c r="AI57" i="15"/>
  <c r="AI62" i="15"/>
  <c r="AH65" i="15"/>
  <c r="AI66" i="15"/>
  <c r="AH70" i="15"/>
  <c r="AI74" i="15"/>
  <c r="AH80" i="15"/>
  <c r="AH86" i="15"/>
  <c r="AH92" i="15"/>
  <c r="AH98" i="15"/>
  <c r="AI14" i="15"/>
  <c r="AK14" i="15" s="1"/>
  <c r="AH23" i="15"/>
  <c r="AI33" i="15"/>
  <c r="AI37" i="15"/>
  <c r="AH42" i="15"/>
  <c r="AH46" i="15"/>
  <c r="AI61" i="15"/>
  <c r="AH73" i="15"/>
  <c r="AH79" i="15"/>
  <c r="AH85" i="15"/>
  <c r="AH91" i="15"/>
  <c r="AH97" i="15"/>
  <c r="AH13" i="15"/>
  <c r="AJ13" i="15" s="1"/>
  <c r="AH32" i="15"/>
  <c r="AI42" i="15"/>
  <c r="AI46" i="15"/>
  <c r="AH51" i="15"/>
  <c r="AH55" i="15"/>
  <c r="AH64" i="15"/>
  <c r="AH69" i="15"/>
  <c r="AH14" i="15"/>
  <c r="AJ14" i="15" s="1"/>
  <c r="AI24" i="15"/>
  <c r="AI28" i="15"/>
  <c r="AH33" i="15"/>
  <c r="AH37" i="15"/>
  <c r="AI52" i="15"/>
  <c r="AI56" i="15"/>
  <c r="AH61" i="15"/>
  <c r="AI65" i="15"/>
  <c r="AI70" i="15"/>
  <c r="AI80" i="15"/>
  <c r="AI86" i="15"/>
  <c r="AI92" i="15"/>
  <c r="AI98" i="15"/>
  <c r="AI12" i="15"/>
  <c r="AK12" i="15" s="1"/>
  <c r="AI17" i="15"/>
  <c r="AK17" i="15" s="1"/>
  <c r="AH21" i="15"/>
  <c r="AH26" i="15"/>
  <c r="AI36" i="15"/>
  <c r="AI40" i="15"/>
  <c r="AH45" i="15"/>
  <c r="AH49" i="15"/>
  <c r="AI59" i="15"/>
  <c r="AH67" i="15"/>
  <c r="AI77" i="15"/>
  <c r="AI83" i="15"/>
  <c r="AI89" i="15"/>
  <c r="AI95" i="15"/>
  <c r="AH16" i="15"/>
  <c r="AJ16" i="15" s="1"/>
  <c r="AH20" i="15"/>
  <c r="AJ20" i="15" s="1"/>
  <c r="AI21" i="15"/>
  <c r="AI26" i="15"/>
  <c r="AH30" i="15"/>
  <c r="AH35" i="15"/>
  <c r="AI45" i="15"/>
  <c r="AI49" i="15"/>
  <c r="AH54" i="15"/>
  <c r="AH58" i="15"/>
  <c r="AI67" i="15"/>
  <c r="AH72" i="15"/>
  <c r="AH76" i="15"/>
  <c r="AH82" i="15"/>
  <c r="AH88" i="15"/>
  <c r="AH94" i="15"/>
  <c r="AJ94" i="15" s="1"/>
  <c r="AH100" i="15"/>
  <c r="AJ100" i="15" s="1"/>
  <c r="AI22" i="15"/>
  <c r="AI30" i="15"/>
  <c r="AH48" i="15"/>
  <c r="AI58" i="15"/>
  <c r="AH71" i="15"/>
  <c r="AI73" i="15"/>
  <c r="AI16" i="15"/>
  <c r="AK16" i="15" s="1"/>
  <c r="AH68" i="15"/>
  <c r="AI79" i="15"/>
  <c r="AI82" i="15"/>
  <c r="AH95" i="15"/>
  <c r="AH18" i="15"/>
  <c r="AJ18" i="15" s="1"/>
  <c r="AI13" i="15"/>
  <c r="AK13" i="15" s="1"/>
  <c r="AH40" i="15"/>
  <c r="AH53" i="15"/>
  <c r="AH63" i="15"/>
  <c r="AI68" i="15"/>
  <c r="AI27" i="15"/>
  <c r="AI29" i="15"/>
  <c r="AI32" i="15"/>
  <c r="AI50" i="15"/>
  <c r="AH60" i="15"/>
  <c r="AI78" i="15"/>
  <c r="AH84" i="15"/>
  <c r="AH27" i="15"/>
  <c r="AH29" i="15"/>
  <c r="AI35" i="15"/>
  <c r="AH50" i="15"/>
  <c r="AI55" i="15"/>
  <c r="AI63" i="15"/>
  <c r="AH75" i="15"/>
  <c r="AH78" i="15"/>
  <c r="AI85" i="15"/>
  <c r="AI88" i="15"/>
  <c r="AI60" i="15"/>
  <c r="AH81" i="15"/>
  <c r="AI91" i="15"/>
  <c r="AI94" i="15"/>
  <c r="AK94" i="15" s="1"/>
  <c r="AI84" i="15"/>
  <c r="AH12" i="15"/>
  <c r="AJ12" i="15" s="1"/>
  <c r="AI39" i="15"/>
  <c r="AI72" i="15"/>
  <c r="AH90" i="15"/>
  <c r="AI100" i="15"/>
  <c r="AK100" i="15" s="1"/>
  <c r="AI18" i="15"/>
  <c r="AK18" i="15" s="1"/>
  <c r="AH31" i="15"/>
  <c r="AH59" i="15"/>
  <c r="AI64" i="15"/>
  <c r="AI90" i="15"/>
  <c r="AI31" i="15"/>
  <c r="AH44" i="15"/>
  <c r="AI54" i="15"/>
  <c r="AI69" i="15"/>
  <c r="AH83" i="15"/>
  <c r="AH93" i="15"/>
  <c r="AH96" i="15"/>
  <c r="AH39" i="15"/>
  <c r="AH34" i="15"/>
  <c r="AH77" i="15"/>
  <c r="AH87" i="15"/>
  <c r="AI97" i="15"/>
  <c r="AH17" i="15"/>
  <c r="AJ17" i="15" s="1"/>
  <c r="AH25" i="15"/>
  <c r="AH38" i="15"/>
  <c r="AH41" i="15"/>
  <c r="AI44" i="15"/>
  <c r="AI96" i="15"/>
  <c r="AH22" i="15"/>
  <c r="AI25" i="15"/>
  <c r="AH36" i="15"/>
  <c r="AI41" i="15"/>
  <c r="AI51" i="15"/>
  <c r="AI76" i="15"/>
  <c r="AH89" i="15"/>
  <c r="AH99" i="15"/>
  <c r="AJ99" i="15" s="1"/>
  <c r="AI20" i="15"/>
  <c r="AK20" i="15" s="1"/>
  <c r="AD11" i="15"/>
  <c r="AF11" i="15" s="1"/>
  <c r="AD16" i="15"/>
  <c r="AF16" i="15" s="1"/>
  <c r="AC17" i="15"/>
  <c r="AE17" i="15" s="1"/>
  <c r="AC19" i="15"/>
  <c r="AE19" i="15" s="1"/>
  <c r="AC20" i="15"/>
  <c r="AE20" i="15" s="1"/>
  <c r="AD30" i="15"/>
  <c r="AD31" i="15"/>
  <c r="AC32" i="15"/>
  <c r="AD43" i="15"/>
  <c r="AC44" i="15"/>
  <c r="AC46" i="15"/>
  <c r="AC47" i="15"/>
  <c r="AD57" i="15"/>
  <c r="AD58" i="15"/>
  <c r="AC59" i="15"/>
  <c r="AD77" i="15"/>
  <c r="AD86" i="15"/>
  <c r="AD95" i="15"/>
  <c r="AD17" i="15"/>
  <c r="AF17" i="15" s="1"/>
  <c r="AD19" i="15"/>
  <c r="AF19" i="15" s="1"/>
  <c r="AD20" i="15"/>
  <c r="AF20" i="15" s="1"/>
  <c r="AD32" i="15"/>
  <c r="AD44" i="15"/>
  <c r="AD46" i="15"/>
  <c r="AD47" i="15"/>
  <c r="AD59" i="15"/>
  <c r="AC78" i="15"/>
  <c r="AC87" i="15"/>
  <c r="AC96" i="15"/>
  <c r="AC18" i="15"/>
  <c r="AE18" i="15" s="1"/>
  <c r="AC33" i="15"/>
  <c r="AC45" i="15"/>
  <c r="AC60" i="15"/>
  <c r="AC64" i="15"/>
  <c r="AC65" i="15"/>
  <c r="AD78" i="15"/>
  <c r="AC79" i="15"/>
  <c r="AD87" i="15"/>
  <c r="AC88" i="15"/>
  <c r="AD96" i="15"/>
  <c r="AC97" i="15"/>
  <c r="AD18" i="15"/>
  <c r="AF18" i="15" s="1"/>
  <c r="AC21" i="15"/>
  <c r="AC22" i="15"/>
  <c r="AD33" i="15"/>
  <c r="AC34" i="15"/>
  <c r="AD45" i="15"/>
  <c r="AC48" i="15"/>
  <c r="AC49" i="15"/>
  <c r="AD60" i="15"/>
  <c r="AC61" i="15"/>
  <c r="AC62" i="15"/>
  <c r="AD64" i="15"/>
  <c r="AD65" i="15"/>
  <c r="AD79" i="15"/>
  <c r="AC80" i="15"/>
  <c r="AD88" i="15"/>
  <c r="AC89" i="15"/>
  <c r="AD97" i="15"/>
  <c r="AC98" i="15"/>
  <c r="AD21" i="15"/>
  <c r="AD22" i="15"/>
  <c r="AC23" i="15"/>
  <c r="AD34" i="15"/>
  <c r="AC35" i="15"/>
  <c r="AC37" i="15"/>
  <c r="AC38" i="15"/>
  <c r="AD48" i="15"/>
  <c r="AD49" i="15"/>
  <c r="AC50" i="15"/>
  <c r="AD61" i="15"/>
  <c r="AD62" i="15"/>
  <c r="AC67" i="15"/>
  <c r="AC68" i="15"/>
  <c r="AD80" i="15"/>
  <c r="AD89" i="15"/>
  <c r="AD98" i="15"/>
  <c r="AD23" i="15"/>
  <c r="AD35" i="15"/>
  <c r="AD37" i="15"/>
  <c r="AD38" i="15"/>
  <c r="AD50" i="15"/>
  <c r="AC63" i="15"/>
  <c r="AC66" i="15"/>
  <c r="AD67" i="15"/>
  <c r="AD68" i="15"/>
  <c r="AC81" i="15"/>
  <c r="AC90" i="15"/>
  <c r="AC99" i="15"/>
  <c r="AE99" i="15" s="1"/>
  <c r="AC24" i="15"/>
  <c r="AC36" i="15"/>
  <c r="AC51" i="15"/>
  <c r="AD63" i="15"/>
  <c r="AD66" i="15"/>
  <c r="AC69" i="15"/>
  <c r="AC73" i="15"/>
  <c r="AC74" i="15"/>
  <c r="AD81" i="15"/>
  <c r="AC82" i="15"/>
  <c r="AD90" i="15"/>
  <c r="AC91" i="15"/>
  <c r="AD99" i="15"/>
  <c r="AF99" i="15" s="1"/>
  <c r="AC100" i="15"/>
  <c r="AE100" i="15" s="1"/>
  <c r="AC12" i="15"/>
  <c r="AE12" i="15" s="1"/>
  <c r="AC13" i="15"/>
  <c r="AE13" i="15" s="1"/>
  <c r="AD24" i="15"/>
  <c r="AC25" i="15"/>
  <c r="AD36" i="15"/>
  <c r="AC39" i="15"/>
  <c r="AC40" i="15"/>
  <c r="AD51" i="15"/>
  <c r="AC52" i="15"/>
  <c r="AD69" i="15"/>
  <c r="AC70" i="15"/>
  <c r="AC71" i="15"/>
  <c r="AD73" i="15"/>
  <c r="AD74" i="15"/>
  <c r="AD82" i="15"/>
  <c r="AC83" i="15"/>
  <c r="AD91" i="15"/>
  <c r="AC92" i="15"/>
  <c r="AD100" i="15"/>
  <c r="AF100" i="15" s="1"/>
  <c r="AD12" i="15"/>
  <c r="AF12" i="15" s="1"/>
  <c r="AD13" i="15"/>
  <c r="AF13" i="15" s="1"/>
  <c r="AC14" i="15"/>
  <c r="AE14" i="15" s="1"/>
  <c r="AD25" i="15"/>
  <c r="AC26" i="15"/>
  <c r="AC28" i="15"/>
  <c r="AC29" i="15"/>
  <c r="AD39" i="15"/>
  <c r="AD40" i="15"/>
  <c r="AC41" i="15"/>
  <c r="AD52" i="15"/>
  <c r="AC53" i="15"/>
  <c r="AC55" i="15"/>
  <c r="AC56" i="15"/>
  <c r="AD70" i="15"/>
  <c r="AD71" i="15"/>
  <c r="AD83" i="15"/>
  <c r="AD92" i="15"/>
  <c r="AD26" i="15"/>
  <c r="AD28" i="15"/>
  <c r="AD29" i="15"/>
  <c r="AD41" i="15"/>
  <c r="AC77" i="15"/>
  <c r="AD85" i="15"/>
  <c r="AD14" i="15"/>
  <c r="AF14" i="15" s="1"/>
  <c r="AC16" i="15"/>
  <c r="AE16" i="15" s="1"/>
  <c r="AC27" i="15"/>
  <c r="AC75" i="15"/>
  <c r="AC15" i="15"/>
  <c r="AE15" i="15" s="1"/>
  <c r="AD27" i="15"/>
  <c r="AD75" i="15"/>
  <c r="AC76" i="15"/>
  <c r="AD15" i="15"/>
  <c r="AF15" i="15" s="1"/>
  <c r="AD56" i="15"/>
  <c r="AC58" i="15"/>
  <c r="AD76" i="15"/>
  <c r="AC84" i="15"/>
  <c r="AD55" i="15"/>
  <c r="AD84" i="15"/>
  <c r="AC85" i="15"/>
  <c r="AC86" i="15"/>
  <c r="AC43" i="15"/>
  <c r="AD53" i="15"/>
  <c r="AD93" i="15"/>
  <c r="AC94" i="15"/>
  <c r="AE94" i="15" s="1"/>
  <c r="AC95" i="15"/>
  <c r="AC31" i="15"/>
  <c r="AC42" i="15"/>
  <c r="AC54" i="15"/>
  <c r="AC72" i="15"/>
  <c r="AD94" i="15"/>
  <c r="AF94" i="15" s="1"/>
  <c r="AD42" i="15"/>
  <c r="AD54" i="15"/>
  <c r="AD72" i="15"/>
  <c r="AC30" i="15"/>
  <c r="AC57" i="15"/>
  <c r="AC93" i="15"/>
  <c r="Y106" i="15"/>
  <c r="AA106" i="15" s="1"/>
  <c r="AC161" i="15"/>
  <c r="AE161" i="15" s="1"/>
  <c r="Y117" i="15"/>
  <c r="AA117" i="15" s="1"/>
  <c r="AD131" i="15"/>
  <c r="AF131" i="15" s="1"/>
  <c r="Y195" i="15"/>
  <c r="AA195" i="15" s="1"/>
  <c r="X175" i="15"/>
  <c r="Z175" i="15" s="1"/>
  <c r="AC214" i="15"/>
  <c r="AE214" i="15" s="1"/>
  <c r="X111" i="15"/>
  <c r="Z111" i="15" s="1"/>
  <c r="AD133" i="15"/>
  <c r="AF133" i="15" s="1"/>
  <c r="AD169" i="15"/>
  <c r="AF169" i="15" s="1"/>
  <c r="AD207" i="15"/>
  <c r="AF207" i="15" s="1"/>
  <c r="AC112" i="15"/>
  <c r="AE112" i="15" s="1"/>
  <c r="AD134" i="15"/>
  <c r="AF134" i="15" s="1"/>
  <c r="Y170" i="15"/>
  <c r="AA170" i="15" s="1"/>
  <c r="Y208" i="15"/>
  <c r="AA208" i="15" s="1"/>
  <c r="AD113" i="15"/>
  <c r="AF113" i="15" s="1"/>
  <c r="AC138" i="15"/>
  <c r="AE138" i="15" s="1"/>
  <c r="AC174" i="15"/>
  <c r="AE174" i="15" s="1"/>
  <c r="Y214" i="15"/>
  <c r="AA214" i="15" s="1"/>
  <c r="AD117" i="15"/>
  <c r="AF117" i="15" s="1"/>
  <c r="Y225" i="15"/>
  <c r="AA225" i="15" s="1"/>
  <c r="AD118" i="15"/>
  <c r="AF118" i="15" s="1"/>
  <c r="AC146" i="15"/>
  <c r="AE146" i="15" s="1"/>
  <c r="AD178" i="15"/>
  <c r="AF178" i="15" s="1"/>
  <c r="AC232" i="15"/>
  <c r="AE232" i="15" s="1"/>
  <c r="X122" i="15"/>
  <c r="Z122" i="15" s="1"/>
  <c r="AC147" i="15"/>
  <c r="AE147" i="15" s="1"/>
  <c r="AC182" i="15"/>
  <c r="AE182" i="15" s="1"/>
  <c r="AC235" i="15"/>
  <c r="AE235" i="15" s="1"/>
  <c r="AC178" i="15"/>
  <c r="AE178" i="15" s="1"/>
  <c r="Y122" i="15"/>
  <c r="AA122" i="15" s="1"/>
  <c r="AC148" i="15"/>
  <c r="AE148" i="15" s="1"/>
  <c r="Y243" i="15"/>
  <c r="AA243" i="15" s="1"/>
  <c r="Y104" i="15"/>
  <c r="AA104" i="15" s="1"/>
  <c r="AD123" i="15"/>
  <c r="AF123" i="15" s="1"/>
  <c r="AD148" i="15"/>
  <c r="AF148" i="15" s="1"/>
  <c r="Y189" i="15"/>
  <c r="AA189" i="15" s="1"/>
  <c r="AC139" i="15"/>
  <c r="AE139" i="15" s="1"/>
  <c r="Y140" i="15"/>
  <c r="AA140" i="15" s="1"/>
  <c r="AD188" i="15"/>
  <c r="AF188" i="15" s="1"/>
  <c r="AH243" i="15"/>
  <c r="AJ243" i="15" s="1"/>
  <c r="AC104" i="15"/>
  <c r="AE104" i="15" s="1"/>
  <c r="X125" i="15"/>
  <c r="Z125" i="15" s="1"/>
  <c r="AC155" i="15"/>
  <c r="AE155" i="15" s="1"/>
  <c r="AC193" i="15"/>
  <c r="AE193" i="15" s="1"/>
  <c r="AH253" i="15"/>
  <c r="AJ253" i="15" s="1"/>
  <c r="AD105" i="15"/>
  <c r="AF105" i="15" s="1"/>
  <c r="AD130" i="15"/>
  <c r="AF130" i="15" s="1"/>
  <c r="X157" i="15"/>
  <c r="Z157" i="15" s="1"/>
  <c r="AD194" i="15"/>
  <c r="AF194" i="15" s="1"/>
  <c r="X257" i="15"/>
  <c r="Z257" i="15" s="1"/>
  <c r="AD104" i="15"/>
  <c r="AF104" i="15" s="1"/>
  <c r="X139" i="15"/>
  <c r="Z139" i="15" s="1"/>
  <c r="AC157" i="15"/>
  <c r="AE157" i="15" s="1"/>
  <c r="X173" i="15"/>
  <c r="Z173" i="15" s="1"/>
  <c r="AC180" i="15"/>
  <c r="AE180" i="15" s="1"/>
  <c r="AC190" i="15"/>
  <c r="AE190" i="15" s="1"/>
  <c r="S210" i="15"/>
  <c r="U210" i="15" s="1"/>
  <c r="AC227" i="15"/>
  <c r="AE227" i="15" s="1"/>
  <c r="Y244" i="15"/>
  <c r="AA244" i="15" s="1"/>
  <c r="X105" i="15"/>
  <c r="Z105" i="15" s="1"/>
  <c r="X113" i="15"/>
  <c r="Z113" i="15" s="1"/>
  <c r="AC118" i="15"/>
  <c r="AE118" i="15" s="1"/>
  <c r="AD122" i="15"/>
  <c r="AF122" i="15" s="1"/>
  <c r="AD132" i="15"/>
  <c r="AF132" i="15" s="1"/>
  <c r="Y139" i="15"/>
  <c r="AA139" i="15" s="1"/>
  <c r="X148" i="15"/>
  <c r="Z148" i="15" s="1"/>
  <c r="AC159" i="15"/>
  <c r="AE159" i="15" s="1"/>
  <c r="AC173" i="15"/>
  <c r="AE173" i="15" s="1"/>
  <c r="X182" i="15"/>
  <c r="Z182" i="15" s="1"/>
  <c r="Y192" i="15"/>
  <c r="AA192" i="15" s="1"/>
  <c r="AD213" i="15"/>
  <c r="AF213" i="15" s="1"/>
  <c r="AC228" i="15"/>
  <c r="AE228" i="15" s="1"/>
  <c r="Y251" i="15"/>
  <c r="AA251" i="15" s="1"/>
  <c r="AD262" i="15"/>
  <c r="AF262" i="15" s="1"/>
  <c r="Y108" i="15"/>
  <c r="AA108" i="15" s="1"/>
  <c r="Y115" i="15"/>
  <c r="AA115" i="15" s="1"/>
  <c r="X120" i="15"/>
  <c r="Z120" i="15" s="1"/>
  <c r="AC127" i="15"/>
  <c r="AE127" i="15" s="1"/>
  <c r="AD136" i="15"/>
  <c r="AF136" i="15" s="1"/>
  <c r="AD142" i="15"/>
  <c r="AF142" i="15" s="1"/>
  <c r="X151" i="15"/>
  <c r="Z151" i="15" s="1"/>
  <c r="AD163" i="15"/>
  <c r="AF163" i="15" s="1"/>
  <c r="AC176" i="15"/>
  <c r="AE176" i="15" s="1"/>
  <c r="AC184" i="15"/>
  <c r="AE184" i="15" s="1"/>
  <c r="AC199" i="15"/>
  <c r="AE199" i="15" s="1"/>
  <c r="T217" i="15"/>
  <c r="V217" i="15" s="1"/>
  <c r="Y239" i="15"/>
  <c r="AA239" i="15" s="1"/>
  <c r="AC268" i="15"/>
  <c r="AE268" i="15" s="1"/>
  <c r="AC107" i="15"/>
  <c r="AE107" i="15" s="1"/>
  <c r="X114" i="15"/>
  <c r="Z114" i="15" s="1"/>
  <c r="X119" i="15"/>
  <c r="Z119" i="15" s="1"/>
  <c r="AC125" i="15"/>
  <c r="AE125" i="15" s="1"/>
  <c r="AC141" i="15"/>
  <c r="AE141" i="15" s="1"/>
  <c r="AC149" i="15"/>
  <c r="AE149" i="15" s="1"/>
  <c r="X162" i="15"/>
  <c r="Z162" i="15" s="1"/>
  <c r="AC175" i="15"/>
  <c r="AE175" i="15" s="1"/>
  <c r="AC183" i="15"/>
  <c r="AE183" i="15" s="1"/>
  <c r="Y262" i="15"/>
  <c r="AA262" i="15" s="1"/>
  <c r="Y114" i="15"/>
  <c r="AA114" i="15" s="1"/>
  <c r="Y127" i="15"/>
  <c r="AA127" i="15" s="1"/>
  <c r="AD135" i="15"/>
  <c r="AF135" i="15" s="1"/>
  <c r="X150" i="15"/>
  <c r="Z150" i="15" s="1"/>
  <c r="AC163" i="15"/>
  <c r="AE163" i="15" s="1"/>
  <c r="X176" i="15"/>
  <c r="Z176" i="15" s="1"/>
  <c r="X184" i="15"/>
  <c r="Z184" i="15" s="1"/>
  <c r="X197" i="15"/>
  <c r="Z197" i="15" s="1"/>
  <c r="AC215" i="15"/>
  <c r="AE215" i="15" s="1"/>
  <c r="Y101" i="15"/>
  <c r="AA101" i="15" s="1"/>
  <c r="AC109" i="15"/>
  <c r="AE109" i="15" s="1"/>
  <c r="Y120" i="15"/>
  <c r="AA120" i="15" s="1"/>
  <c r="AD128" i="15"/>
  <c r="AF128" i="15" s="1"/>
  <c r="AD137" i="15"/>
  <c r="AF137" i="15" s="1"/>
  <c r="X143" i="15"/>
  <c r="Z143" i="15" s="1"/>
  <c r="Y152" i="15"/>
  <c r="AA152" i="15" s="1"/>
  <c r="X165" i="15"/>
  <c r="Z165" i="15" s="1"/>
  <c r="AD176" i="15"/>
  <c r="AF176" i="15" s="1"/>
  <c r="X185" i="15"/>
  <c r="Z185" i="15" s="1"/>
  <c r="X200" i="15"/>
  <c r="Z200" i="15" s="1"/>
  <c r="AD218" i="15"/>
  <c r="AF218" i="15" s="1"/>
  <c r="AD276" i="15"/>
  <c r="AF276" i="15" s="1"/>
  <c r="S236" i="15"/>
  <c r="U236" i="15" s="1"/>
  <c r="AD107" i="15"/>
  <c r="AF107" i="15" s="1"/>
  <c r="Y119" i="15"/>
  <c r="AA119" i="15" s="1"/>
  <c r="AC142" i="15"/>
  <c r="AE142" i="15" s="1"/>
  <c r="X238" i="15"/>
  <c r="Z238" i="15" s="1"/>
  <c r="Y110" i="15"/>
  <c r="AA110" i="15" s="1"/>
  <c r="AC116" i="15"/>
  <c r="AE116" i="15" s="1"/>
  <c r="AC121" i="15"/>
  <c r="AE121" i="15" s="1"/>
  <c r="X144" i="15"/>
  <c r="Z144" i="15" s="1"/>
  <c r="Y153" i="15"/>
  <c r="AA153" i="15" s="1"/>
  <c r="AC165" i="15"/>
  <c r="AE165" i="15" s="1"/>
  <c r="AD185" i="15"/>
  <c r="AF185" i="15" s="1"/>
  <c r="AC205" i="15"/>
  <c r="AE205" i="15" s="1"/>
  <c r="X221" i="15"/>
  <c r="Z221" i="15" s="1"/>
  <c r="Y240" i="15"/>
  <c r="AA240" i="15" s="1"/>
  <c r="X279" i="15"/>
  <c r="Z279" i="15" s="1"/>
  <c r="X104" i="15"/>
  <c r="Z104" i="15" s="1"/>
  <c r="AC110" i="15"/>
  <c r="AE110" i="15" s="1"/>
  <c r="AD116" i="15"/>
  <c r="AF116" i="15" s="1"/>
  <c r="AD129" i="15"/>
  <c r="AF129" i="15" s="1"/>
  <c r="X138" i="15"/>
  <c r="Z138" i="15" s="1"/>
  <c r="Y146" i="15"/>
  <c r="AA146" i="15" s="1"/>
  <c r="AC153" i="15"/>
  <c r="AE153" i="15" s="1"/>
  <c r="AC169" i="15"/>
  <c r="AE169" i="15" s="1"/>
  <c r="X178" i="15"/>
  <c r="Z178" i="15" s="1"/>
  <c r="AC187" i="15"/>
  <c r="AE187" i="15" s="1"/>
  <c r="Y207" i="15"/>
  <c r="AA207" i="15" s="1"/>
  <c r="AC221" i="15"/>
  <c r="AE221" i="15" s="1"/>
  <c r="AC242" i="15"/>
  <c r="AE242" i="15" s="1"/>
  <c r="AD320" i="15"/>
  <c r="AF320" i="15" s="1"/>
  <c r="AI102" i="15"/>
  <c r="AK102" i="15" s="1"/>
  <c r="AI108" i="15"/>
  <c r="AK108" i="15" s="1"/>
  <c r="AI110" i="15"/>
  <c r="AK110" i="15" s="1"/>
  <c r="T115" i="15"/>
  <c r="V115" i="15" s="1"/>
  <c r="S121" i="15"/>
  <c r="U121" i="15" s="1"/>
  <c r="T125" i="15"/>
  <c r="V125" i="15" s="1"/>
  <c r="AI136" i="15"/>
  <c r="AK136" i="15" s="1"/>
  <c r="AH139" i="15"/>
  <c r="AJ139" i="15" s="1"/>
  <c r="AH192" i="15"/>
  <c r="AJ192" i="15" s="1"/>
  <c r="T119" i="15"/>
  <c r="V119" i="15" s="1"/>
  <c r="T121" i="15"/>
  <c r="V121" i="15" s="1"/>
  <c r="AI122" i="15"/>
  <c r="AK122" i="15" s="1"/>
  <c r="AI139" i="15"/>
  <c r="AK139" i="15" s="1"/>
  <c r="AI142" i="15"/>
  <c r="AK142" i="15" s="1"/>
  <c r="AI159" i="15"/>
  <c r="AK159" i="15" s="1"/>
  <c r="AI163" i="15"/>
  <c r="AK163" i="15" s="1"/>
  <c r="T193" i="15"/>
  <c r="V193" i="15" s="1"/>
  <c r="S198" i="15"/>
  <c r="U198" i="15" s="1"/>
  <c r="S535" i="15"/>
  <c r="U535" i="15" s="1"/>
  <c r="S526" i="15"/>
  <c r="U526" i="15" s="1"/>
  <c r="T534" i="15"/>
  <c r="V534" i="15" s="1"/>
  <c r="T533" i="15"/>
  <c r="V533" i="15" s="1"/>
  <c r="T525" i="15"/>
  <c r="V525" i="15" s="1"/>
  <c r="T524" i="15"/>
  <c r="V524" i="15" s="1"/>
  <c r="T516" i="15"/>
  <c r="V516" i="15" s="1"/>
  <c r="T515" i="15"/>
  <c r="V515" i="15" s="1"/>
  <c r="T507" i="15"/>
  <c r="V507" i="15" s="1"/>
  <c r="T506" i="15"/>
  <c r="V506" i="15" s="1"/>
  <c r="T498" i="15"/>
  <c r="V498" i="15" s="1"/>
  <c r="T497" i="15"/>
  <c r="V497" i="15" s="1"/>
  <c r="T529" i="15"/>
  <c r="V529" i="15" s="1"/>
  <c r="T520" i="15"/>
  <c r="V520" i="15" s="1"/>
  <c r="T511" i="15"/>
  <c r="V511" i="15" s="1"/>
  <c r="T502" i="15"/>
  <c r="V502" i="15" s="1"/>
  <c r="T493" i="15"/>
  <c r="V493" i="15" s="1"/>
  <c r="T484" i="15"/>
  <c r="V484" i="15" s="1"/>
  <c r="T475" i="15"/>
  <c r="V475" i="15" s="1"/>
  <c r="T471" i="15"/>
  <c r="V471" i="15" s="1"/>
  <c r="T468" i="15"/>
  <c r="V468" i="15" s="1"/>
  <c r="T465" i="15"/>
  <c r="V465" i="15" s="1"/>
  <c r="T536" i="15"/>
  <c r="V536" i="15" s="1"/>
  <c r="T528" i="15"/>
  <c r="V528" i="15" s="1"/>
  <c r="T527" i="15"/>
  <c r="V527" i="15" s="1"/>
  <c r="T519" i="15"/>
  <c r="V519" i="15" s="1"/>
  <c r="T518" i="15"/>
  <c r="V518" i="15" s="1"/>
  <c r="T510" i="15"/>
  <c r="V510" i="15" s="1"/>
  <c r="T509" i="15"/>
  <c r="V509" i="15" s="1"/>
  <c r="T501" i="15"/>
  <c r="V501" i="15" s="1"/>
  <c r="T500" i="15"/>
  <c r="V500" i="15" s="1"/>
  <c r="T492" i="15"/>
  <c r="V492" i="15" s="1"/>
  <c r="T521" i="15"/>
  <c r="V521" i="15" s="1"/>
  <c r="S516" i="15"/>
  <c r="U516" i="15" s="1"/>
  <c r="S510" i="15"/>
  <c r="U510" i="15" s="1"/>
  <c r="T504" i="15"/>
  <c r="V504" i="15" s="1"/>
  <c r="S498" i="15"/>
  <c r="U498" i="15" s="1"/>
  <c r="S491" i="15"/>
  <c r="U491" i="15" s="1"/>
  <c r="T490" i="15"/>
  <c r="V490" i="15" s="1"/>
  <c r="T488" i="15"/>
  <c r="V488" i="15" s="1"/>
  <c r="T466" i="15"/>
  <c r="V466" i="15" s="1"/>
  <c r="S462" i="15"/>
  <c r="U462" i="15" s="1"/>
  <c r="S459" i="15"/>
  <c r="U459" i="15" s="1"/>
  <c r="S456" i="15"/>
  <c r="U456" i="15" s="1"/>
  <c r="S453" i="15"/>
  <c r="U453" i="15" s="1"/>
  <c r="S450" i="15"/>
  <c r="U450" i="15" s="1"/>
  <c r="S447" i="15"/>
  <c r="U447" i="15" s="1"/>
  <c r="S444" i="15"/>
  <c r="U444" i="15" s="1"/>
  <c r="S441" i="15"/>
  <c r="U441" i="15" s="1"/>
  <c r="S438" i="15"/>
  <c r="U438" i="15" s="1"/>
  <c r="S435" i="15"/>
  <c r="U435" i="15" s="1"/>
  <c r="S432" i="15"/>
  <c r="U432" i="15" s="1"/>
  <c r="S429" i="15"/>
  <c r="U429" i="15" s="1"/>
  <c r="S426" i="15"/>
  <c r="U426" i="15" s="1"/>
  <c r="S423" i="15"/>
  <c r="U423" i="15" s="1"/>
  <c r="T535" i="15"/>
  <c r="V535" i="15" s="1"/>
  <c r="S532" i="15"/>
  <c r="U532" i="15" s="1"/>
  <c r="S529" i="15"/>
  <c r="U529" i="15" s="1"/>
  <c r="S517" i="15"/>
  <c r="U517" i="15" s="1"/>
  <c r="S511" i="15"/>
  <c r="U511" i="15" s="1"/>
  <c r="S505" i="15"/>
  <c r="U505" i="15" s="1"/>
  <c r="S499" i="15"/>
  <c r="U499" i="15" s="1"/>
  <c r="S493" i="15"/>
  <c r="U493" i="15" s="1"/>
  <c r="S489" i="15"/>
  <c r="U489" i="15" s="1"/>
  <c r="S487" i="15"/>
  <c r="U487" i="15" s="1"/>
  <c r="T486" i="15"/>
  <c r="V486" i="15" s="1"/>
  <c r="S485" i="15"/>
  <c r="U485" i="15" s="1"/>
  <c r="S484" i="15"/>
  <c r="U484" i="15" s="1"/>
  <c r="T483" i="15"/>
  <c r="V483" i="15" s="1"/>
  <c r="S482" i="15"/>
  <c r="U482" i="15" s="1"/>
  <c r="T481" i="15"/>
  <c r="V481" i="15" s="1"/>
  <c r="T479" i="15"/>
  <c r="V479" i="15" s="1"/>
  <c r="S470" i="15"/>
  <c r="U470" i="15" s="1"/>
  <c r="S514" i="15"/>
  <c r="U514" i="15" s="1"/>
  <c r="S508" i="15"/>
  <c r="U508" i="15" s="1"/>
  <c r="S502" i="15"/>
  <c r="U502" i="15" s="1"/>
  <c r="S496" i="15"/>
  <c r="U496" i="15" s="1"/>
  <c r="T472" i="15"/>
  <c r="V472" i="15" s="1"/>
  <c r="S534" i="15"/>
  <c r="U534" i="15" s="1"/>
  <c r="T531" i="15"/>
  <c r="V531" i="15" s="1"/>
  <c r="S520" i="15"/>
  <c r="U520" i="15" s="1"/>
  <c r="S503" i="15"/>
  <c r="U503" i="15" s="1"/>
  <c r="S467" i="15"/>
  <c r="U467" i="15" s="1"/>
  <c r="T532" i="15"/>
  <c r="V532" i="15" s="1"/>
  <c r="S530" i="15"/>
  <c r="U530" i="15" s="1"/>
  <c r="S507" i="15"/>
  <c r="U507" i="15" s="1"/>
  <c r="T505" i="15"/>
  <c r="V505" i="15" s="1"/>
  <c r="S488" i="15"/>
  <c r="U488" i="15" s="1"/>
  <c r="T485" i="15"/>
  <c r="V485" i="15" s="1"/>
  <c r="T482" i="15"/>
  <c r="V482" i="15" s="1"/>
  <c r="S471" i="15"/>
  <c r="U471" i="15" s="1"/>
  <c r="S446" i="15"/>
  <c r="U446" i="15" s="1"/>
  <c r="S437" i="15"/>
  <c r="U437" i="15" s="1"/>
  <c r="S428" i="15"/>
  <c r="U428" i="15" s="1"/>
  <c r="T514" i="15"/>
  <c r="V514" i="15" s="1"/>
  <c r="T512" i="15"/>
  <c r="V512" i="15" s="1"/>
  <c r="T496" i="15"/>
  <c r="V496" i="15" s="1"/>
  <c r="T494" i="15"/>
  <c r="V494" i="15" s="1"/>
  <c r="S479" i="15"/>
  <c r="U479" i="15" s="1"/>
  <c r="T476" i="15"/>
  <c r="V476" i="15" s="1"/>
  <c r="S512" i="15"/>
  <c r="U512" i="15" s="1"/>
  <c r="T503" i="15"/>
  <c r="V503" i="15" s="1"/>
  <c r="S494" i="15"/>
  <c r="U494" i="15" s="1"/>
  <c r="S476" i="15"/>
  <c r="U476" i="15" s="1"/>
  <c r="S472" i="15"/>
  <c r="U472" i="15" s="1"/>
  <c r="T461" i="15"/>
  <c r="V461" i="15" s="1"/>
  <c r="T458" i="15"/>
  <c r="V458" i="15" s="1"/>
  <c r="T455" i="15"/>
  <c r="V455" i="15" s="1"/>
  <c r="T452" i="15"/>
  <c r="V452" i="15" s="1"/>
  <c r="S536" i="15"/>
  <c r="U536" i="15" s="1"/>
  <c r="S525" i="15"/>
  <c r="U525" i="15" s="1"/>
  <c r="T523" i="15"/>
  <c r="V523" i="15" s="1"/>
  <c r="S521" i="15"/>
  <c r="U521" i="15" s="1"/>
  <c r="T517" i="15"/>
  <c r="V517" i="15" s="1"/>
  <c r="S501" i="15"/>
  <c r="U501" i="15" s="1"/>
  <c r="T499" i="15"/>
  <c r="V499" i="15" s="1"/>
  <c r="S492" i="15"/>
  <c r="U492" i="15" s="1"/>
  <c r="T489" i="15"/>
  <c r="V489" i="15" s="1"/>
  <c r="S473" i="15"/>
  <c r="U473" i="15" s="1"/>
  <c r="T464" i="15"/>
  <c r="V464" i="15" s="1"/>
  <c r="T463" i="15"/>
  <c r="V463" i="15" s="1"/>
  <c r="S460" i="15"/>
  <c r="U460" i="15" s="1"/>
  <c r="S457" i="15"/>
  <c r="U457" i="15" s="1"/>
  <c r="S454" i="15"/>
  <c r="U454" i="15" s="1"/>
  <c r="S527" i="15"/>
  <c r="U527" i="15" s="1"/>
  <c r="S523" i="15"/>
  <c r="U523" i="15" s="1"/>
  <c r="S519" i="15"/>
  <c r="U519" i="15" s="1"/>
  <c r="T508" i="15"/>
  <c r="V508" i="15" s="1"/>
  <c r="S506" i="15"/>
  <c r="U506" i="15" s="1"/>
  <c r="S486" i="15"/>
  <c r="U486" i="15" s="1"/>
  <c r="S483" i="15"/>
  <c r="U483" i="15" s="1"/>
  <c r="T480" i="15"/>
  <c r="V480" i="15" s="1"/>
  <c r="T513" i="15"/>
  <c r="V513" i="15" s="1"/>
  <c r="S504" i="15"/>
  <c r="U504" i="15" s="1"/>
  <c r="T495" i="15"/>
  <c r="V495" i="15" s="1"/>
  <c r="S490" i="15"/>
  <c r="U490" i="15" s="1"/>
  <c r="T487" i="15"/>
  <c r="V487" i="15" s="1"/>
  <c r="T467" i="15"/>
  <c r="V467" i="15" s="1"/>
  <c r="S518" i="15"/>
  <c r="U518" i="15" s="1"/>
  <c r="S513" i="15"/>
  <c r="U513" i="15" s="1"/>
  <c r="S500" i="15"/>
  <c r="U500" i="15" s="1"/>
  <c r="S495" i="15"/>
  <c r="U495" i="15" s="1"/>
  <c r="S481" i="15"/>
  <c r="U481" i="15" s="1"/>
  <c r="T478" i="15"/>
  <c r="V478" i="15" s="1"/>
  <c r="T469" i="15"/>
  <c r="V469" i="15" s="1"/>
  <c r="S468" i="15"/>
  <c r="U468" i="15" s="1"/>
  <c r="T447" i="15"/>
  <c r="V447" i="15" s="1"/>
  <c r="T438" i="15"/>
  <c r="V438" i="15" s="1"/>
  <c r="T429" i="15"/>
  <c r="V429" i="15" s="1"/>
  <c r="T526" i="15"/>
  <c r="V526" i="15" s="1"/>
  <c r="S524" i="15"/>
  <c r="U524" i="15" s="1"/>
  <c r="T522" i="15"/>
  <c r="V522" i="15" s="1"/>
  <c r="S509" i="15"/>
  <c r="U509" i="15" s="1"/>
  <c r="S478" i="15"/>
  <c r="U478" i="15" s="1"/>
  <c r="S477" i="15"/>
  <c r="U477" i="15" s="1"/>
  <c r="T425" i="15"/>
  <c r="V425" i="15" s="1"/>
  <c r="T414" i="15"/>
  <c r="V414" i="15" s="1"/>
  <c r="T405" i="15"/>
  <c r="V405" i="15" s="1"/>
  <c r="S528" i="15"/>
  <c r="U528" i="15" s="1"/>
  <c r="S522" i="15"/>
  <c r="U522" i="15" s="1"/>
  <c r="T473" i="15"/>
  <c r="V473" i="15" s="1"/>
  <c r="S461" i="15"/>
  <c r="U461" i="15" s="1"/>
  <c r="T459" i="15"/>
  <c r="V459" i="15" s="1"/>
  <c r="T457" i="15"/>
  <c r="V457" i="15" s="1"/>
  <c r="S455" i="15"/>
  <c r="U455" i="15" s="1"/>
  <c r="T453" i="15"/>
  <c r="V453" i="15" s="1"/>
  <c r="T450" i="15"/>
  <c r="V450" i="15" s="1"/>
  <c r="S425" i="15"/>
  <c r="U425" i="15" s="1"/>
  <c r="T418" i="15"/>
  <c r="V418" i="15" s="1"/>
  <c r="S414" i="15"/>
  <c r="U414" i="15" s="1"/>
  <c r="T409" i="15"/>
  <c r="V409" i="15" s="1"/>
  <c r="S405" i="15"/>
  <c r="U405" i="15" s="1"/>
  <c r="T401" i="15"/>
  <c r="V401" i="15" s="1"/>
  <c r="T398" i="15"/>
  <c r="V398" i="15" s="1"/>
  <c r="T395" i="15"/>
  <c r="V395" i="15" s="1"/>
  <c r="T470" i="15"/>
  <c r="V470" i="15" s="1"/>
  <c r="S465" i="15"/>
  <c r="U465" i="15" s="1"/>
  <c r="S463" i="15"/>
  <c r="U463" i="15" s="1"/>
  <c r="T424" i="15"/>
  <c r="V424" i="15" s="1"/>
  <c r="S418" i="15"/>
  <c r="U418" i="15" s="1"/>
  <c r="T413" i="15"/>
  <c r="V413" i="15" s="1"/>
  <c r="S409" i="15"/>
  <c r="U409" i="15" s="1"/>
  <c r="T404" i="15"/>
  <c r="V404" i="15" s="1"/>
  <c r="S401" i="15"/>
  <c r="U401" i="15" s="1"/>
  <c r="S398" i="15"/>
  <c r="U398" i="15" s="1"/>
  <c r="S395" i="15"/>
  <c r="U395" i="15" s="1"/>
  <c r="S475" i="15"/>
  <c r="U475" i="15" s="1"/>
  <c r="S451" i="15"/>
  <c r="U451" i="15" s="1"/>
  <c r="S443" i="15"/>
  <c r="U443" i="15" s="1"/>
  <c r="S442" i="15"/>
  <c r="U442" i="15" s="1"/>
  <c r="S440" i="15"/>
  <c r="U440" i="15" s="1"/>
  <c r="T439" i="15"/>
  <c r="V439" i="15" s="1"/>
  <c r="T437" i="15"/>
  <c r="V437" i="15" s="1"/>
  <c r="T436" i="15"/>
  <c r="V436" i="15" s="1"/>
  <c r="T421" i="15"/>
  <c r="V421" i="15" s="1"/>
  <c r="T416" i="15"/>
  <c r="V416" i="15" s="1"/>
  <c r="S412" i="15"/>
  <c r="U412" i="15" s="1"/>
  <c r="T407" i="15"/>
  <c r="V407" i="15" s="1"/>
  <c r="S403" i="15"/>
  <c r="U403" i="15" s="1"/>
  <c r="S400" i="15"/>
  <c r="U400" i="15" s="1"/>
  <c r="S397" i="15"/>
  <c r="U397" i="15" s="1"/>
  <c r="T530" i="15"/>
  <c r="V530" i="15" s="1"/>
  <c r="T491" i="15"/>
  <c r="V491" i="15" s="1"/>
  <c r="T474" i="15"/>
  <c r="V474" i="15" s="1"/>
  <c r="S452" i="15"/>
  <c r="U452" i="15" s="1"/>
  <c r="T449" i="15"/>
  <c r="V449" i="15" s="1"/>
  <c r="S448" i="15"/>
  <c r="U448" i="15" s="1"/>
  <c r="S430" i="15"/>
  <c r="U430" i="15" s="1"/>
  <c r="T427" i="15"/>
  <c r="V427" i="15" s="1"/>
  <c r="S420" i="15"/>
  <c r="U420" i="15" s="1"/>
  <c r="T415" i="15"/>
  <c r="V415" i="15" s="1"/>
  <c r="S411" i="15"/>
  <c r="U411" i="15" s="1"/>
  <c r="T406" i="15"/>
  <c r="V406" i="15" s="1"/>
  <c r="T402" i="15"/>
  <c r="V402" i="15" s="1"/>
  <c r="T399" i="15"/>
  <c r="V399" i="15" s="1"/>
  <c r="T396" i="15"/>
  <c r="V396" i="15" s="1"/>
  <c r="S474" i="15"/>
  <c r="U474" i="15" s="1"/>
  <c r="S466" i="15"/>
  <c r="U466" i="15" s="1"/>
  <c r="S449" i="15"/>
  <c r="U449" i="15" s="1"/>
  <c r="S427" i="15"/>
  <c r="U427" i="15" s="1"/>
  <c r="T419" i="15"/>
  <c r="V419" i="15" s="1"/>
  <c r="S415" i="15"/>
  <c r="U415" i="15" s="1"/>
  <c r="T410" i="15"/>
  <c r="V410" i="15" s="1"/>
  <c r="S480" i="15"/>
  <c r="U480" i="15" s="1"/>
  <c r="T423" i="15"/>
  <c r="V423" i="15" s="1"/>
  <c r="S413" i="15"/>
  <c r="U413" i="15" s="1"/>
  <c r="T400" i="15"/>
  <c r="V400" i="15" s="1"/>
  <c r="S389" i="15"/>
  <c r="U389" i="15" s="1"/>
  <c r="S386" i="15"/>
  <c r="U386" i="15" s="1"/>
  <c r="S383" i="15"/>
  <c r="U383" i="15" s="1"/>
  <c r="S380" i="15"/>
  <c r="U380" i="15" s="1"/>
  <c r="S377" i="15"/>
  <c r="U377" i="15" s="1"/>
  <c r="S374" i="15"/>
  <c r="U374" i="15" s="1"/>
  <c r="S371" i="15"/>
  <c r="U371" i="15" s="1"/>
  <c r="S368" i="15"/>
  <c r="U368" i="15" s="1"/>
  <c r="S365" i="15"/>
  <c r="U365" i="15" s="1"/>
  <c r="S362" i="15"/>
  <c r="U362" i="15" s="1"/>
  <c r="S359" i="15"/>
  <c r="U359" i="15" s="1"/>
  <c r="S356" i="15"/>
  <c r="U356" i="15" s="1"/>
  <c r="S353" i="15"/>
  <c r="U353" i="15" s="1"/>
  <c r="S350" i="15"/>
  <c r="U350" i="15" s="1"/>
  <c r="S347" i="15"/>
  <c r="U347" i="15" s="1"/>
  <c r="S344" i="15"/>
  <c r="U344" i="15" s="1"/>
  <c r="S341" i="15"/>
  <c r="U341" i="15" s="1"/>
  <c r="S338" i="15"/>
  <c r="U338" i="15" s="1"/>
  <c r="S335" i="15"/>
  <c r="U335" i="15" s="1"/>
  <c r="S332" i="15"/>
  <c r="U332" i="15" s="1"/>
  <c r="S329" i="15"/>
  <c r="U329" i="15" s="1"/>
  <c r="S326" i="15"/>
  <c r="U326" i="15" s="1"/>
  <c r="S323" i="15"/>
  <c r="U323" i="15" s="1"/>
  <c r="S320" i="15"/>
  <c r="U320" i="15" s="1"/>
  <c r="S317" i="15"/>
  <c r="U317" i="15" s="1"/>
  <c r="S314" i="15"/>
  <c r="U314" i="15" s="1"/>
  <c r="S533" i="15"/>
  <c r="U533" i="15" s="1"/>
  <c r="T408" i="15"/>
  <c r="V408" i="15" s="1"/>
  <c r="T393" i="15"/>
  <c r="V393" i="15" s="1"/>
  <c r="T451" i="15"/>
  <c r="V451" i="15" s="1"/>
  <c r="T446" i="15"/>
  <c r="V446" i="15" s="1"/>
  <c r="T444" i="15"/>
  <c r="V444" i="15" s="1"/>
  <c r="T442" i="15"/>
  <c r="V442" i="15" s="1"/>
  <c r="T440" i="15"/>
  <c r="V440" i="15" s="1"/>
  <c r="S408" i="15"/>
  <c r="U408" i="15" s="1"/>
  <c r="S396" i="15"/>
  <c r="U396" i="15" s="1"/>
  <c r="S393" i="15"/>
  <c r="U393" i="15" s="1"/>
  <c r="T477" i="15"/>
  <c r="V477" i="15" s="1"/>
  <c r="S445" i="15"/>
  <c r="U445" i="15" s="1"/>
  <c r="T443" i="15"/>
  <c r="V443" i="15" s="1"/>
  <c r="T441" i="15"/>
  <c r="V441" i="15" s="1"/>
  <c r="S422" i="15"/>
  <c r="U422" i="15" s="1"/>
  <c r="S417" i="15"/>
  <c r="U417" i="15" s="1"/>
  <c r="T412" i="15"/>
  <c r="V412" i="15" s="1"/>
  <c r="T403" i="15"/>
  <c r="V403" i="15" s="1"/>
  <c r="S387" i="15"/>
  <c r="U387" i="15" s="1"/>
  <c r="S384" i="15"/>
  <c r="U384" i="15" s="1"/>
  <c r="S381" i="15"/>
  <c r="U381" i="15" s="1"/>
  <c r="S378" i="15"/>
  <c r="U378" i="15" s="1"/>
  <c r="S375" i="15"/>
  <c r="U375" i="15" s="1"/>
  <c r="S372" i="15"/>
  <c r="U372" i="15" s="1"/>
  <c r="S369" i="15"/>
  <c r="U369" i="15" s="1"/>
  <c r="S366" i="15"/>
  <c r="U366" i="15" s="1"/>
  <c r="S363" i="15"/>
  <c r="U363" i="15" s="1"/>
  <c r="S360" i="15"/>
  <c r="U360" i="15" s="1"/>
  <c r="S357" i="15"/>
  <c r="U357" i="15" s="1"/>
  <c r="S354" i="15"/>
  <c r="U354" i="15" s="1"/>
  <c r="S351" i="15"/>
  <c r="U351" i="15" s="1"/>
  <c r="S469" i="15"/>
  <c r="U469" i="15" s="1"/>
  <c r="T460" i="15"/>
  <c r="V460" i="15" s="1"/>
  <c r="T456" i="15"/>
  <c r="V456" i="15" s="1"/>
  <c r="S439" i="15"/>
  <c r="U439" i="15" s="1"/>
  <c r="T435" i="15"/>
  <c r="V435" i="15" s="1"/>
  <c r="T433" i="15"/>
  <c r="V433" i="15" s="1"/>
  <c r="T431" i="15"/>
  <c r="V431" i="15" s="1"/>
  <c r="T390" i="15"/>
  <c r="V390" i="15" s="1"/>
  <c r="S464" i="15"/>
  <c r="U464" i="15" s="1"/>
  <c r="S433" i="15"/>
  <c r="U433" i="15" s="1"/>
  <c r="S431" i="15"/>
  <c r="U431" i="15" s="1"/>
  <c r="T420" i="15"/>
  <c r="V420" i="15" s="1"/>
  <c r="S410" i="15"/>
  <c r="U410" i="15" s="1"/>
  <c r="S497" i="15"/>
  <c r="U497" i="15" s="1"/>
  <c r="S458" i="15"/>
  <c r="U458" i="15" s="1"/>
  <c r="S436" i="15"/>
  <c r="U436" i="15" s="1"/>
  <c r="S406" i="15"/>
  <c r="U406" i="15" s="1"/>
  <c r="S349" i="15"/>
  <c r="U349" i="15" s="1"/>
  <c r="S348" i="15"/>
  <c r="U348" i="15" s="1"/>
  <c r="S333" i="15"/>
  <c r="U333" i="15" s="1"/>
  <c r="S324" i="15"/>
  <c r="U324" i="15" s="1"/>
  <c r="S315" i="15"/>
  <c r="U315" i="15" s="1"/>
  <c r="T309" i="15"/>
  <c r="V309" i="15" s="1"/>
  <c r="S305" i="15"/>
  <c r="U305" i="15" s="1"/>
  <c r="T300" i="15"/>
  <c r="V300" i="15" s="1"/>
  <c r="T297" i="15"/>
  <c r="V297" i="15" s="1"/>
  <c r="T294" i="15"/>
  <c r="V294" i="15" s="1"/>
  <c r="T291" i="15"/>
  <c r="V291" i="15" s="1"/>
  <c r="T288" i="15"/>
  <c r="V288" i="15" s="1"/>
  <c r="T285" i="15"/>
  <c r="V285" i="15" s="1"/>
  <c r="T282" i="15"/>
  <c r="V282" i="15" s="1"/>
  <c r="T279" i="15"/>
  <c r="V279" i="15" s="1"/>
  <c r="T276" i="15"/>
  <c r="V276" i="15" s="1"/>
  <c r="S531" i="15"/>
  <c r="U531" i="15" s="1"/>
  <c r="T448" i="15"/>
  <c r="V448" i="15" s="1"/>
  <c r="T381" i="15"/>
  <c r="V381" i="15" s="1"/>
  <c r="T372" i="15"/>
  <c r="V372" i="15" s="1"/>
  <c r="T363" i="15"/>
  <c r="V363" i="15" s="1"/>
  <c r="T354" i="15"/>
  <c r="V354" i="15" s="1"/>
  <c r="T332" i="15"/>
  <c r="V332" i="15" s="1"/>
  <c r="T331" i="15"/>
  <c r="V331" i="15" s="1"/>
  <c r="T323" i="15"/>
  <c r="V323" i="15" s="1"/>
  <c r="T322" i="15"/>
  <c r="V322" i="15" s="1"/>
  <c r="T314" i="15"/>
  <c r="V314" i="15" s="1"/>
  <c r="T313" i="15"/>
  <c r="V313" i="15" s="1"/>
  <c r="S309" i="15"/>
  <c r="U309" i="15" s="1"/>
  <c r="T304" i="15"/>
  <c r="V304" i="15" s="1"/>
  <c r="S300" i="15"/>
  <c r="U300" i="15" s="1"/>
  <c r="S297" i="15"/>
  <c r="U297" i="15" s="1"/>
  <c r="S294" i="15"/>
  <c r="U294" i="15" s="1"/>
  <c r="S291" i="15"/>
  <c r="U291" i="15" s="1"/>
  <c r="S288" i="15"/>
  <c r="U288" i="15" s="1"/>
  <c r="S285" i="15"/>
  <c r="U285" i="15" s="1"/>
  <c r="S282" i="15"/>
  <c r="U282" i="15" s="1"/>
  <c r="T426" i="15"/>
  <c r="V426" i="15" s="1"/>
  <c r="T422" i="15"/>
  <c r="V422" i="15" s="1"/>
  <c r="S390" i="15"/>
  <c r="U390" i="15" s="1"/>
  <c r="T386" i="15"/>
  <c r="V386" i="15" s="1"/>
  <c r="T382" i="15"/>
  <c r="V382" i="15" s="1"/>
  <c r="T377" i="15"/>
  <c r="V377" i="15" s="1"/>
  <c r="T373" i="15"/>
  <c r="V373" i="15" s="1"/>
  <c r="T368" i="15"/>
  <c r="V368" i="15" s="1"/>
  <c r="T364" i="15"/>
  <c r="V364" i="15" s="1"/>
  <c r="T359" i="15"/>
  <c r="V359" i="15" s="1"/>
  <c r="T355" i="15"/>
  <c r="V355" i="15" s="1"/>
  <c r="T350" i="15"/>
  <c r="V350" i="15" s="1"/>
  <c r="S331" i="15"/>
  <c r="U331" i="15" s="1"/>
  <c r="S322" i="15"/>
  <c r="U322" i="15" s="1"/>
  <c r="S313" i="15"/>
  <c r="U313" i="15" s="1"/>
  <c r="S304" i="15"/>
  <c r="U304" i="15" s="1"/>
  <c r="T462" i="15"/>
  <c r="V462" i="15" s="1"/>
  <c r="T428" i="15"/>
  <c r="V428" i="15" s="1"/>
  <c r="S424" i="15"/>
  <c r="U424" i="15" s="1"/>
  <c r="S416" i="15"/>
  <c r="U416" i="15" s="1"/>
  <c r="S404" i="15"/>
  <c r="U404" i="15" s="1"/>
  <c r="S392" i="15"/>
  <c r="U392" i="15" s="1"/>
  <c r="S346" i="15"/>
  <c r="U346" i="15" s="1"/>
  <c r="S345" i="15"/>
  <c r="U345" i="15" s="1"/>
  <c r="T344" i="15"/>
  <c r="V344" i="15" s="1"/>
  <c r="S342" i="15"/>
  <c r="U342" i="15" s="1"/>
  <c r="T341" i="15"/>
  <c r="V341" i="15" s="1"/>
  <c r="S339" i="15"/>
  <c r="U339" i="15" s="1"/>
  <c r="T338" i="15"/>
  <c r="V338" i="15" s="1"/>
  <c r="S336" i="15"/>
  <c r="U336" i="15" s="1"/>
  <c r="S327" i="15"/>
  <c r="U327" i="15" s="1"/>
  <c r="S318" i="15"/>
  <c r="U318" i="15" s="1"/>
  <c r="S311" i="15"/>
  <c r="U311" i="15" s="1"/>
  <c r="T306" i="15"/>
  <c r="V306" i="15" s="1"/>
  <c r="S302" i="15"/>
  <c r="U302" i="15" s="1"/>
  <c r="T298" i="15"/>
  <c r="V298" i="15" s="1"/>
  <c r="T295" i="15"/>
  <c r="V295" i="15" s="1"/>
  <c r="T292" i="15"/>
  <c r="V292" i="15" s="1"/>
  <c r="T289" i="15"/>
  <c r="V289" i="15" s="1"/>
  <c r="T286" i="15"/>
  <c r="V286" i="15" s="1"/>
  <c r="T283" i="15"/>
  <c r="V283" i="15" s="1"/>
  <c r="T280" i="15"/>
  <c r="V280" i="15" s="1"/>
  <c r="T277" i="15"/>
  <c r="V277" i="15" s="1"/>
  <c r="T274" i="15"/>
  <c r="V274" i="15" s="1"/>
  <c r="T271" i="15"/>
  <c r="V271" i="15" s="1"/>
  <c r="T268" i="15"/>
  <c r="V268" i="15" s="1"/>
  <c r="T265" i="15"/>
  <c r="V265" i="15" s="1"/>
  <c r="T262" i="15"/>
  <c r="V262" i="15" s="1"/>
  <c r="T259" i="15"/>
  <c r="V259" i="15" s="1"/>
  <c r="T256" i="15"/>
  <c r="V256" i="15" s="1"/>
  <c r="S419" i="15"/>
  <c r="U419" i="15" s="1"/>
  <c r="T389" i="15"/>
  <c r="V389" i="15" s="1"/>
  <c r="T385" i="15"/>
  <c r="V385" i="15" s="1"/>
  <c r="T380" i="15"/>
  <c r="V380" i="15" s="1"/>
  <c r="T376" i="15"/>
  <c r="V376" i="15" s="1"/>
  <c r="T371" i="15"/>
  <c r="V371" i="15" s="1"/>
  <c r="T367" i="15"/>
  <c r="V367" i="15" s="1"/>
  <c r="T362" i="15"/>
  <c r="V362" i="15" s="1"/>
  <c r="T358" i="15"/>
  <c r="V358" i="15" s="1"/>
  <c r="T353" i="15"/>
  <c r="V353" i="15" s="1"/>
  <c r="T347" i="15"/>
  <c r="V347" i="15" s="1"/>
  <c r="S334" i="15"/>
  <c r="U334" i="15" s="1"/>
  <c r="S325" i="15"/>
  <c r="U325" i="15" s="1"/>
  <c r="T411" i="15"/>
  <c r="V411" i="15" s="1"/>
  <c r="T392" i="15"/>
  <c r="V392" i="15" s="1"/>
  <c r="T383" i="15"/>
  <c r="V383" i="15" s="1"/>
  <c r="S361" i="15"/>
  <c r="U361" i="15" s="1"/>
  <c r="T352" i="15"/>
  <c r="V352" i="15" s="1"/>
  <c r="T348" i="15"/>
  <c r="V348" i="15" s="1"/>
  <c r="T346" i="15"/>
  <c r="V346" i="15" s="1"/>
  <c r="S328" i="15"/>
  <c r="U328" i="15" s="1"/>
  <c r="T308" i="15"/>
  <c r="V308" i="15" s="1"/>
  <c r="T302" i="15"/>
  <c r="V302" i="15" s="1"/>
  <c r="S269" i="15"/>
  <c r="U269" i="15" s="1"/>
  <c r="S260" i="15"/>
  <c r="U260" i="15" s="1"/>
  <c r="T252" i="15"/>
  <c r="V252" i="15" s="1"/>
  <c r="T430" i="15"/>
  <c r="V430" i="15" s="1"/>
  <c r="T417" i="15"/>
  <c r="V417" i="15" s="1"/>
  <c r="S402" i="15"/>
  <c r="U402" i="15" s="1"/>
  <c r="T394" i="15"/>
  <c r="V394" i="15" s="1"/>
  <c r="S385" i="15"/>
  <c r="U385" i="15" s="1"/>
  <c r="T374" i="15"/>
  <c r="V374" i="15" s="1"/>
  <c r="S352" i="15"/>
  <c r="U352" i="15" s="1"/>
  <c r="T339" i="15"/>
  <c r="V339" i="15" s="1"/>
  <c r="T334" i="15"/>
  <c r="V334" i="15" s="1"/>
  <c r="S394" i="15"/>
  <c r="U394" i="15" s="1"/>
  <c r="T387" i="15"/>
  <c r="V387" i="15" s="1"/>
  <c r="S376" i="15"/>
  <c r="U376" i="15" s="1"/>
  <c r="T365" i="15"/>
  <c r="V365" i="15" s="1"/>
  <c r="T337" i="15"/>
  <c r="V337" i="15" s="1"/>
  <c r="T320" i="15"/>
  <c r="V320" i="15" s="1"/>
  <c r="T317" i="15"/>
  <c r="V317" i="15" s="1"/>
  <c r="S303" i="15"/>
  <c r="U303" i="15" s="1"/>
  <c r="S296" i="15"/>
  <c r="U296" i="15" s="1"/>
  <c r="S287" i="15"/>
  <c r="U287" i="15" s="1"/>
  <c r="S515" i="15"/>
  <c r="U515" i="15" s="1"/>
  <c r="S421" i="15"/>
  <c r="U421" i="15" s="1"/>
  <c r="T378" i="15"/>
  <c r="V378" i="15" s="1"/>
  <c r="S367" i="15"/>
  <c r="U367" i="15" s="1"/>
  <c r="T356" i="15"/>
  <c r="V356" i="15" s="1"/>
  <c r="S337" i="15"/>
  <c r="U337" i="15" s="1"/>
  <c r="T391" i="15"/>
  <c r="V391" i="15" s="1"/>
  <c r="S373" i="15"/>
  <c r="U373" i="15" s="1"/>
  <c r="T360" i="15"/>
  <c r="V360" i="15" s="1"/>
  <c r="T349" i="15"/>
  <c r="V349" i="15" s="1"/>
  <c r="T340" i="15"/>
  <c r="V340" i="15" s="1"/>
  <c r="T321" i="15"/>
  <c r="V321" i="15" s="1"/>
  <c r="T310" i="15"/>
  <c r="V310" i="15" s="1"/>
  <c r="T299" i="15"/>
  <c r="V299" i="15" s="1"/>
  <c r="S298" i="15"/>
  <c r="U298" i="15" s="1"/>
  <c r="T290" i="15"/>
  <c r="V290" i="15" s="1"/>
  <c r="S289" i="15"/>
  <c r="U289" i="15" s="1"/>
  <c r="T281" i="15"/>
  <c r="V281" i="15" s="1"/>
  <c r="S280" i="15"/>
  <c r="U280" i="15" s="1"/>
  <c r="S391" i="15"/>
  <c r="U391" i="15" s="1"/>
  <c r="S364" i="15"/>
  <c r="U364" i="15" s="1"/>
  <c r="T445" i="15"/>
  <c r="V445" i="15" s="1"/>
  <c r="S434" i="15"/>
  <c r="U434" i="15" s="1"/>
  <c r="T388" i="15"/>
  <c r="V388" i="15" s="1"/>
  <c r="T375" i="15"/>
  <c r="V375" i="15" s="1"/>
  <c r="S399" i="15"/>
  <c r="U399" i="15" s="1"/>
  <c r="T370" i="15"/>
  <c r="V370" i="15" s="1"/>
  <c r="T345" i="15"/>
  <c r="V345" i="15" s="1"/>
  <c r="T342" i="15"/>
  <c r="V342" i="15" s="1"/>
  <c r="S307" i="15"/>
  <c r="U307" i="15" s="1"/>
  <c r="S278" i="15"/>
  <c r="U278" i="15" s="1"/>
  <c r="S253" i="15"/>
  <c r="U253" i="15" s="1"/>
  <c r="T244" i="15"/>
  <c r="V244" i="15" s="1"/>
  <c r="T235" i="15"/>
  <c r="V235" i="15" s="1"/>
  <c r="T231" i="15"/>
  <c r="V231" i="15" s="1"/>
  <c r="T228" i="15"/>
  <c r="V228" i="15" s="1"/>
  <c r="T225" i="15"/>
  <c r="V225" i="15" s="1"/>
  <c r="T222" i="15"/>
  <c r="V222" i="15" s="1"/>
  <c r="T219" i="15"/>
  <c r="V219" i="15" s="1"/>
  <c r="T216" i="15"/>
  <c r="V216" i="15" s="1"/>
  <c r="T213" i="15"/>
  <c r="V213" i="15" s="1"/>
  <c r="T210" i="15"/>
  <c r="V210" i="15" s="1"/>
  <c r="S370" i="15"/>
  <c r="U370" i="15" s="1"/>
  <c r="S355" i="15"/>
  <c r="U355" i="15" s="1"/>
  <c r="T324" i="15"/>
  <c r="V324" i="15" s="1"/>
  <c r="S310" i="15"/>
  <c r="U310" i="15" s="1"/>
  <c r="T397" i="15"/>
  <c r="V397" i="15" s="1"/>
  <c r="T369" i="15"/>
  <c r="V369" i="15" s="1"/>
  <c r="T351" i="15"/>
  <c r="V351" i="15" s="1"/>
  <c r="T336" i="15"/>
  <c r="V336" i="15" s="1"/>
  <c r="T315" i="15"/>
  <c r="V315" i="15" s="1"/>
  <c r="T305" i="15"/>
  <c r="V305" i="15" s="1"/>
  <c r="S407" i="15"/>
  <c r="U407" i="15" s="1"/>
  <c r="T434" i="15"/>
  <c r="V434" i="15" s="1"/>
  <c r="T384" i="15"/>
  <c r="V384" i="15" s="1"/>
  <c r="S379" i="15"/>
  <c r="U379" i="15" s="1"/>
  <c r="S321" i="15"/>
  <c r="U321" i="15" s="1"/>
  <c r="S319" i="15"/>
  <c r="U319" i="15" s="1"/>
  <c r="S308" i="15"/>
  <c r="U308" i="15" s="1"/>
  <c r="T303" i="15"/>
  <c r="V303" i="15" s="1"/>
  <c r="S250" i="15"/>
  <c r="U250" i="15" s="1"/>
  <c r="S358" i="15"/>
  <c r="U358" i="15" s="1"/>
  <c r="S330" i="15"/>
  <c r="U330" i="15" s="1"/>
  <c r="T311" i="15"/>
  <c r="V311" i="15" s="1"/>
  <c r="S275" i="15"/>
  <c r="U275" i="15" s="1"/>
  <c r="S274" i="15"/>
  <c r="U274" i="15" s="1"/>
  <c r="T273" i="15"/>
  <c r="V273" i="15" s="1"/>
  <c r="T272" i="15"/>
  <c r="V272" i="15" s="1"/>
  <c r="S249" i="15"/>
  <c r="U249" i="15" s="1"/>
  <c r="T248" i="15"/>
  <c r="V248" i="15" s="1"/>
  <c r="S242" i="15"/>
  <c r="U242" i="15" s="1"/>
  <c r="T237" i="15"/>
  <c r="V237" i="15" s="1"/>
  <c r="S233" i="15"/>
  <c r="U233" i="15" s="1"/>
  <c r="T432" i="15"/>
  <c r="V432" i="15" s="1"/>
  <c r="T357" i="15"/>
  <c r="V357" i="15" s="1"/>
  <c r="T327" i="15"/>
  <c r="V327" i="15" s="1"/>
  <c r="T312" i="15"/>
  <c r="V312" i="15" s="1"/>
  <c r="S299" i="15"/>
  <c r="U299" i="15" s="1"/>
  <c r="T296" i="15"/>
  <c r="V296" i="15" s="1"/>
  <c r="T293" i="15"/>
  <c r="V293" i="15" s="1"/>
  <c r="S290" i="15"/>
  <c r="U290" i="15" s="1"/>
  <c r="T287" i="15"/>
  <c r="V287" i="15" s="1"/>
  <c r="T284" i="15"/>
  <c r="V284" i="15" s="1"/>
  <c r="S281" i="15"/>
  <c r="U281" i="15" s="1"/>
  <c r="S261" i="15"/>
  <c r="U261" i="15" s="1"/>
  <c r="S258" i="15"/>
  <c r="U258" i="15" s="1"/>
  <c r="S257" i="15"/>
  <c r="U257" i="15" s="1"/>
  <c r="S256" i="15"/>
  <c r="U256" i="15" s="1"/>
  <c r="T361" i="15"/>
  <c r="V361" i="15" s="1"/>
  <c r="T329" i="15"/>
  <c r="V329" i="15" s="1"/>
  <c r="S312" i="15"/>
  <c r="U312" i="15" s="1"/>
  <c r="T307" i="15"/>
  <c r="V307" i="15" s="1"/>
  <c r="S293" i="15"/>
  <c r="U293" i="15" s="1"/>
  <c r="S284" i="15"/>
  <c r="U284" i="15" s="1"/>
  <c r="T454" i="15"/>
  <c r="V454" i="15" s="1"/>
  <c r="T318" i="15"/>
  <c r="V318" i="15" s="1"/>
  <c r="S306" i="15"/>
  <c r="U306" i="15" s="1"/>
  <c r="S263" i="15"/>
  <c r="U263" i="15" s="1"/>
  <c r="T260" i="15"/>
  <c r="V260" i="15" s="1"/>
  <c r="T257" i="15"/>
  <c r="V257" i="15" s="1"/>
  <c r="T253" i="15"/>
  <c r="V253" i="15" s="1"/>
  <c r="S247" i="15"/>
  <c r="U247" i="15" s="1"/>
  <c r="S231" i="15"/>
  <c r="U231" i="15" s="1"/>
  <c r="S222" i="15"/>
  <c r="U222" i="15" s="1"/>
  <c r="S213" i="15"/>
  <c r="U213" i="15" s="1"/>
  <c r="S207" i="15"/>
  <c r="U207" i="15" s="1"/>
  <c r="S382" i="15"/>
  <c r="U382" i="15" s="1"/>
  <c r="S283" i="15"/>
  <c r="U283" i="15" s="1"/>
  <c r="T278" i="15"/>
  <c r="V278" i="15" s="1"/>
  <c r="T230" i="15"/>
  <c r="V230" i="15" s="1"/>
  <c r="T221" i="15"/>
  <c r="V221" i="15" s="1"/>
  <c r="T212" i="15"/>
  <c r="V212" i="15" s="1"/>
  <c r="T203" i="15"/>
  <c r="V203" i="15" s="1"/>
  <c r="T200" i="15"/>
  <c r="V200" i="15" s="1"/>
  <c r="T197" i="15"/>
  <c r="V197" i="15" s="1"/>
  <c r="T194" i="15"/>
  <c r="V194" i="15" s="1"/>
  <c r="T191" i="15"/>
  <c r="V191" i="15" s="1"/>
  <c r="T188" i="15"/>
  <c r="V188" i="15" s="1"/>
  <c r="T185" i="15"/>
  <c r="V185" i="15" s="1"/>
  <c r="T182" i="15"/>
  <c r="V182" i="15" s="1"/>
  <c r="T179" i="15"/>
  <c r="V179" i="15" s="1"/>
  <c r="T176" i="15"/>
  <c r="V176" i="15" s="1"/>
  <c r="T173" i="15"/>
  <c r="V173" i="15" s="1"/>
  <c r="T170" i="15"/>
  <c r="V170" i="15" s="1"/>
  <c r="T167" i="15"/>
  <c r="V167" i="15" s="1"/>
  <c r="T164" i="15"/>
  <c r="V164" i="15" s="1"/>
  <c r="T161" i="15"/>
  <c r="V161" i="15" s="1"/>
  <c r="T158" i="15"/>
  <c r="V158" i="15" s="1"/>
  <c r="T155" i="15"/>
  <c r="V155" i="15" s="1"/>
  <c r="T152" i="15"/>
  <c r="V152" i="15" s="1"/>
  <c r="T149" i="15"/>
  <c r="V149" i="15" s="1"/>
  <c r="T146" i="15"/>
  <c r="V146" i="15" s="1"/>
  <c r="T328" i="15"/>
  <c r="V328" i="15" s="1"/>
  <c r="S276" i="15"/>
  <c r="U276" i="15" s="1"/>
  <c r="S273" i="15"/>
  <c r="U273" i="15" s="1"/>
  <c r="T270" i="15"/>
  <c r="V270" i="15" s="1"/>
  <c r="T267" i="15"/>
  <c r="V267" i="15" s="1"/>
  <c r="T254" i="15"/>
  <c r="V254" i="15" s="1"/>
  <c r="S248" i="15"/>
  <c r="U248" i="15" s="1"/>
  <c r="S230" i="15"/>
  <c r="U230" i="15" s="1"/>
  <c r="T229" i="15"/>
  <c r="V229" i="15" s="1"/>
  <c r="S221" i="15"/>
  <c r="U221" i="15" s="1"/>
  <c r="T220" i="15"/>
  <c r="V220" i="15" s="1"/>
  <c r="S212" i="15"/>
  <c r="U212" i="15" s="1"/>
  <c r="T211" i="15"/>
  <c r="V211" i="15" s="1"/>
  <c r="T379" i="15"/>
  <c r="V379" i="15" s="1"/>
  <c r="T316" i="15"/>
  <c r="V316" i="15" s="1"/>
  <c r="S279" i="15"/>
  <c r="U279" i="15" s="1"/>
  <c r="S277" i="15"/>
  <c r="U277" i="15" s="1"/>
  <c r="S262" i="15"/>
  <c r="U262" i="15" s="1"/>
  <c r="S259" i="15"/>
  <c r="U259" i="15" s="1"/>
  <c r="S251" i="15"/>
  <c r="U251" i="15" s="1"/>
  <c r="T245" i="15"/>
  <c r="V245" i="15" s="1"/>
  <c r="S244" i="15"/>
  <c r="U244" i="15" s="1"/>
  <c r="S243" i="15"/>
  <c r="U243" i="15" s="1"/>
  <c r="T242" i="15"/>
  <c r="V242" i="15" s="1"/>
  <c r="T241" i="15"/>
  <c r="V241" i="15" s="1"/>
  <c r="T240" i="15"/>
  <c r="V240" i="15" s="1"/>
  <c r="T239" i="15"/>
  <c r="V239" i="15" s="1"/>
  <c r="S225" i="15"/>
  <c r="U225" i="15" s="1"/>
  <c r="S216" i="15"/>
  <c r="U216" i="15" s="1"/>
  <c r="T208" i="15"/>
  <c r="V208" i="15" s="1"/>
  <c r="T330" i="15"/>
  <c r="V330" i="15" s="1"/>
  <c r="T319" i="15"/>
  <c r="V319" i="15" s="1"/>
  <c r="T275" i="15"/>
  <c r="V275" i="15" s="1"/>
  <c r="S245" i="15"/>
  <c r="U245" i="15" s="1"/>
  <c r="S241" i="15"/>
  <c r="U241" i="15" s="1"/>
  <c r="S240" i="15"/>
  <c r="U240" i="15" s="1"/>
  <c r="S239" i="15"/>
  <c r="U239" i="15" s="1"/>
  <c r="T238" i="15"/>
  <c r="V238" i="15" s="1"/>
  <c r="S237" i="15"/>
  <c r="U237" i="15" s="1"/>
  <c r="T236" i="15"/>
  <c r="V236" i="15" s="1"/>
  <c r="T234" i="15"/>
  <c r="V234" i="15" s="1"/>
  <c r="T224" i="15"/>
  <c r="V224" i="15" s="1"/>
  <c r="T215" i="15"/>
  <c r="V215" i="15" s="1"/>
  <c r="S208" i="15"/>
  <c r="U208" i="15" s="1"/>
  <c r="T204" i="15"/>
  <c r="V204" i="15" s="1"/>
  <c r="T201" i="15"/>
  <c r="V201" i="15" s="1"/>
  <c r="T198" i="15"/>
  <c r="V198" i="15" s="1"/>
  <c r="T195" i="15"/>
  <c r="V195" i="15" s="1"/>
  <c r="T192" i="15"/>
  <c r="V192" i="15" s="1"/>
  <c r="T189" i="15"/>
  <c r="V189" i="15" s="1"/>
  <c r="T186" i="15"/>
  <c r="V186" i="15" s="1"/>
  <c r="T343" i="15"/>
  <c r="V343" i="15" s="1"/>
  <c r="T325" i="15"/>
  <c r="V325" i="15" s="1"/>
  <c r="S272" i="15"/>
  <c r="U272" i="15" s="1"/>
  <c r="T366" i="15"/>
  <c r="V366" i="15" s="1"/>
  <c r="S343" i="15"/>
  <c r="U343" i="15" s="1"/>
  <c r="S266" i="15"/>
  <c r="U266" i="15" s="1"/>
  <c r="S218" i="15"/>
  <c r="U218" i="15" s="1"/>
  <c r="T209" i="15"/>
  <c r="V209" i="15" s="1"/>
  <c r="S203" i="15"/>
  <c r="U203" i="15" s="1"/>
  <c r="S202" i="15"/>
  <c r="U202" i="15" s="1"/>
  <c r="S194" i="15"/>
  <c r="U194" i="15" s="1"/>
  <c r="S193" i="15"/>
  <c r="U193" i="15" s="1"/>
  <c r="S185" i="15"/>
  <c r="U185" i="15" s="1"/>
  <c r="T184" i="15"/>
  <c r="V184" i="15" s="1"/>
  <c r="T183" i="15"/>
  <c r="V183" i="15" s="1"/>
  <c r="S182" i="15"/>
  <c r="U182" i="15" s="1"/>
  <c r="T181" i="15"/>
  <c r="V181" i="15" s="1"/>
  <c r="T180" i="15"/>
  <c r="V180" i="15" s="1"/>
  <c r="S179" i="15"/>
  <c r="U179" i="15" s="1"/>
  <c r="T178" i="15"/>
  <c r="V178" i="15" s="1"/>
  <c r="T177" i="15"/>
  <c r="V177" i="15" s="1"/>
  <c r="S176" i="15"/>
  <c r="U176" i="15" s="1"/>
  <c r="T175" i="15"/>
  <c r="V175" i="15" s="1"/>
  <c r="T174" i="15"/>
  <c r="V174" i="15" s="1"/>
  <c r="S173" i="15"/>
  <c r="U173" i="15" s="1"/>
  <c r="T172" i="15"/>
  <c r="V172" i="15" s="1"/>
  <c r="T163" i="15"/>
  <c r="V163" i="15" s="1"/>
  <c r="T154" i="15"/>
  <c r="V154" i="15" s="1"/>
  <c r="S141" i="15"/>
  <c r="U141" i="15" s="1"/>
  <c r="S137" i="15"/>
  <c r="U137" i="15" s="1"/>
  <c r="S134" i="15"/>
  <c r="U134" i="15" s="1"/>
  <c r="S131" i="15"/>
  <c r="U131" i="15" s="1"/>
  <c r="S128" i="15"/>
  <c r="U128" i="15" s="1"/>
  <c r="S125" i="15"/>
  <c r="U125" i="15" s="1"/>
  <c r="S122" i="15"/>
  <c r="U122" i="15" s="1"/>
  <c r="S119" i="15"/>
  <c r="U119" i="15" s="1"/>
  <c r="S116" i="15"/>
  <c r="U116" i="15" s="1"/>
  <c r="S113" i="15"/>
  <c r="U113" i="15" s="1"/>
  <c r="S110" i="15"/>
  <c r="U110" i="15" s="1"/>
  <c r="S107" i="15"/>
  <c r="U107" i="15" s="1"/>
  <c r="S104" i="15"/>
  <c r="U104" i="15" s="1"/>
  <c r="S101" i="15"/>
  <c r="U101" i="15" s="1"/>
  <c r="S340" i="15"/>
  <c r="U340" i="15" s="1"/>
  <c r="T326" i="15"/>
  <c r="V326" i="15" s="1"/>
  <c r="S271" i="15"/>
  <c r="U271" i="15" s="1"/>
  <c r="T258" i="15"/>
  <c r="V258" i="15" s="1"/>
  <c r="S235" i="15"/>
  <c r="U235" i="15" s="1"/>
  <c r="T227" i="15"/>
  <c r="V227" i="15" s="1"/>
  <c r="S224" i="15"/>
  <c r="U224" i="15" s="1"/>
  <c r="S209" i="15"/>
  <c r="U209" i="15" s="1"/>
  <c r="S184" i="15"/>
  <c r="U184" i="15" s="1"/>
  <c r="S183" i="15"/>
  <c r="U183" i="15" s="1"/>
  <c r="S181" i="15"/>
  <c r="U181" i="15" s="1"/>
  <c r="S180" i="15"/>
  <c r="U180" i="15" s="1"/>
  <c r="S178" i="15"/>
  <c r="U178" i="15" s="1"/>
  <c r="S177" i="15"/>
  <c r="U177" i="15" s="1"/>
  <c r="S175" i="15"/>
  <c r="U175" i="15" s="1"/>
  <c r="S174" i="15"/>
  <c r="U174" i="15" s="1"/>
  <c r="S172" i="15"/>
  <c r="U172" i="15" s="1"/>
  <c r="T171" i="15"/>
  <c r="V171" i="15" s="1"/>
  <c r="S163" i="15"/>
  <c r="U163" i="15" s="1"/>
  <c r="T162" i="15"/>
  <c r="V162" i="15" s="1"/>
  <c r="S270" i="15"/>
  <c r="U270" i="15" s="1"/>
  <c r="T255" i="15"/>
  <c r="V255" i="15" s="1"/>
  <c r="T243" i="15"/>
  <c r="V243" i="15" s="1"/>
  <c r="S238" i="15"/>
  <c r="U238" i="15" s="1"/>
  <c r="T206" i="15"/>
  <c r="V206" i="15" s="1"/>
  <c r="S205" i="15"/>
  <c r="U205" i="15" s="1"/>
  <c r="S197" i="15"/>
  <c r="U197" i="15" s="1"/>
  <c r="S196" i="15"/>
  <c r="U196" i="15" s="1"/>
  <c r="S188" i="15"/>
  <c r="U188" i="15" s="1"/>
  <c r="S187" i="15"/>
  <c r="U187" i="15" s="1"/>
  <c r="T169" i="15"/>
  <c r="V169" i="15" s="1"/>
  <c r="T160" i="15"/>
  <c r="V160" i="15" s="1"/>
  <c r="T151" i="15"/>
  <c r="V151" i="15" s="1"/>
  <c r="S144" i="15"/>
  <c r="U144" i="15" s="1"/>
  <c r="S136" i="15"/>
  <c r="U136" i="15" s="1"/>
  <c r="S133" i="15"/>
  <c r="U133" i="15" s="1"/>
  <c r="S130" i="15"/>
  <c r="U130" i="15" s="1"/>
  <c r="S127" i="15"/>
  <c r="U127" i="15" s="1"/>
  <c r="S301" i="15"/>
  <c r="U301" i="15" s="1"/>
  <c r="T264" i="15"/>
  <c r="V264" i="15" s="1"/>
  <c r="T246" i="15"/>
  <c r="V246" i="15" s="1"/>
  <c r="S234" i="15"/>
  <c r="U234" i="15" s="1"/>
  <c r="T223" i="15"/>
  <c r="V223" i="15" s="1"/>
  <c r="S217" i="15"/>
  <c r="U217" i="15" s="1"/>
  <c r="S200" i="15"/>
  <c r="U200" i="15" s="1"/>
  <c r="S199" i="15"/>
  <c r="U199" i="15" s="1"/>
  <c r="S191" i="15"/>
  <c r="U191" i="15" s="1"/>
  <c r="S190" i="15"/>
  <c r="U190" i="15" s="1"/>
  <c r="T166" i="15"/>
  <c r="V166" i="15" s="1"/>
  <c r="T157" i="15"/>
  <c r="V157" i="15" s="1"/>
  <c r="T148" i="15"/>
  <c r="V148" i="15" s="1"/>
  <c r="S138" i="15"/>
  <c r="U138" i="15" s="1"/>
  <c r="S135" i="15"/>
  <c r="U135" i="15" s="1"/>
  <c r="S132" i="15"/>
  <c r="U132" i="15" s="1"/>
  <c r="S129" i="15"/>
  <c r="U129" i="15" s="1"/>
  <c r="S268" i="15"/>
  <c r="U268" i="15" s="1"/>
  <c r="T247" i="15"/>
  <c r="V247" i="15" s="1"/>
  <c r="S227" i="15"/>
  <c r="U227" i="15" s="1"/>
  <c r="S220" i="15"/>
  <c r="U220" i="15" s="1"/>
  <c r="T207" i="15"/>
  <c r="V207" i="15" s="1"/>
  <c r="S195" i="15"/>
  <c r="U195" i="15" s="1"/>
  <c r="T190" i="15"/>
  <c r="V190" i="15" s="1"/>
  <c r="S162" i="15"/>
  <c r="U162" i="15" s="1"/>
  <c r="S158" i="15"/>
  <c r="U158" i="15" s="1"/>
  <c r="T138" i="15"/>
  <c r="V138" i="15" s="1"/>
  <c r="T137" i="15"/>
  <c r="V137" i="15" s="1"/>
  <c r="T136" i="15"/>
  <c r="V136" i="15" s="1"/>
  <c r="T135" i="15"/>
  <c r="V135" i="15" s="1"/>
  <c r="T134" i="15"/>
  <c r="V134" i="15" s="1"/>
  <c r="T133" i="15"/>
  <c r="V133" i="15" s="1"/>
  <c r="T132" i="15"/>
  <c r="V132" i="15" s="1"/>
  <c r="T131" i="15"/>
  <c r="V131" i="15" s="1"/>
  <c r="T130" i="15"/>
  <c r="V130" i="15" s="1"/>
  <c r="T129" i="15"/>
  <c r="V129" i="15" s="1"/>
  <c r="S123" i="15"/>
  <c r="U123" i="15" s="1"/>
  <c r="T118" i="15"/>
  <c r="V118" i="15" s="1"/>
  <c r="S114" i="15"/>
  <c r="U114" i="15" s="1"/>
  <c r="T109" i="15"/>
  <c r="V109" i="15" s="1"/>
  <c r="S105" i="15"/>
  <c r="U105" i="15" s="1"/>
  <c r="S264" i="15"/>
  <c r="U264" i="15" s="1"/>
  <c r="T250" i="15"/>
  <c r="V250" i="15" s="1"/>
  <c r="S229" i="15"/>
  <c r="U229" i="15" s="1"/>
  <c r="T205" i="15"/>
  <c r="V205" i="15" s="1"/>
  <c r="S170" i="15"/>
  <c r="U170" i="15" s="1"/>
  <c r="S166" i="15"/>
  <c r="U166" i="15" s="1"/>
  <c r="S154" i="15"/>
  <c r="U154" i="15" s="1"/>
  <c r="S148" i="15"/>
  <c r="U148" i="15" s="1"/>
  <c r="T139" i="15"/>
  <c r="V139" i="15" s="1"/>
  <c r="T128" i="15"/>
  <c r="V128" i="15" s="1"/>
  <c r="S118" i="15"/>
  <c r="U118" i="15" s="1"/>
  <c r="S109" i="15"/>
  <c r="U109" i="15" s="1"/>
  <c r="S295" i="15"/>
  <c r="U295" i="15" s="1"/>
  <c r="S286" i="15"/>
  <c r="U286" i="15" s="1"/>
  <c r="T159" i="15"/>
  <c r="V159" i="15" s="1"/>
  <c r="T140" i="15"/>
  <c r="V140" i="15" s="1"/>
  <c r="S139" i="15"/>
  <c r="U139" i="15" s="1"/>
  <c r="T127" i="15"/>
  <c r="V127" i="15" s="1"/>
  <c r="T122" i="15"/>
  <c r="V122" i="15" s="1"/>
  <c r="T113" i="15"/>
  <c r="V113" i="15" s="1"/>
  <c r="T104" i="15"/>
  <c r="V104" i="15" s="1"/>
  <c r="T301" i="15"/>
  <c r="V301" i="15" s="1"/>
  <c r="T269" i="15"/>
  <c r="V269" i="15" s="1"/>
  <c r="S254" i="15"/>
  <c r="U254" i="15" s="1"/>
  <c r="T251" i="15"/>
  <c r="V251" i="15" s="1"/>
  <c r="S223" i="15"/>
  <c r="U223" i="15" s="1"/>
  <c r="T187" i="15"/>
  <c r="V187" i="15" s="1"/>
  <c r="T165" i="15"/>
  <c r="V165" i="15" s="1"/>
  <c r="S161" i="15"/>
  <c r="U161" i="15" s="1"/>
  <c r="S157" i="15"/>
  <c r="U157" i="15" s="1"/>
  <c r="S152" i="15"/>
  <c r="U152" i="15" s="1"/>
  <c r="S146" i="15"/>
  <c r="U146" i="15" s="1"/>
  <c r="S124" i="15"/>
  <c r="U124" i="15" s="1"/>
  <c r="S115" i="15"/>
  <c r="U115" i="15" s="1"/>
  <c r="S106" i="15"/>
  <c r="U106" i="15" s="1"/>
  <c r="S388" i="15"/>
  <c r="U388" i="15" s="1"/>
  <c r="T266" i="15"/>
  <c r="V266" i="15" s="1"/>
  <c r="S189" i="15"/>
  <c r="U189" i="15" s="1"/>
  <c r="S151" i="15"/>
  <c r="U151" i="15" s="1"/>
  <c r="S149" i="15"/>
  <c r="U149" i="15" s="1"/>
  <c r="T117" i="15"/>
  <c r="V117" i="15" s="1"/>
  <c r="T111" i="15"/>
  <c r="V111" i="15" s="1"/>
  <c r="T249" i="15"/>
  <c r="V249" i="15" s="1"/>
  <c r="S204" i="15"/>
  <c r="U204" i="15" s="1"/>
  <c r="T199" i="15"/>
  <c r="V199" i="15" s="1"/>
  <c r="S186" i="15"/>
  <c r="U186" i="15" s="1"/>
  <c r="T142" i="15"/>
  <c r="V142" i="15" s="1"/>
  <c r="S117" i="15"/>
  <c r="U117" i="15" s="1"/>
  <c r="T112" i="15"/>
  <c r="V112" i="15" s="1"/>
  <c r="S111" i="15"/>
  <c r="U111" i="15" s="1"/>
  <c r="T106" i="15"/>
  <c r="V106" i="15" s="1"/>
  <c r="S265" i="15"/>
  <c r="U265" i="15" s="1"/>
  <c r="T233" i="15"/>
  <c r="V233" i="15" s="1"/>
  <c r="T226" i="15"/>
  <c r="V226" i="15" s="1"/>
  <c r="S219" i="15"/>
  <c r="U219" i="15" s="1"/>
  <c r="T196" i="15"/>
  <c r="V196" i="15" s="1"/>
  <c r="T156" i="15"/>
  <c r="V156" i="15" s="1"/>
  <c r="T147" i="15"/>
  <c r="V147" i="15" s="1"/>
  <c r="S142" i="15"/>
  <c r="U142" i="15" s="1"/>
  <c r="S112" i="15"/>
  <c r="U112" i="15" s="1"/>
  <c r="T101" i="15"/>
  <c r="V101" i="15" s="1"/>
  <c r="S292" i="15"/>
  <c r="U292" i="15" s="1"/>
  <c r="S267" i="15"/>
  <c r="U267" i="15" s="1"/>
  <c r="T214" i="15"/>
  <c r="V214" i="15" s="1"/>
  <c r="S159" i="15"/>
  <c r="U159" i="15" s="1"/>
  <c r="S155" i="15"/>
  <c r="U155" i="15" s="1"/>
  <c r="T141" i="15"/>
  <c r="V141" i="15" s="1"/>
  <c r="T126" i="15"/>
  <c r="V126" i="15" s="1"/>
  <c r="T120" i="15"/>
  <c r="V120" i="15" s="1"/>
  <c r="T335" i="15"/>
  <c r="V335" i="15" s="1"/>
  <c r="S246" i="15"/>
  <c r="U246" i="15" s="1"/>
  <c r="S192" i="15"/>
  <c r="U192" i="15" s="1"/>
  <c r="S169" i="15"/>
  <c r="U169" i="15" s="1"/>
  <c r="S165" i="15"/>
  <c r="U165" i="15" s="1"/>
  <c r="T153" i="15"/>
  <c r="V153" i="15" s="1"/>
  <c r="T333" i="15"/>
  <c r="V333" i="15" s="1"/>
  <c r="T261" i="15"/>
  <c r="V261" i="15" s="1"/>
  <c r="S255" i="15"/>
  <c r="U255" i="15" s="1"/>
  <c r="T202" i="15"/>
  <c r="V202" i="15" s="1"/>
  <c r="S153" i="15"/>
  <c r="U153" i="15" s="1"/>
  <c r="T144" i="15"/>
  <c r="V144" i="15" s="1"/>
  <c r="T116" i="15"/>
  <c r="V116" i="15" s="1"/>
  <c r="T105" i="15"/>
  <c r="V105" i="15" s="1"/>
  <c r="AH11" i="15"/>
  <c r="S103" i="15"/>
  <c r="U103" i="15" s="1"/>
  <c r="T107" i="15"/>
  <c r="V107" i="15" s="1"/>
  <c r="T123" i="15"/>
  <c r="V123" i="15" s="1"/>
  <c r="S143" i="15"/>
  <c r="U143" i="15" s="1"/>
  <c r="AH148" i="15"/>
  <c r="AJ148" i="15" s="1"/>
  <c r="S164" i="15"/>
  <c r="U164" i="15" s="1"/>
  <c r="S168" i="15"/>
  <c r="U168" i="15" s="1"/>
  <c r="S252" i="15"/>
  <c r="U252" i="15" s="1"/>
  <c r="AI11" i="15"/>
  <c r="T103" i="15"/>
  <c r="V103" i="15" s="1"/>
  <c r="S140" i="15"/>
  <c r="U140" i="15" s="1"/>
  <c r="T143" i="15"/>
  <c r="V143" i="15" s="1"/>
  <c r="S156" i="15"/>
  <c r="U156" i="15" s="1"/>
  <c r="S160" i="15"/>
  <c r="U160" i="15" s="1"/>
  <c r="T168" i="15"/>
  <c r="V168" i="15" s="1"/>
  <c r="S215" i="15"/>
  <c r="U215" i="15" s="1"/>
  <c r="AH221" i="15"/>
  <c r="AJ221" i="15" s="1"/>
  <c r="T263" i="15"/>
  <c r="V263" i="15" s="1"/>
  <c r="S316" i="15"/>
  <c r="U316" i="15" s="1"/>
  <c r="S11" i="15"/>
  <c r="AI101" i="15"/>
  <c r="AK101" i="15" s="1"/>
  <c r="AI103" i="15"/>
  <c r="AK103" i="15" s="1"/>
  <c r="T110" i="15"/>
  <c r="V110" i="15" s="1"/>
  <c r="T114" i="15"/>
  <c r="V114" i="15" s="1"/>
  <c r="AI117" i="15"/>
  <c r="AK117" i="15" s="1"/>
  <c r="S120" i="15"/>
  <c r="U120" i="15" s="1"/>
  <c r="AH121" i="15"/>
  <c r="AJ121" i="15" s="1"/>
  <c r="S126" i="15"/>
  <c r="U126" i="15" s="1"/>
  <c r="S147" i="15"/>
  <c r="U147" i="15" s="1"/>
  <c r="S150" i="15"/>
  <c r="U150" i="15" s="1"/>
  <c r="AI205" i="15"/>
  <c r="AK205" i="15" s="1"/>
  <c r="S211" i="15"/>
  <c r="U211" i="15" s="1"/>
  <c r="T218" i="15"/>
  <c r="V218" i="15" s="1"/>
  <c r="AI230" i="15"/>
  <c r="AK230" i="15" s="1"/>
  <c r="T11" i="15"/>
  <c r="T124" i="15"/>
  <c r="V124" i="15" s="1"/>
  <c r="T150" i="15"/>
  <c r="V150" i="15" s="1"/>
  <c r="AH169" i="15"/>
  <c r="AJ169" i="15" s="1"/>
  <c r="AH173" i="15"/>
  <c r="AJ173" i="15" s="1"/>
  <c r="AI190" i="15"/>
  <c r="AK190" i="15" s="1"/>
  <c r="AH195" i="15"/>
  <c r="AJ195" i="15" s="1"/>
  <c r="S232" i="15"/>
  <c r="U232" i="15" s="1"/>
  <c r="S102" i="15"/>
  <c r="U102" i="15" s="1"/>
  <c r="S108" i="15"/>
  <c r="U108" i="15" s="1"/>
  <c r="AI153" i="15"/>
  <c r="AK153" i="15" s="1"/>
  <c r="AH157" i="15"/>
  <c r="AJ157" i="15" s="1"/>
  <c r="AI165" i="15"/>
  <c r="AK165" i="15" s="1"/>
  <c r="AI169" i="15"/>
  <c r="AK169" i="15" s="1"/>
  <c r="S201" i="15"/>
  <c r="U201" i="15" s="1"/>
  <c r="S206" i="15"/>
  <c r="U206" i="15" s="1"/>
  <c r="AI211" i="15"/>
  <c r="AK211" i="15" s="1"/>
  <c r="T232" i="15"/>
  <c r="V232" i="15" s="1"/>
  <c r="AH536" i="15"/>
  <c r="AJ536" i="15" s="1"/>
  <c r="AH528" i="15"/>
  <c r="AJ528" i="15" s="1"/>
  <c r="AH527" i="15"/>
  <c r="AJ527" i="15" s="1"/>
  <c r="AH519" i="15"/>
  <c r="AJ519" i="15" s="1"/>
  <c r="AH518" i="15"/>
  <c r="AJ518" i="15" s="1"/>
  <c r="AI535" i="15"/>
  <c r="AK535" i="15" s="1"/>
  <c r="AI526" i="15"/>
  <c r="AK526" i="15" s="1"/>
  <c r="AI517" i="15"/>
  <c r="AK517" i="15" s="1"/>
  <c r="AI508" i="15"/>
  <c r="AK508" i="15" s="1"/>
  <c r="AI499" i="15"/>
  <c r="AK499" i="15" s="1"/>
  <c r="AI531" i="15"/>
  <c r="AK531" i="15" s="1"/>
  <c r="AI530" i="15"/>
  <c r="AK530" i="15" s="1"/>
  <c r="AI522" i="15"/>
  <c r="AK522" i="15" s="1"/>
  <c r="AI521" i="15"/>
  <c r="AK521" i="15" s="1"/>
  <c r="AI513" i="15"/>
  <c r="AK513" i="15" s="1"/>
  <c r="AI512" i="15"/>
  <c r="AK512" i="15" s="1"/>
  <c r="AI504" i="15"/>
  <c r="AK504" i="15" s="1"/>
  <c r="AI503" i="15"/>
  <c r="AK503" i="15" s="1"/>
  <c r="AI495" i="15"/>
  <c r="AK495" i="15" s="1"/>
  <c r="AI494" i="15"/>
  <c r="AK494" i="15" s="1"/>
  <c r="AI486" i="15"/>
  <c r="AK486" i="15" s="1"/>
  <c r="AI485" i="15"/>
  <c r="AK485" i="15" s="1"/>
  <c r="AI477" i="15"/>
  <c r="AK477" i="15" s="1"/>
  <c r="AI476" i="15"/>
  <c r="AK476" i="15" s="1"/>
  <c r="AI471" i="15"/>
  <c r="AK471" i="15" s="1"/>
  <c r="AI468" i="15"/>
  <c r="AK468" i="15" s="1"/>
  <c r="AI465" i="15"/>
  <c r="AK465" i="15" s="1"/>
  <c r="AI462" i="15"/>
  <c r="AK462" i="15" s="1"/>
  <c r="AH531" i="15"/>
  <c r="AJ531" i="15" s="1"/>
  <c r="AH530" i="15"/>
  <c r="AJ530" i="15" s="1"/>
  <c r="AI529" i="15"/>
  <c r="AK529" i="15" s="1"/>
  <c r="AI520" i="15"/>
  <c r="AK520" i="15" s="1"/>
  <c r="AI511" i="15"/>
  <c r="AK511" i="15" s="1"/>
  <c r="AI502" i="15"/>
  <c r="AK502" i="15" s="1"/>
  <c r="AI493" i="15"/>
  <c r="AK493" i="15" s="1"/>
  <c r="AI536" i="15"/>
  <c r="AK536" i="15" s="1"/>
  <c r="AH533" i="15"/>
  <c r="AJ533" i="15" s="1"/>
  <c r="AI527" i="15"/>
  <c r="AK527" i="15" s="1"/>
  <c r="AI523" i="15"/>
  <c r="AK523" i="15" s="1"/>
  <c r="AI519" i="15"/>
  <c r="AK519" i="15" s="1"/>
  <c r="AI514" i="15"/>
  <c r="AK514" i="15" s="1"/>
  <c r="AH508" i="15"/>
  <c r="AJ508" i="15" s="1"/>
  <c r="AH502" i="15"/>
  <c r="AJ502" i="15" s="1"/>
  <c r="AI496" i="15"/>
  <c r="AK496" i="15" s="1"/>
  <c r="AH471" i="15"/>
  <c r="AJ471" i="15" s="1"/>
  <c r="AH462" i="15"/>
  <c r="AJ462" i="15" s="1"/>
  <c r="AH459" i="15"/>
  <c r="AJ459" i="15" s="1"/>
  <c r="AH456" i="15"/>
  <c r="AJ456" i="15" s="1"/>
  <c r="AH453" i="15"/>
  <c r="AJ453" i="15" s="1"/>
  <c r="AH450" i="15"/>
  <c r="AJ450" i="15" s="1"/>
  <c r="AH447" i="15"/>
  <c r="AJ447" i="15" s="1"/>
  <c r="AH444" i="15"/>
  <c r="AJ444" i="15" s="1"/>
  <c r="AH441" i="15"/>
  <c r="AJ441" i="15" s="1"/>
  <c r="AH438" i="15"/>
  <c r="AJ438" i="15" s="1"/>
  <c r="AH435" i="15"/>
  <c r="AJ435" i="15" s="1"/>
  <c r="AH432" i="15"/>
  <c r="AJ432" i="15" s="1"/>
  <c r="AH429" i="15"/>
  <c r="AJ429" i="15" s="1"/>
  <c r="AH426" i="15"/>
  <c r="AJ426" i="15" s="1"/>
  <c r="AH423" i="15"/>
  <c r="AJ423" i="15" s="1"/>
  <c r="AH420" i="15"/>
  <c r="AJ420" i="15" s="1"/>
  <c r="AI524" i="15"/>
  <c r="AK524" i="15" s="1"/>
  <c r="AH515" i="15"/>
  <c r="AJ515" i="15" s="1"/>
  <c r="AH509" i="15"/>
  <c r="AJ509" i="15" s="1"/>
  <c r="AH503" i="15"/>
  <c r="AJ503" i="15" s="1"/>
  <c r="AH497" i="15"/>
  <c r="AJ497" i="15" s="1"/>
  <c r="AI491" i="15"/>
  <c r="AK491" i="15" s="1"/>
  <c r="AI470" i="15"/>
  <c r="AK470" i="15" s="1"/>
  <c r="AH466" i="15"/>
  <c r="AJ466" i="15" s="1"/>
  <c r="AH535" i="15"/>
  <c r="AJ535" i="15" s="1"/>
  <c r="AI532" i="15"/>
  <c r="AK532" i="15" s="1"/>
  <c r="AI518" i="15"/>
  <c r="AK518" i="15" s="1"/>
  <c r="AH512" i="15"/>
  <c r="AJ512" i="15" s="1"/>
  <c r="AH506" i="15"/>
  <c r="AJ506" i="15" s="1"/>
  <c r="AH500" i="15"/>
  <c r="AJ500" i="15" s="1"/>
  <c r="AH494" i="15"/>
  <c r="AJ494" i="15" s="1"/>
  <c r="AH474" i="15"/>
  <c r="AJ474" i="15" s="1"/>
  <c r="AH522" i="15"/>
  <c r="AJ522" i="15" s="1"/>
  <c r="AI507" i="15"/>
  <c r="AK507" i="15" s="1"/>
  <c r="AI501" i="15"/>
  <c r="AK501" i="15" s="1"/>
  <c r="AH472" i="15"/>
  <c r="AJ472" i="15" s="1"/>
  <c r="AI467" i="15"/>
  <c r="AK467" i="15" s="1"/>
  <c r="AH463" i="15"/>
  <c r="AJ463" i="15" s="1"/>
  <c r="AI525" i="15"/>
  <c r="AK525" i="15" s="1"/>
  <c r="AH523" i="15"/>
  <c r="AJ523" i="15" s="1"/>
  <c r="AH521" i="15"/>
  <c r="AJ521" i="15" s="1"/>
  <c r="AH517" i="15"/>
  <c r="AJ517" i="15" s="1"/>
  <c r="AI515" i="15"/>
  <c r="AK515" i="15" s="1"/>
  <c r="AH499" i="15"/>
  <c r="AJ499" i="15" s="1"/>
  <c r="AI497" i="15"/>
  <c r="AK497" i="15" s="1"/>
  <c r="AH483" i="15"/>
  <c r="AJ483" i="15" s="1"/>
  <c r="AI480" i="15"/>
  <c r="AK480" i="15" s="1"/>
  <c r="AH467" i="15"/>
  <c r="AJ467" i="15" s="1"/>
  <c r="AI446" i="15"/>
  <c r="AK446" i="15" s="1"/>
  <c r="AH442" i="15"/>
  <c r="AJ442" i="15" s="1"/>
  <c r="AI437" i="15"/>
  <c r="AK437" i="15" s="1"/>
  <c r="AH433" i="15"/>
  <c r="AJ433" i="15" s="1"/>
  <c r="AI428" i="15"/>
  <c r="AK428" i="15" s="1"/>
  <c r="AH424" i="15"/>
  <c r="AJ424" i="15" s="1"/>
  <c r="AH529" i="15"/>
  <c r="AJ529" i="15" s="1"/>
  <c r="AH525" i="15"/>
  <c r="AJ525" i="15" s="1"/>
  <c r="AI506" i="15"/>
  <c r="AK506" i="15" s="1"/>
  <c r="AI490" i="15"/>
  <c r="AK490" i="15" s="1"/>
  <c r="AH480" i="15"/>
  <c r="AJ480" i="15" s="1"/>
  <c r="AH477" i="15"/>
  <c r="AJ477" i="15" s="1"/>
  <c r="AI474" i="15"/>
  <c r="AK474" i="15" s="1"/>
  <c r="AI469" i="15"/>
  <c r="AK469" i="15" s="1"/>
  <c r="AH468" i="15"/>
  <c r="AJ468" i="15" s="1"/>
  <c r="AH446" i="15"/>
  <c r="AJ446" i="15" s="1"/>
  <c r="AH490" i="15"/>
  <c r="AJ490" i="15" s="1"/>
  <c r="AI487" i="15"/>
  <c r="AK487" i="15" s="1"/>
  <c r="AI484" i="15"/>
  <c r="AK484" i="15" s="1"/>
  <c r="AH470" i="15"/>
  <c r="AJ470" i="15" s="1"/>
  <c r="AH469" i="15"/>
  <c r="AJ469" i="15" s="1"/>
  <c r="AH511" i="15"/>
  <c r="AJ511" i="15" s="1"/>
  <c r="AI509" i="15"/>
  <c r="AK509" i="15" s="1"/>
  <c r="AH493" i="15"/>
  <c r="AJ493" i="15" s="1"/>
  <c r="AH481" i="15"/>
  <c r="AJ481" i="15" s="1"/>
  <c r="AI478" i="15"/>
  <c r="AK478" i="15" s="1"/>
  <c r="AI475" i="15"/>
  <c r="AK475" i="15" s="1"/>
  <c r="AH524" i="15"/>
  <c r="AJ524" i="15" s="1"/>
  <c r="AH520" i="15"/>
  <c r="AJ520" i="15" s="1"/>
  <c r="AI500" i="15"/>
  <c r="AK500" i="15" s="1"/>
  <c r="AH491" i="15"/>
  <c r="AJ491" i="15" s="1"/>
  <c r="AI488" i="15"/>
  <c r="AK488" i="15" s="1"/>
  <c r="AH478" i="15"/>
  <c r="AJ478" i="15" s="1"/>
  <c r="AH475" i="15"/>
  <c r="AJ475" i="15" s="1"/>
  <c r="AH514" i="15"/>
  <c r="AJ514" i="15" s="1"/>
  <c r="AI505" i="15"/>
  <c r="AK505" i="15" s="1"/>
  <c r="AH496" i="15"/>
  <c r="AJ496" i="15" s="1"/>
  <c r="AH479" i="15"/>
  <c r="AJ479" i="15" s="1"/>
  <c r="AH476" i="15"/>
  <c r="AJ476" i="15" s="1"/>
  <c r="AI473" i="15"/>
  <c r="AK473" i="15" s="1"/>
  <c r="AI464" i="15"/>
  <c r="AK464" i="15" s="1"/>
  <c r="AI463" i="15"/>
  <c r="AK463" i="15" s="1"/>
  <c r="AH505" i="15"/>
  <c r="AJ505" i="15" s="1"/>
  <c r="AH473" i="15"/>
  <c r="AJ473" i="15" s="1"/>
  <c r="AH465" i="15"/>
  <c r="AJ465" i="15" s="1"/>
  <c r="AH464" i="15"/>
  <c r="AJ464" i="15" s="1"/>
  <c r="AH443" i="15"/>
  <c r="AJ443" i="15" s="1"/>
  <c r="AH434" i="15"/>
  <c r="AJ434" i="15" s="1"/>
  <c r="AI534" i="15"/>
  <c r="AK534" i="15" s="1"/>
  <c r="AH532" i="15"/>
  <c r="AJ532" i="15" s="1"/>
  <c r="AI510" i="15"/>
  <c r="AK510" i="15" s="1"/>
  <c r="AI492" i="15"/>
  <c r="AK492" i="15" s="1"/>
  <c r="AI489" i="15"/>
  <c r="AK489" i="15" s="1"/>
  <c r="AH534" i="15"/>
  <c r="AJ534" i="15" s="1"/>
  <c r="AH516" i="15"/>
  <c r="AJ516" i="15" s="1"/>
  <c r="AI451" i="15"/>
  <c r="AK451" i="15" s="1"/>
  <c r="AH430" i="15"/>
  <c r="AJ430" i="15" s="1"/>
  <c r="AH427" i="15"/>
  <c r="AJ427" i="15" s="1"/>
  <c r="AH419" i="15"/>
  <c r="AJ419" i="15" s="1"/>
  <c r="AH410" i="15"/>
  <c r="AJ410" i="15" s="1"/>
  <c r="AH510" i="15"/>
  <c r="AJ510" i="15" s="1"/>
  <c r="AH489" i="15"/>
  <c r="AJ489" i="15" s="1"/>
  <c r="AH451" i="15"/>
  <c r="AJ451" i="15" s="1"/>
  <c r="AI448" i="15"/>
  <c r="AK448" i="15" s="1"/>
  <c r="AI426" i="15"/>
  <c r="AK426" i="15" s="1"/>
  <c r="AI414" i="15"/>
  <c r="AK414" i="15" s="1"/>
  <c r="AI405" i="15"/>
  <c r="AK405" i="15" s="1"/>
  <c r="AI401" i="15"/>
  <c r="AK401" i="15" s="1"/>
  <c r="AI398" i="15"/>
  <c r="AK398" i="15" s="1"/>
  <c r="AI395" i="15"/>
  <c r="AK395" i="15" s="1"/>
  <c r="AI533" i="15"/>
  <c r="AK533" i="15" s="1"/>
  <c r="AH504" i="15"/>
  <c r="AJ504" i="15" s="1"/>
  <c r="AH484" i="15"/>
  <c r="AJ484" i="15" s="1"/>
  <c r="AI472" i="15"/>
  <c r="AK472" i="15" s="1"/>
  <c r="AI458" i="15"/>
  <c r="AK458" i="15" s="1"/>
  <c r="AH448" i="15"/>
  <c r="AJ448" i="15" s="1"/>
  <c r="AI425" i="15"/>
  <c r="AK425" i="15" s="1"/>
  <c r="AI418" i="15"/>
  <c r="AK418" i="15" s="1"/>
  <c r="AH414" i="15"/>
  <c r="AJ414" i="15" s="1"/>
  <c r="AI409" i="15"/>
  <c r="AK409" i="15" s="1"/>
  <c r="AH405" i="15"/>
  <c r="AJ405" i="15" s="1"/>
  <c r="AH401" i="15"/>
  <c r="AJ401" i="15" s="1"/>
  <c r="AH398" i="15"/>
  <c r="AJ398" i="15" s="1"/>
  <c r="AH395" i="15"/>
  <c r="AJ395" i="15" s="1"/>
  <c r="AH513" i="15"/>
  <c r="AJ513" i="15" s="1"/>
  <c r="AH487" i="15"/>
  <c r="AJ487" i="15" s="1"/>
  <c r="AI422" i="15"/>
  <c r="AK422" i="15" s="1"/>
  <c r="AH417" i="15"/>
  <c r="AJ417" i="15" s="1"/>
  <c r="AI412" i="15"/>
  <c r="AK412" i="15" s="1"/>
  <c r="AH408" i="15"/>
  <c r="AJ408" i="15" s="1"/>
  <c r="AI403" i="15"/>
  <c r="AK403" i="15" s="1"/>
  <c r="AH400" i="15"/>
  <c r="AJ400" i="15" s="1"/>
  <c r="AH397" i="15"/>
  <c r="AJ397" i="15" s="1"/>
  <c r="AH501" i="15"/>
  <c r="AJ501" i="15" s="1"/>
  <c r="AH486" i="15"/>
  <c r="AJ486" i="15" s="1"/>
  <c r="AH461" i="15"/>
  <c r="AJ461" i="15" s="1"/>
  <c r="AI459" i="15"/>
  <c r="AK459" i="15" s="1"/>
  <c r="AI457" i="15"/>
  <c r="AK457" i="15" s="1"/>
  <c r="AH455" i="15"/>
  <c r="AJ455" i="15" s="1"/>
  <c r="AI453" i="15"/>
  <c r="AK453" i="15" s="1"/>
  <c r="AH440" i="15"/>
  <c r="AJ440" i="15" s="1"/>
  <c r="AI439" i="15"/>
  <c r="AK439" i="15" s="1"/>
  <c r="AI438" i="15"/>
  <c r="AK438" i="15" s="1"/>
  <c r="AH437" i="15"/>
  <c r="AJ437" i="15" s="1"/>
  <c r="AI436" i="15"/>
  <c r="AK436" i="15" s="1"/>
  <c r="AH421" i="15"/>
  <c r="AJ421" i="15" s="1"/>
  <c r="AI411" i="15"/>
  <c r="AK411" i="15" s="1"/>
  <c r="AI402" i="15"/>
  <c r="AK402" i="15" s="1"/>
  <c r="AI399" i="15"/>
  <c r="AK399" i="15" s="1"/>
  <c r="AI396" i="15"/>
  <c r="AK396" i="15" s="1"/>
  <c r="AH495" i="15"/>
  <c r="AJ495" i="15" s="1"/>
  <c r="AI481" i="15"/>
  <c r="AK481" i="15" s="1"/>
  <c r="AH457" i="15"/>
  <c r="AJ457" i="15" s="1"/>
  <c r="AH439" i="15"/>
  <c r="AJ439" i="15" s="1"/>
  <c r="AH436" i="15"/>
  <c r="AJ436" i="15" s="1"/>
  <c r="AI435" i="15"/>
  <c r="AK435" i="15" s="1"/>
  <c r="AI434" i="15"/>
  <c r="AK434" i="15" s="1"/>
  <c r="AI433" i="15"/>
  <c r="AK433" i="15" s="1"/>
  <c r="AI432" i="15"/>
  <c r="AK432" i="15" s="1"/>
  <c r="AI431" i="15"/>
  <c r="AK431" i="15" s="1"/>
  <c r="AI420" i="15"/>
  <c r="AK420" i="15" s="1"/>
  <c r="AI415" i="15"/>
  <c r="AK415" i="15" s="1"/>
  <c r="AH411" i="15"/>
  <c r="AJ411" i="15" s="1"/>
  <c r="AI498" i="15"/>
  <c r="AK498" i="15" s="1"/>
  <c r="AH488" i="15"/>
  <c r="AJ488" i="15" s="1"/>
  <c r="AH458" i="15"/>
  <c r="AJ458" i="15" s="1"/>
  <c r="AI454" i="15"/>
  <c r="AK454" i="15" s="1"/>
  <c r="AH409" i="15"/>
  <c r="AJ409" i="15" s="1"/>
  <c r="AI406" i="15"/>
  <c r="AK406" i="15" s="1"/>
  <c r="AI389" i="15"/>
  <c r="AK389" i="15" s="1"/>
  <c r="AH386" i="15"/>
  <c r="AJ386" i="15" s="1"/>
  <c r="AH383" i="15"/>
  <c r="AJ383" i="15" s="1"/>
  <c r="AH380" i="15"/>
  <c r="AJ380" i="15" s="1"/>
  <c r="AH377" i="15"/>
  <c r="AJ377" i="15" s="1"/>
  <c r="AH374" i="15"/>
  <c r="AJ374" i="15" s="1"/>
  <c r="AH371" i="15"/>
  <c r="AJ371" i="15" s="1"/>
  <c r="AH368" i="15"/>
  <c r="AJ368" i="15" s="1"/>
  <c r="AH365" i="15"/>
  <c r="AJ365" i="15" s="1"/>
  <c r="AH362" i="15"/>
  <c r="AJ362" i="15" s="1"/>
  <c r="AH359" i="15"/>
  <c r="AJ359" i="15" s="1"/>
  <c r="AH356" i="15"/>
  <c r="AJ356" i="15" s="1"/>
  <c r="AH353" i="15"/>
  <c r="AJ353" i="15" s="1"/>
  <c r="AH350" i="15"/>
  <c r="AJ350" i="15" s="1"/>
  <c r="AH347" i="15"/>
  <c r="AJ347" i="15" s="1"/>
  <c r="AH344" i="15"/>
  <c r="AJ344" i="15" s="1"/>
  <c r="AH341" i="15"/>
  <c r="AJ341" i="15" s="1"/>
  <c r="AH338" i="15"/>
  <c r="AJ338" i="15" s="1"/>
  <c r="AH335" i="15"/>
  <c r="AJ335" i="15" s="1"/>
  <c r="AH332" i="15"/>
  <c r="AJ332" i="15" s="1"/>
  <c r="AH329" i="15"/>
  <c r="AJ329" i="15" s="1"/>
  <c r="AH326" i="15"/>
  <c r="AJ326" i="15" s="1"/>
  <c r="AH323" i="15"/>
  <c r="AJ323" i="15" s="1"/>
  <c r="AH320" i="15"/>
  <c r="AJ320" i="15" s="1"/>
  <c r="AH317" i="15"/>
  <c r="AJ317" i="15" s="1"/>
  <c r="AH314" i="15"/>
  <c r="AJ314" i="15" s="1"/>
  <c r="AH498" i="15"/>
  <c r="AJ498" i="15" s="1"/>
  <c r="AI479" i="15"/>
  <c r="AK479" i="15" s="1"/>
  <c r="AH454" i="15"/>
  <c r="AJ454" i="15" s="1"/>
  <c r="AI424" i="15"/>
  <c r="AK424" i="15" s="1"/>
  <c r="AH406" i="15"/>
  <c r="AJ406" i="15" s="1"/>
  <c r="AI394" i="15"/>
  <c r="AK394" i="15" s="1"/>
  <c r="AH389" i="15"/>
  <c r="AJ389" i="15" s="1"/>
  <c r="AI466" i="15"/>
  <c r="AK466" i="15" s="1"/>
  <c r="AI417" i="15"/>
  <c r="AK417" i="15" s="1"/>
  <c r="AH403" i="15"/>
  <c r="AJ403" i="15" s="1"/>
  <c r="AH394" i="15"/>
  <c r="AJ394" i="15" s="1"/>
  <c r="AI393" i="15"/>
  <c r="AK393" i="15" s="1"/>
  <c r="AI528" i="15"/>
  <c r="AK528" i="15" s="1"/>
  <c r="AI516" i="15"/>
  <c r="AK516" i="15" s="1"/>
  <c r="AH485" i="15"/>
  <c r="AJ485" i="15" s="1"/>
  <c r="AI447" i="15"/>
  <c r="AK447" i="15" s="1"/>
  <c r="AH492" i="15"/>
  <c r="AJ492" i="15" s="1"/>
  <c r="AI483" i="15"/>
  <c r="AK483" i="15" s="1"/>
  <c r="AI423" i="15"/>
  <c r="AK423" i="15" s="1"/>
  <c r="AI408" i="15"/>
  <c r="AK408" i="15" s="1"/>
  <c r="AH391" i="15"/>
  <c r="AJ391" i="15" s="1"/>
  <c r="AH387" i="15"/>
  <c r="AJ387" i="15" s="1"/>
  <c r="AH384" i="15"/>
  <c r="AJ384" i="15" s="1"/>
  <c r="AH381" i="15"/>
  <c r="AJ381" i="15" s="1"/>
  <c r="AH378" i="15"/>
  <c r="AJ378" i="15" s="1"/>
  <c r="AH375" i="15"/>
  <c r="AJ375" i="15" s="1"/>
  <c r="AH372" i="15"/>
  <c r="AJ372" i="15" s="1"/>
  <c r="AH369" i="15"/>
  <c r="AJ369" i="15" s="1"/>
  <c r="AH366" i="15"/>
  <c r="AJ366" i="15" s="1"/>
  <c r="AH363" i="15"/>
  <c r="AJ363" i="15" s="1"/>
  <c r="AH360" i="15"/>
  <c r="AJ360" i="15" s="1"/>
  <c r="AH357" i="15"/>
  <c r="AJ357" i="15" s="1"/>
  <c r="AH354" i="15"/>
  <c r="AJ354" i="15" s="1"/>
  <c r="AH351" i="15"/>
  <c r="AJ351" i="15" s="1"/>
  <c r="AI482" i="15"/>
  <c r="AK482" i="15" s="1"/>
  <c r="AI416" i="15"/>
  <c r="AK416" i="15" s="1"/>
  <c r="AI397" i="15"/>
  <c r="AK397" i="15" s="1"/>
  <c r="AH482" i="15"/>
  <c r="AJ482" i="15" s="1"/>
  <c r="AI455" i="15"/>
  <c r="AK455" i="15" s="1"/>
  <c r="AI444" i="15"/>
  <c r="AK444" i="15" s="1"/>
  <c r="AI442" i="15"/>
  <c r="AK442" i="15" s="1"/>
  <c r="AI440" i="15"/>
  <c r="AK440" i="15" s="1"/>
  <c r="AI421" i="15"/>
  <c r="AK421" i="15" s="1"/>
  <c r="AI430" i="15"/>
  <c r="AK430" i="15" s="1"/>
  <c r="AH428" i="15"/>
  <c r="AJ428" i="15" s="1"/>
  <c r="AI419" i="15"/>
  <c r="AK419" i="15" s="1"/>
  <c r="AH396" i="15"/>
  <c r="AJ396" i="15" s="1"/>
  <c r="AH388" i="15"/>
  <c r="AJ388" i="15" s="1"/>
  <c r="AH379" i="15"/>
  <c r="AJ379" i="15" s="1"/>
  <c r="AH370" i="15"/>
  <c r="AJ370" i="15" s="1"/>
  <c r="AH361" i="15"/>
  <c r="AJ361" i="15" s="1"/>
  <c r="AH352" i="15"/>
  <c r="AJ352" i="15" s="1"/>
  <c r="AH346" i="15"/>
  <c r="AJ346" i="15" s="1"/>
  <c r="AH345" i="15"/>
  <c r="AJ345" i="15" s="1"/>
  <c r="AH334" i="15"/>
  <c r="AJ334" i="15" s="1"/>
  <c r="AH325" i="15"/>
  <c r="AJ325" i="15" s="1"/>
  <c r="AH316" i="15"/>
  <c r="AJ316" i="15" s="1"/>
  <c r="AI305" i="15"/>
  <c r="AK305" i="15" s="1"/>
  <c r="AI297" i="15"/>
  <c r="AK297" i="15" s="1"/>
  <c r="AI294" i="15"/>
  <c r="AK294" i="15" s="1"/>
  <c r="AI291" i="15"/>
  <c r="AK291" i="15" s="1"/>
  <c r="AI288" i="15"/>
  <c r="AK288" i="15" s="1"/>
  <c r="AI285" i="15"/>
  <c r="AK285" i="15" s="1"/>
  <c r="AI282" i="15"/>
  <c r="AK282" i="15" s="1"/>
  <c r="AI279" i="15"/>
  <c r="AK279" i="15" s="1"/>
  <c r="AI276" i="15"/>
  <c r="AK276" i="15" s="1"/>
  <c r="AI441" i="15"/>
  <c r="AK441" i="15" s="1"/>
  <c r="AI400" i="15"/>
  <c r="AK400" i="15" s="1"/>
  <c r="AI392" i="15"/>
  <c r="AK392" i="15" s="1"/>
  <c r="AI333" i="15"/>
  <c r="AK333" i="15" s="1"/>
  <c r="AI324" i="15"/>
  <c r="AK324" i="15" s="1"/>
  <c r="AI315" i="15"/>
  <c r="AK315" i="15" s="1"/>
  <c r="AI309" i="15"/>
  <c r="AK309" i="15" s="1"/>
  <c r="AH305" i="15"/>
  <c r="AJ305" i="15" s="1"/>
  <c r="AI300" i="15"/>
  <c r="AK300" i="15" s="1"/>
  <c r="AH297" i="15"/>
  <c r="AJ297" i="15" s="1"/>
  <c r="AH294" i="15"/>
  <c r="AJ294" i="15" s="1"/>
  <c r="AH291" i="15"/>
  <c r="AJ291" i="15" s="1"/>
  <c r="AH288" i="15"/>
  <c r="AJ288" i="15" s="1"/>
  <c r="AH285" i="15"/>
  <c r="AJ285" i="15" s="1"/>
  <c r="AH282" i="15"/>
  <c r="AJ282" i="15" s="1"/>
  <c r="AH279" i="15"/>
  <c r="AJ279" i="15" s="1"/>
  <c r="AH526" i="15"/>
  <c r="AJ526" i="15" s="1"/>
  <c r="AI456" i="15"/>
  <c r="AK456" i="15" s="1"/>
  <c r="AI407" i="15"/>
  <c r="AK407" i="15" s="1"/>
  <c r="AH392" i="15"/>
  <c r="AJ392" i="15" s="1"/>
  <c r="AI384" i="15"/>
  <c r="AK384" i="15" s="1"/>
  <c r="AI375" i="15"/>
  <c r="AK375" i="15" s="1"/>
  <c r="AI366" i="15"/>
  <c r="AK366" i="15" s="1"/>
  <c r="AI357" i="15"/>
  <c r="AK357" i="15" s="1"/>
  <c r="AI347" i="15"/>
  <c r="AK347" i="15" s="1"/>
  <c r="AH333" i="15"/>
  <c r="AJ333" i="15" s="1"/>
  <c r="AH324" i="15"/>
  <c r="AJ324" i="15" s="1"/>
  <c r="AH315" i="15"/>
  <c r="AJ315" i="15" s="1"/>
  <c r="AH309" i="15"/>
  <c r="AJ309" i="15" s="1"/>
  <c r="AI304" i="15"/>
  <c r="AK304" i="15" s="1"/>
  <c r="AH300" i="15"/>
  <c r="AJ300" i="15" s="1"/>
  <c r="AH412" i="15"/>
  <c r="AJ412" i="15" s="1"/>
  <c r="AH390" i="15"/>
  <c r="AJ390" i="15" s="1"/>
  <c r="AH382" i="15"/>
  <c r="AJ382" i="15" s="1"/>
  <c r="AH373" i="15"/>
  <c r="AJ373" i="15" s="1"/>
  <c r="AH364" i="15"/>
  <c r="AJ364" i="15" s="1"/>
  <c r="AH355" i="15"/>
  <c r="AJ355" i="15" s="1"/>
  <c r="AH328" i="15"/>
  <c r="AJ328" i="15" s="1"/>
  <c r="AH319" i="15"/>
  <c r="AJ319" i="15" s="1"/>
  <c r="AI311" i="15"/>
  <c r="AK311" i="15" s="1"/>
  <c r="AI302" i="15"/>
  <c r="AK302" i="15" s="1"/>
  <c r="AI298" i="15"/>
  <c r="AK298" i="15" s="1"/>
  <c r="AI295" i="15"/>
  <c r="AK295" i="15" s="1"/>
  <c r="AI292" i="15"/>
  <c r="AK292" i="15" s="1"/>
  <c r="AI289" i="15"/>
  <c r="AK289" i="15" s="1"/>
  <c r="AI286" i="15"/>
  <c r="AK286" i="15" s="1"/>
  <c r="AI283" i="15"/>
  <c r="AK283" i="15" s="1"/>
  <c r="AI280" i="15"/>
  <c r="AK280" i="15" s="1"/>
  <c r="AI277" i="15"/>
  <c r="AK277" i="15" s="1"/>
  <c r="AI274" i="15"/>
  <c r="AK274" i="15" s="1"/>
  <c r="AI271" i="15"/>
  <c r="AK271" i="15" s="1"/>
  <c r="AI268" i="15"/>
  <c r="AK268" i="15" s="1"/>
  <c r="AI265" i="15"/>
  <c r="AK265" i="15" s="1"/>
  <c r="AI262" i="15"/>
  <c r="AK262" i="15" s="1"/>
  <c r="AI259" i="15"/>
  <c r="AK259" i="15" s="1"/>
  <c r="AI256" i="15"/>
  <c r="AK256" i="15" s="1"/>
  <c r="AI253" i="15"/>
  <c r="AK253" i="15" s="1"/>
  <c r="AI460" i="15"/>
  <c r="AK460" i="15" s="1"/>
  <c r="AI449" i="15"/>
  <c r="AK449" i="15" s="1"/>
  <c r="AH422" i="15"/>
  <c r="AJ422" i="15" s="1"/>
  <c r="AH415" i="15"/>
  <c r="AJ415" i="15" s="1"/>
  <c r="AI387" i="15"/>
  <c r="AK387" i="15" s="1"/>
  <c r="AI378" i="15"/>
  <c r="AK378" i="15" s="1"/>
  <c r="AI369" i="15"/>
  <c r="AK369" i="15" s="1"/>
  <c r="AI360" i="15"/>
  <c r="AK360" i="15" s="1"/>
  <c r="AI351" i="15"/>
  <c r="AK351" i="15" s="1"/>
  <c r="AH343" i="15"/>
  <c r="AJ343" i="15" s="1"/>
  <c r="AI342" i="15"/>
  <c r="AK342" i="15" s="1"/>
  <c r="AH340" i="15"/>
  <c r="AJ340" i="15" s="1"/>
  <c r="AI339" i="15"/>
  <c r="AK339" i="15" s="1"/>
  <c r="AH337" i="15"/>
  <c r="AJ337" i="15" s="1"/>
  <c r="AI336" i="15"/>
  <c r="AK336" i="15" s="1"/>
  <c r="AH327" i="15"/>
  <c r="AJ327" i="15" s="1"/>
  <c r="AH318" i="15"/>
  <c r="AJ318" i="15" s="1"/>
  <c r="AI452" i="15"/>
  <c r="AK452" i="15" s="1"/>
  <c r="AH431" i="15"/>
  <c r="AJ431" i="15" s="1"/>
  <c r="AI371" i="15"/>
  <c r="AK371" i="15" s="1"/>
  <c r="AH349" i="15"/>
  <c r="AJ349" i="15" s="1"/>
  <c r="AI340" i="15"/>
  <c r="AK340" i="15" s="1"/>
  <c r="AI335" i="15"/>
  <c r="AK335" i="15" s="1"/>
  <c r="AI321" i="15"/>
  <c r="AK321" i="15" s="1"/>
  <c r="AI318" i="15"/>
  <c r="AK318" i="15" s="1"/>
  <c r="AI270" i="15"/>
  <c r="AK270" i="15" s="1"/>
  <c r="AI261" i="15"/>
  <c r="AK261" i="15" s="1"/>
  <c r="AH248" i="15"/>
  <c r="AJ248" i="15" s="1"/>
  <c r="AH452" i="15"/>
  <c r="AJ452" i="15" s="1"/>
  <c r="AI410" i="15"/>
  <c r="AK410" i="15" s="1"/>
  <c r="AI382" i="15"/>
  <c r="AK382" i="15" s="1"/>
  <c r="AI362" i="15"/>
  <c r="AK362" i="15" s="1"/>
  <c r="AH321" i="15"/>
  <c r="AJ321" i="15" s="1"/>
  <c r="AI450" i="15"/>
  <c r="AK450" i="15" s="1"/>
  <c r="AI429" i="15"/>
  <c r="AK429" i="15" s="1"/>
  <c r="AH416" i="15"/>
  <c r="AJ416" i="15" s="1"/>
  <c r="AI404" i="15"/>
  <c r="AK404" i="15" s="1"/>
  <c r="AI391" i="15"/>
  <c r="AK391" i="15" s="1"/>
  <c r="AI373" i="15"/>
  <c r="AK373" i="15" s="1"/>
  <c r="AI353" i="15"/>
  <c r="AK353" i="15" s="1"/>
  <c r="AI345" i="15"/>
  <c r="AK345" i="15" s="1"/>
  <c r="AI330" i="15"/>
  <c r="AK330" i="15" s="1"/>
  <c r="AI327" i="15"/>
  <c r="AK327" i="15" s="1"/>
  <c r="AI312" i="15"/>
  <c r="AK312" i="15" s="1"/>
  <c r="AH306" i="15"/>
  <c r="AJ306" i="15" s="1"/>
  <c r="AI301" i="15"/>
  <c r="AK301" i="15" s="1"/>
  <c r="AH293" i="15"/>
  <c r="AJ293" i="15" s="1"/>
  <c r="AH284" i="15"/>
  <c r="AJ284" i="15" s="1"/>
  <c r="AH449" i="15"/>
  <c r="AJ449" i="15" s="1"/>
  <c r="AH404" i="15"/>
  <c r="AJ404" i="15" s="1"/>
  <c r="AH393" i="15"/>
  <c r="AJ393" i="15" s="1"/>
  <c r="AI364" i="15"/>
  <c r="AK364" i="15" s="1"/>
  <c r="AI343" i="15"/>
  <c r="AK343" i="15" s="1"/>
  <c r="AI338" i="15"/>
  <c r="AK338" i="15" s="1"/>
  <c r="AH507" i="15"/>
  <c r="AJ507" i="15" s="1"/>
  <c r="AI445" i="15"/>
  <c r="AK445" i="15" s="1"/>
  <c r="AI379" i="15"/>
  <c r="AK379" i="15" s="1"/>
  <c r="AI377" i="15"/>
  <c r="AK377" i="15" s="1"/>
  <c r="AH336" i="15"/>
  <c r="AJ336" i="15" s="1"/>
  <c r="AI331" i="15"/>
  <c r="AK331" i="15" s="1"/>
  <c r="AI325" i="15"/>
  <c r="AK325" i="15" s="1"/>
  <c r="AH313" i="15"/>
  <c r="AJ313" i="15" s="1"/>
  <c r="AI308" i="15"/>
  <c r="AK308" i="15" s="1"/>
  <c r="AH302" i="15"/>
  <c r="AJ302" i="15" s="1"/>
  <c r="AI296" i="15"/>
  <c r="AK296" i="15" s="1"/>
  <c r="AH295" i="15"/>
  <c r="AJ295" i="15" s="1"/>
  <c r="AI287" i="15"/>
  <c r="AK287" i="15" s="1"/>
  <c r="AH286" i="15"/>
  <c r="AJ286" i="15" s="1"/>
  <c r="AH445" i="15"/>
  <c r="AJ445" i="15" s="1"/>
  <c r="AI427" i="15"/>
  <c r="AK427" i="15" s="1"/>
  <c r="AI370" i="15"/>
  <c r="AK370" i="15" s="1"/>
  <c r="AI368" i="15"/>
  <c r="AK368" i="15" s="1"/>
  <c r="AH460" i="15"/>
  <c r="AJ460" i="15" s="1"/>
  <c r="AH425" i="15"/>
  <c r="AJ425" i="15" s="1"/>
  <c r="AH413" i="15"/>
  <c r="AJ413" i="15" s="1"/>
  <c r="AH385" i="15"/>
  <c r="AJ385" i="15" s="1"/>
  <c r="AI383" i="15"/>
  <c r="AK383" i="15" s="1"/>
  <c r="AI376" i="15"/>
  <c r="AK376" i="15" s="1"/>
  <c r="AI372" i="15"/>
  <c r="AK372" i="15" s="1"/>
  <c r="AI443" i="15"/>
  <c r="AK443" i="15" s="1"/>
  <c r="AH407" i="15"/>
  <c r="AJ407" i="15" s="1"/>
  <c r="AI380" i="15"/>
  <c r="AK380" i="15" s="1"/>
  <c r="AI355" i="15"/>
  <c r="AK355" i="15" s="1"/>
  <c r="AI328" i="15"/>
  <c r="AK328" i="15" s="1"/>
  <c r="AI326" i="15"/>
  <c r="AK326" i="15" s="1"/>
  <c r="AH276" i="15"/>
  <c r="AJ276" i="15" s="1"/>
  <c r="AH264" i="15"/>
  <c r="AJ264" i="15" s="1"/>
  <c r="AH263" i="15"/>
  <c r="AJ263" i="15" s="1"/>
  <c r="AH262" i="15"/>
  <c r="AJ262" i="15" s="1"/>
  <c r="AH261" i="15"/>
  <c r="AJ261" i="15" s="1"/>
  <c r="AH260" i="15"/>
  <c r="AJ260" i="15" s="1"/>
  <c r="AH259" i="15"/>
  <c r="AJ259" i="15" s="1"/>
  <c r="AI258" i="15"/>
  <c r="AK258" i="15" s="1"/>
  <c r="AI257" i="15"/>
  <c r="AK257" i="15" s="1"/>
  <c r="AH246" i="15"/>
  <c r="AJ246" i="15" s="1"/>
  <c r="AI245" i="15"/>
  <c r="AK245" i="15" s="1"/>
  <c r="AH240" i="15"/>
  <c r="AJ240" i="15" s="1"/>
  <c r="AI231" i="15"/>
  <c r="AK231" i="15" s="1"/>
  <c r="AI228" i="15"/>
  <c r="AK228" i="15" s="1"/>
  <c r="AI225" i="15"/>
  <c r="AK225" i="15" s="1"/>
  <c r="AI222" i="15"/>
  <c r="AK222" i="15" s="1"/>
  <c r="AI219" i="15"/>
  <c r="AK219" i="15" s="1"/>
  <c r="AI216" i="15"/>
  <c r="AK216" i="15" s="1"/>
  <c r="AI213" i="15"/>
  <c r="AK213" i="15" s="1"/>
  <c r="AI210" i="15"/>
  <c r="AK210" i="15" s="1"/>
  <c r="AI390" i="15"/>
  <c r="AK390" i="15" s="1"/>
  <c r="AI374" i="15"/>
  <c r="AK374" i="15" s="1"/>
  <c r="AI359" i="15"/>
  <c r="AK359" i="15" s="1"/>
  <c r="AI341" i="15"/>
  <c r="AK341" i="15" s="1"/>
  <c r="AH311" i="15"/>
  <c r="AJ311" i="15" s="1"/>
  <c r="AI344" i="15"/>
  <c r="AK344" i="15" s="1"/>
  <c r="AH330" i="15"/>
  <c r="AJ330" i="15" s="1"/>
  <c r="AI323" i="15"/>
  <c r="AK323" i="15" s="1"/>
  <c r="AI316" i="15"/>
  <c r="AK316" i="15" s="1"/>
  <c r="AH301" i="15"/>
  <c r="AJ301" i="15" s="1"/>
  <c r="AH418" i="15"/>
  <c r="AJ418" i="15" s="1"/>
  <c r="AI367" i="15"/>
  <c r="AK367" i="15" s="1"/>
  <c r="AI358" i="15"/>
  <c r="AK358" i="15" s="1"/>
  <c r="AI354" i="15"/>
  <c r="AK354" i="15" s="1"/>
  <c r="AI350" i="15"/>
  <c r="AK350" i="15" s="1"/>
  <c r="AI332" i="15"/>
  <c r="AK332" i="15" s="1"/>
  <c r="AI299" i="15"/>
  <c r="AK299" i="15" s="1"/>
  <c r="AH296" i="15"/>
  <c r="AJ296" i="15" s="1"/>
  <c r="AI293" i="15"/>
  <c r="AK293" i="15" s="1"/>
  <c r="AI290" i="15"/>
  <c r="AK290" i="15" s="1"/>
  <c r="AH287" i="15"/>
  <c r="AJ287" i="15" s="1"/>
  <c r="AI284" i="15"/>
  <c r="AK284" i="15" s="1"/>
  <c r="AI281" i="15"/>
  <c r="AK281" i="15" s="1"/>
  <c r="AI278" i="15"/>
  <c r="AK278" i="15" s="1"/>
  <c r="AH251" i="15"/>
  <c r="AJ251" i="15" s="1"/>
  <c r="AI461" i="15"/>
  <c r="AK461" i="15" s="1"/>
  <c r="AH402" i="15"/>
  <c r="AJ402" i="15" s="1"/>
  <c r="AI337" i="15"/>
  <c r="AK337" i="15" s="1"/>
  <c r="AI334" i="15"/>
  <c r="AK334" i="15" s="1"/>
  <c r="AI322" i="15"/>
  <c r="AK322" i="15" s="1"/>
  <c r="AH307" i="15"/>
  <c r="AJ307" i="15" s="1"/>
  <c r="AH250" i="15"/>
  <c r="AJ250" i="15" s="1"/>
  <c r="AI242" i="15"/>
  <c r="AK242" i="15" s="1"/>
  <c r="AH238" i="15"/>
  <c r="AJ238" i="15" s="1"/>
  <c r="AI233" i="15"/>
  <c r="AK233" i="15" s="1"/>
  <c r="AI413" i="15"/>
  <c r="AK413" i="15" s="1"/>
  <c r="AH399" i="15"/>
  <c r="AJ399" i="15" s="1"/>
  <c r="AI386" i="15"/>
  <c r="AK386" i="15" s="1"/>
  <c r="AI365" i="15"/>
  <c r="AK365" i="15" s="1"/>
  <c r="AH348" i="15"/>
  <c r="AJ348" i="15" s="1"/>
  <c r="AH339" i="15"/>
  <c r="AJ339" i="15" s="1"/>
  <c r="AI317" i="15"/>
  <c r="AK317" i="15" s="1"/>
  <c r="AH308" i="15"/>
  <c r="AJ308" i="15" s="1"/>
  <c r="AI303" i="15"/>
  <c r="AK303" i="15" s="1"/>
  <c r="AH275" i="15"/>
  <c r="AJ275" i="15" s="1"/>
  <c r="AH273" i="15"/>
  <c r="AJ273" i="15" s="1"/>
  <c r="AH272" i="15"/>
  <c r="AJ272" i="15" s="1"/>
  <c r="AH271" i="15"/>
  <c r="AJ271" i="15" s="1"/>
  <c r="AH270" i="15"/>
  <c r="AJ270" i="15" s="1"/>
  <c r="AH269" i="15"/>
  <c r="AJ269" i="15" s="1"/>
  <c r="AH268" i="15"/>
  <c r="AJ268" i="15" s="1"/>
  <c r="AI267" i="15"/>
  <c r="AK267" i="15" s="1"/>
  <c r="AI266" i="15"/>
  <c r="AK266" i="15" s="1"/>
  <c r="AI385" i="15"/>
  <c r="AK385" i="15" s="1"/>
  <c r="AI356" i="15"/>
  <c r="AK356" i="15" s="1"/>
  <c r="AH342" i="15"/>
  <c r="AJ342" i="15" s="1"/>
  <c r="AI319" i="15"/>
  <c r="AK319" i="15" s="1"/>
  <c r="AH303" i="15"/>
  <c r="AJ303" i="15" s="1"/>
  <c r="AH358" i="15"/>
  <c r="AJ358" i="15" s="1"/>
  <c r="AI329" i="15"/>
  <c r="AK329" i="15" s="1"/>
  <c r="AH274" i="15"/>
  <c r="AJ274" i="15" s="1"/>
  <c r="AI251" i="15"/>
  <c r="AK251" i="15" s="1"/>
  <c r="AH244" i="15"/>
  <c r="AJ244" i="15" s="1"/>
  <c r="AH241" i="15"/>
  <c r="AJ241" i="15" s="1"/>
  <c r="AH239" i="15"/>
  <c r="AJ239" i="15" s="1"/>
  <c r="AI238" i="15"/>
  <c r="AK238" i="15" s="1"/>
  <c r="AH237" i="15"/>
  <c r="AJ237" i="15" s="1"/>
  <c r="AI236" i="15"/>
  <c r="AK236" i="15" s="1"/>
  <c r="AI235" i="15"/>
  <c r="AK235" i="15" s="1"/>
  <c r="AI234" i="15"/>
  <c r="AK234" i="15" s="1"/>
  <c r="AH224" i="15"/>
  <c r="AJ224" i="15" s="1"/>
  <c r="AI223" i="15"/>
  <c r="AK223" i="15" s="1"/>
  <c r="AH215" i="15"/>
  <c r="AJ215" i="15" s="1"/>
  <c r="AI214" i="15"/>
  <c r="AK214" i="15" s="1"/>
  <c r="AI207" i="15"/>
  <c r="AK207" i="15" s="1"/>
  <c r="AI348" i="15"/>
  <c r="AK348" i="15" s="1"/>
  <c r="AH322" i="15"/>
  <c r="AJ322" i="15" s="1"/>
  <c r="AH312" i="15"/>
  <c r="AJ312" i="15" s="1"/>
  <c r="AH290" i="15"/>
  <c r="AJ290" i="15" s="1"/>
  <c r="AH265" i="15"/>
  <c r="AJ265" i="15" s="1"/>
  <c r="AH245" i="15"/>
  <c r="AJ245" i="15" s="1"/>
  <c r="AH236" i="15"/>
  <c r="AJ236" i="15" s="1"/>
  <c r="AH235" i="15"/>
  <c r="AJ235" i="15" s="1"/>
  <c r="AH234" i="15"/>
  <c r="AJ234" i="15" s="1"/>
  <c r="AH233" i="15"/>
  <c r="AJ233" i="15" s="1"/>
  <c r="AI232" i="15"/>
  <c r="AK232" i="15" s="1"/>
  <c r="AH223" i="15"/>
  <c r="AJ223" i="15" s="1"/>
  <c r="AH214" i="15"/>
  <c r="AJ214" i="15" s="1"/>
  <c r="AH207" i="15"/>
  <c r="AJ207" i="15" s="1"/>
  <c r="AI203" i="15"/>
  <c r="AK203" i="15" s="1"/>
  <c r="AI200" i="15"/>
  <c r="AK200" i="15" s="1"/>
  <c r="AI197" i="15"/>
  <c r="AK197" i="15" s="1"/>
  <c r="AI194" i="15"/>
  <c r="AK194" i="15" s="1"/>
  <c r="AI191" i="15"/>
  <c r="AK191" i="15" s="1"/>
  <c r="AI188" i="15"/>
  <c r="AK188" i="15" s="1"/>
  <c r="AI185" i="15"/>
  <c r="AK185" i="15" s="1"/>
  <c r="AI182" i="15"/>
  <c r="AK182" i="15" s="1"/>
  <c r="AI179" i="15"/>
  <c r="AK179" i="15" s="1"/>
  <c r="AI176" i="15"/>
  <c r="AK176" i="15" s="1"/>
  <c r="AI173" i="15"/>
  <c r="AK173" i="15" s="1"/>
  <c r="AI170" i="15"/>
  <c r="AK170" i="15" s="1"/>
  <c r="AI167" i="15"/>
  <c r="AK167" i="15" s="1"/>
  <c r="AI164" i="15"/>
  <c r="AK164" i="15" s="1"/>
  <c r="AI161" i="15"/>
  <c r="AK161" i="15" s="1"/>
  <c r="AI158" i="15"/>
  <c r="AK158" i="15" s="1"/>
  <c r="AI155" i="15"/>
  <c r="AK155" i="15" s="1"/>
  <c r="AI152" i="15"/>
  <c r="AK152" i="15" s="1"/>
  <c r="AI149" i="15"/>
  <c r="AK149" i="15" s="1"/>
  <c r="AI146" i="15"/>
  <c r="AK146" i="15" s="1"/>
  <c r="AI381" i="15"/>
  <c r="AK381" i="15" s="1"/>
  <c r="AH367" i="15"/>
  <c r="AJ367" i="15" s="1"/>
  <c r="AH256" i="15"/>
  <c r="AJ256" i="15" s="1"/>
  <c r="AI252" i="15"/>
  <c r="AK252" i="15" s="1"/>
  <c r="AH232" i="15"/>
  <c r="AJ232" i="15" s="1"/>
  <c r="AH231" i="15"/>
  <c r="AJ231" i="15" s="1"/>
  <c r="AH222" i="15"/>
  <c r="AJ222" i="15" s="1"/>
  <c r="AH213" i="15"/>
  <c r="AJ213" i="15" s="1"/>
  <c r="AH304" i="15"/>
  <c r="AJ304" i="15" s="1"/>
  <c r="AI275" i="15"/>
  <c r="AK275" i="15" s="1"/>
  <c r="AI272" i="15"/>
  <c r="AK272" i="15" s="1"/>
  <c r="AI361" i="15"/>
  <c r="AK361" i="15" s="1"/>
  <c r="AI352" i="15"/>
  <c r="AK352" i="15" s="1"/>
  <c r="AI310" i="15"/>
  <c r="AK310" i="15" s="1"/>
  <c r="AI273" i="15"/>
  <c r="AK273" i="15" s="1"/>
  <c r="AH254" i="15"/>
  <c r="AJ254" i="15" s="1"/>
  <c r="AI249" i="15"/>
  <c r="AK249" i="15" s="1"/>
  <c r="AH227" i="15"/>
  <c r="AJ227" i="15" s="1"/>
  <c r="AI226" i="15"/>
  <c r="AK226" i="15" s="1"/>
  <c r="AH218" i="15"/>
  <c r="AJ218" i="15" s="1"/>
  <c r="AI217" i="15"/>
  <c r="AK217" i="15" s="1"/>
  <c r="AH209" i="15"/>
  <c r="AJ209" i="15" s="1"/>
  <c r="AH310" i="15"/>
  <c r="AJ310" i="15" s="1"/>
  <c r="AI306" i="15"/>
  <c r="AK306" i="15" s="1"/>
  <c r="AH283" i="15"/>
  <c r="AJ283" i="15" s="1"/>
  <c r="AH278" i="15"/>
  <c r="AJ278" i="15" s="1"/>
  <c r="AH267" i="15"/>
  <c r="AJ267" i="15" s="1"/>
  <c r="AI264" i="15"/>
  <c r="AK264" i="15" s="1"/>
  <c r="AH249" i="15"/>
  <c r="AJ249" i="15" s="1"/>
  <c r="AH226" i="15"/>
  <c r="AJ226" i="15" s="1"/>
  <c r="AH217" i="15"/>
  <c r="AJ217" i="15" s="1"/>
  <c r="AI208" i="15"/>
  <c r="AK208" i="15" s="1"/>
  <c r="AI204" i="15"/>
  <c r="AK204" i="15" s="1"/>
  <c r="AI201" i="15"/>
  <c r="AK201" i="15" s="1"/>
  <c r="AI198" i="15"/>
  <c r="AK198" i="15" s="1"/>
  <c r="AI195" i="15"/>
  <c r="AK195" i="15" s="1"/>
  <c r="AI192" i="15"/>
  <c r="AK192" i="15" s="1"/>
  <c r="AI189" i="15"/>
  <c r="AK189" i="15" s="1"/>
  <c r="AI186" i="15"/>
  <c r="AK186" i="15" s="1"/>
  <c r="AI314" i="15"/>
  <c r="AK314" i="15" s="1"/>
  <c r="AI260" i="15"/>
  <c r="AK260" i="15" s="1"/>
  <c r="AI255" i="15"/>
  <c r="AK255" i="15" s="1"/>
  <c r="AH228" i="15"/>
  <c r="AJ228" i="15" s="1"/>
  <c r="AH211" i="15"/>
  <c r="AJ211" i="15" s="1"/>
  <c r="AH200" i="15"/>
  <c r="AJ200" i="15" s="1"/>
  <c r="AH199" i="15"/>
  <c r="AJ199" i="15" s="1"/>
  <c r="AH191" i="15"/>
  <c r="AJ191" i="15" s="1"/>
  <c r="AH190" i="15"/>
  <c r="AJ190" i="15" s="1"/>
  <c r="AH165" i="15"/>
  <c r="AJ165" i="15" s="1"/>
  <c r="AH156" i="15"/>
  <c r="AJ156" i="15" s="1"/>
  <c r="AH147" i="15"/>
  <c r="AJ147" i="15" s="1"/>
  <c r="AI141" i="15"/>
  <c r="AK141" i="15" s="1"/>
  <c r="AH137" i="15"/>
  <c r="AJ137" i="15" s="1"/>
  <c r="AH134" i="15"/>
  <c r="AJ134" i="15" s="1"/>
  <c r="AH131" i="15"/>
  <c r="AJ131" i="15" s="1"/>
  <c r="AH128" i="15"/>
  <c r="AJ128" i="15" s="1"/>
  <c r="AH125" i="15"/>
  <c r="AJ125" i="15" s="1"/>
  <c r="AH122" i="15"/>
  <c r="AJ122" i="15" s="1"/>
  <c r="AH119" i="15"/>
  <c r="AJ119" i="15" s="1"/>
  <c r="AH116" i="15"/>
  <c r="AJ116" i="15" s="1"/>
  <c r="AH113" i="15"/>
  <c r="AJ113" i="15" s="1"/>
  <c r="AH110" i="15"/>
  <c r="AJ110" i="15" s="1"/>
  <c r="AH107" i="15"/>
  <c r="AJ107" i="15" s="1"/>
  <c r="AH104" i="15"/>
  <c r="AJ104" i="15" s="1"/>
  <c r="AH101" i="15"/>
  <c r="AJ101" i="15" s="1"/>
  <c r="AI363" i="15"/>
  <c r="AK363" i="15" s="1"/>
  <c r="AI313" i="15"/>
  <c r="AK313" i="15" s="1"/>
  <c r="AH255" i="15"/>
  <c r="AJ255" i="15" s="1"/>
  <c r="AI241" i="15"/>
  <c r="AK241" i="15" s="1"/>
  <c r="AI220" i="15"/>
  <c r="AK220" i="15" s="1"/>
  <c r="AH164" i="15"/>
  <c r="AJ164" i="15" s="1"/>
  <c r="AH155" i="15"/>
  <c r="AJ155" i="15" s="1"/>
  <c r="AH252" i="15"/>
  <c r="AJ252" i="15" s="1"/>
  <c r="AI250" i="15"/>
  <c r="AK250" i="15" s="1"/>
  <c r="AI248" i="15"/>
  <c r="AK248" i="15" s="1"/>
  <c r="AI244" i="15"/>
  <c r="AK244" i="15" s="1"/>
  <c r="AH229" i="15"/>
  <c r="AJ229" i="15" s="1"/>
  <c r="AH212" i="15"/>
  <c r="AJ212" i="15" s="1"/>
  <c r="AH203" i="15"/>
  <c r="AJ203" i="15" s="1"/>
  <c r="AH202" i="15"/>
  <c r="AJ202" i="15" s="1"/>
  <c r="AH194" i="15"/>
  <c r="AJ194" i="15" s="1"/>
  <c r="AH193" i="15"/>
  <c r="AJ193" i="15" s="1"/>
  <c r="AH185" i="15"/>
  <c r="AJ185" i="15" s="1"/>
  <c r="AH184" i="15"/>
  <c r="AJ184" i="15" s="1"/>
  <c r="AH183" i="15"/>
  <c r="AJ183" i="15" s="1"/>
  <c r="AH181" i="15"/>
  <c r="AJ181" i="15" s="1"/>
  <c r="AH180" i="15"/>
  <c r="AJ180" i="15" s="1"/>
  <c r="AH178" i="15"/>
  <c r="AJ178" i="15" s="1"/>
  <c r="AH177" i="15"/>
  <c r="AJ177" i="15" s="1"/>
  <c r="AH175" i="15"/>
  <c r="AJ175" i="15" s="1"/>
  <c r="AH174" i="15"/>
  <c r="AJ174" i="15" s="1"/>
  <c r="AH172" i="15"/>
  <c r="AJ172" i="15" s="1"/>
  <c r="AH171" i="15"/>
  <c r="AJ171" i="15" s="1"/>
  <c r="AH162" i="15"/>
  <c r="AJ162" i="15" s="1"/>
  <c r="AH153" i="15"/>
  <c r="AJ153" i="15" s="1"/>
  <c r="AI144" i="15"/>
  <c r="AK144" i="15" s="1"/>
  <c r="AH140" i="15"/>
  <c r="AJ140" i="15" s="1"/>
  <c r="AH136" i="15"/>
  <c r="AJ136" i="15" s="1"/>
  <c r="AH133" i="15"/>
  <c r="AJ133" i="15" s="1"/>
  <c r="AH130" i="15"/>
  <c r="AJ130" i="15" s="1"/>
  <c r="AH127" i="15"/>
  <c r="AJ127" i="15" s="1"/>
  <c r="AI346" i="15"/>
  <c r="AK346" i="15" s="1"/>
  <c r="AH331" i="15"/>
  <c r="AJ331" i="15" s="1"/>
  <c r="AI307" i="15"/>
  <c r="AK307" i="15" s="1"/>
  <c r="AH292" i="15"/>
  <c r="AJ292" i="15" s="1"/>
  <c r="AH280" i="15"/>
  <c r="AJ280" i="15" s="1"/>
  <c r="AH266" i="15"/>
  <c r="AJ266" i="15" s="1"/>
  <c r="AI240" i="15"/>
  <c r="AK240" i="15" s="1"/>
  <c r="AH230" i="15"/>
  <c r="AJ230" i="15" s="1"/>
  <c r="AI227" i="15"/>
  <c r="AK227" i="15" s="1"/>
  <c r="AH210" i="15"/>
  <c r="AJ210" i="15" s="1"/>
  <c r="AH205" i="15"/>
  <c r="AJ205" i="15" s="1"/>
  <c r="AH197" i="15"/>
  <c r="AJ197" i="15" s="1"/>
  <c r="AH196" i="15"/>
  <c r="AJ196" i="15" s="1"/>
  <c r="AH188" i="15"/>
  <c r="AJ188" i="15" s="1"/>
  <c r="AH187" i="15"/>
  <c r="AJ187" i="15" s="1"/>
  <c r="AH168" i="15"/>
  <c r="AJ168" i="15" s="1"/>
  <c r="AH159" i="15"/>
  <c r="AJ159" i="15" s="1"/>
  <c r="AH150" i="15"/>
  <c r="AJ150" i="15" s="1"/>
  <c r="AH143" i="15"/>
  <c r="AJ143" i="15" s="1"/>
  <c r="AI138" i="15"/>
  <c r="AK138" i="15" s="1"/>
  <c r="AH135" i="15"/>
  <c r="AJ135" i="15" s="1"/>
  <c r="AH132" i="15"/>
  <c r="AJ132" i="15" s="1"/>
  <c r="AH129" i="15"/>
  <c r="AJ129" i="15" s="1"/>
  <c r="AI349" i="15"/>
  <c r="AK349" i="15" s="1"/>
  <c r="AH277" i="15"/>
  <c r="AJ277" i="15" s="1"/>
  <c r="AI224" i="15"/>
  <c r="AK224" i="15" s="1"/>
  <c r="AH208" i="15"/>
  <c r="AJ208" i="15" s="1"/>
  <c r="AH201" i="15"/>
  <c r="AJ201" i="15" s="1"/>
  <c r="AI196" i="15"/>
  <c r="AK196" i="15" s="1"/>
  <c r="AI168" i="15"/>
  <c r="AK168" i="15" s="1"/>
  <c r="AH160" i="15"/>
  <c r="AJ160" i="15" s="1"/>
  <c r="AH151" i="15"/>
  <c r="AJ151" i="15" s="1"/>
  <c r="AH145" i="15"/>
  <c r="AJ145" i="15" s="1"/>
  <c r="AI123" i="15"/>
  <c r="AK123" i="15" s="1"/>
  <c r="AI114" i="15"/>
  <c r="AK114" i="15" s="1"/>
  <c r="AI105" i="15"/>
  <c r="AK105" i="15" s="1"/>
  <c r="AI246" i="15"/>
  <c r="AK246" i="15" s="1"/>
  <c r="AI212" i="15"/>
  <c r="AK212" i="15" s="1"/>
  <c r="AI206" i="15"/>
  <c r="AK206" i="15" s="1"/>
  <c r="AI184" i="15"/>
  <c r="AK184" i="15" s="1"/>
  <c r="AI181" i="15"/>
  <c r="AK181" i="15" s="1"/>
  <c r="AI178" i="15"/>
  <c r="AK178" i="15" s="1"/>
  <c r="AI175" i="15"/>
  <c r="AK175" i="15" s="1"/>
  <c r="AI172" i="15"/>
  <c r="AK172" i="15" s="1"/>
  <c r="AH152" i="15"/>
  <c r="AJ152" i="15" s="1"/>
  <c r="AH146" i="15"/>
  <c r="AJ146" i="15" s="1"/>
  <c r="AH123" i="15"/>
  <c r="AJ123" i="15" s="1"/>
  <c r="AI118" i="15"/>
  <c r="AK118" i="15" s="1"/>
  <c r="AH114" i="15"/>
  <c r="AJ114" i="15" s="1"/>
  <c r="AI109" i="15"/>
  <c r="AK109" i="15" s="1"/>
  <c r="AH105" i="15"/>
  <c r="AJ105" i="15" s="1"/>
  <c r="AI388" i="15"/>
  <c r="AK388" i="15" s="1"/>
  <c r="AI263" i="15"/>
  <c r="AK263" i="15" s="1"/>
  <c r="AI243" i="15"/>
  <c r="AK243" i="15" s="1"/>
  <c r="AI221" i="15"/>
  <c r="AK221" i="15" s="1"/>
  <c r="AH219" i="15"/>
  <c r="AJ219" i="15" s="1"/>
  <c r="AH206" i="15"/>
  <c r="AJ206" i="15" s="1"/>
  <c r="AH189" i="15"/>
  <c r="AJ189" i="15" s="1"/>
  <c r="AH161" i="15"/>
  <c r="AJ161" i="15" s="1"/>
  <c r="AI157" i="15"/>
  <c r="AK157" i="15" s="1"/>
  <c r="AH118" i="15"/>
  <c r="AJ118" i="15" s="1"/>
  <c r="AH109" i="15"/>
  <c r="AJ109" i="15" s="1"/>
  <c r="AH289" i="15"/>
  <c r="AJ289" i="15" s="1"/>
  <c r="AH281" i="15"/>
  <c r="AJ281" i="15" s="1"/>
  <c r="AH299" i="15"/>
  <c r="AJ299" i="15" s="1"/>
  <c r="AH257" i="15"/>
  <c r="AJ257" i="15" s="1"/>
  <c r="AI247" i="15"/>
  <c r="AK247" i="15" s="1"/>
  <c r="AI239" i="15"/>
  <c r="AK239" i="15" s="1"/>
  <c r="AI229" i="15"/>
  <c r="AK229" i="15" s="1"/>
  <c r="AI193" i="15"/>
  <c r="AK193" i="15" s="1"/>
  <c r="AI183" i="15"/>
  <c r="AK183" i="15" s="1"/>
  <c r="AI180" i="15"/>
  <c r="AK180" i="15" s="1"/>
  <c r="AI177" i="15"/>
  <c r="AK177" i="15" s="1"/>
  <c r="AI174" i="15"/>
  <c r="AK174" i="15" s="1"/>
  <c r="AI171" i="15"/>
  <c r="AK171" i="15" s="1"/>
  <c r="AH167" i="15"/>
  <c r="AJ167" i="15" s="1"/>
  <c r="AH163" i="15"/>
  <c r="AJ163" i="15" s="1"/>
  <c r="AI150" i="15"/>
  <c r="AK150" i="15" s="1"/>
  <c r="AI143" i="15"/>
  <c r="AK143" i="15" s="1"/>
  <c r="AH142" i="15"/>
  <c r="AJ142" i="15" s="1"/>
  <c r="AI124" i="15"/>
  <c r="AK124" i="15" s="1"/>
  <c r="AH120" i="15"/>
  <c r="AJ120" i="15" s="1"/>
  <c r="AI115" i="15"/>
  <c r="AK115" i="15" s="1"/>
  <c r="AH111" i="15"/>
  <c r="AJ111" i="15" s="1"/>
  <c r="AI106" i="15"/>
  <c r="AK106" i="15" s="1"/>
  <c r="AH102" i="15"/>
  <c r="AJ102" i="15" s="1"/>
  <c r="AI254" i="15"/>
  <c r="AK254" i="15" s="1"/>
  <c r="AH166" i="15"/>
  <c r="AJ166" i="15" s="1"/>
  <c r="AI135" i="15"/>
  <c r="AK135" i="15" s="1"/>
  <c r="AI132" i="15"/>
  <c r="AK132" i="15" s="1"/>
  <c r="AI129" i="15"/>
  <c r="AK129" i="15" s="1"/>
  <c r="AI125" i="15"/>
  <c r="AK125" i="15" s="1"/>
  <c r="AI104" i="15"/>
  <c r="AK104" i="15" s="1"/>
  <c r="AH138" i="15"/>
  <c r="AJ138" i="15" s="1"/>
  <c r="AI120" i="15"/>
  <c r="AK120" i="15" s="1"/>
  <c r="AH376" i="15"/>
  <c r="AJ376" i="15" s="1"/>
  <c r="AI320" i="15"/>
  <c r="AK320" i="15" s="1"/>
  <c r="AH298" i="15"/>
  <c r="AJ298" i="15" s="1"/>
  <c r="AI215" i="15"/>
  <c r="AK215" i="15" s="1"/>
  <c r="AH198" i="15"/>
  <c r="AJ198" i="15" s="1"/>
  <c r="AH176" i="15"/>
  <c r="AJ176" i="15" s="1"/>
  <c r="AI148" i="15"/>
  <c r="AK148" i="15" s="1"/>
  <c r="AI126" i="15"/>
  <c r="AK126" i="15" s="1"/>
  <c r="AI121" i="15"/>
  <c r="AK121" i="15" s="1"/>
  <c r="AH115" i="15"/>
  <c r="AJ115" i="15" s="1"/>
  <c r="AH242" i="15"/>
  <c r="AJ242" i="15" s="1"/>
  <c r="AH204" i="15"/>
  <c r="AJ204" i="15" s="1"/>
  <c r="AI199" i="15"/>
  <c r="AK199" i="15" s="1"/>
  <c r="AH149" i="15"/>
  <c r="AJ149" i="15" s="1"/>
  <c r="AI147" i="15"/>
  <c r="AK147" i="15" s="1"/>
  <c r="AI137" i="15"/>
  <c r="AK137" i="15" s="1"/>
  <c r="AI134" i="15"/>
  <c r="AK134" i="15" s="1"/>
  <c r="AI131" i="15"/>
  <c r="AK131" i="15" s="1"/>
  <c r="AI128" i="15"/>
  <c r="AK128" i="15" s="1"/>
  <c r="AI113" i="15"/>
  <c r="AK113" i="15" s="1"/>
  <c r="AI107" i="15"/>
  <c r="AK107" i="15" s="1"/>
  <c r="AH216" i="15"/>
  <c r="AJ216" i="15" s="1"/>
  <c r="AH179" i="15"/>
  <c r="AJ179" i="15" s="1"/>
  <c r="AI162" i="15"/>
  <c r="AK162" i="15" s="1"/>
  <c r="AH158" i="15"/>
  <c r="AJ158" i="15" s="1"/>
  <c r="AI154" i="15"/>
  <c r="AK154" i="15" s="1"/>
  <c r="AI237" i="15"/>
  <c r="AK237" i="15" s="1"/>
  <c r="AI209" i="15"/>
  <c r="AK209" i="15" s="1"/>
  <c r="AH186" i="15"/>
  <c r="AJ186" i="15" s="1"/>
  <c r="AH170" i="15"/>
  <c r="AJ170" i="15" s="1"/>
  <c r="AI166" i="15"/>
  <c r="AK166" i="15" s="1"/>
  <c r="AI160" i="15"/>
  <c r="AK160" i="15" s="1"/>
  <c r="AI156" i="15"/>
  <c r="AK156" i="15" s="1"/>
  <c r="AH154" i="15"/>
  <c r="AJ154" i="15" s="1"/>
  <c r="AI145" i="15"/>
  <c r="AK145" i="15" s="1"/>
  <c r="AI140" i="15"/>
  <c r="AK140" i="15" s="1"/>
  <c r="AI119" i="15"/>
  <c r="AK119" i="15" s="1"/>
  <c r="AH103" i="15"/>
  <c r="AJ103" i="15" s="1"/>
  <c r="AI111" i="15"/>
  <c r="AK111" i="15" s="1"/>
  <c r="AH117" i="15"/>
  <c r="AJ117" i="15" s="1"/>
  <c r="AI127" i="15"/>
  <c r="AK127" i="15" s="1"/>
  <c r="T102" i="15"/>
  <c r="V102" i="15" s="1"/>
  <c r="T108" i="15"/>
  <c r="V108" i="15" s="1"/>
  <c r="AI130" i="15"/>
  <c r="AK130" i="15" s="1"/>
  <c r="AH144" i="15"/>
  <c r="AJ144" i="15" s="1"/>
  <c r="AH182" i="15"/>
  <c r="AJ182" i="15" s="1"/>
  <c r="AH225" i="15"/>
  <c r="AJ225" i="15" s="1"/>
  <c r="AH112" i="15"/>
  <c r="AJ112" i="15" s="1"/>
  <c r="AH124" i="15"/>
  <c r="AJ124" i="15" s="1"/>
  <c r="S145" i="15"/>
  <c r="U145" i="15" s="1"/>
  <c r="S167" i="15"/>
  <c r="U167" i="15" s="1"/>
  <c r="S171" i="15"/>
  <c r="U171" i="15" s="1"/>
  <c r="S226" i="15"/>
  <c r="U226" i="15" s="1"/>
  <c r="AI269" i="15"/>
  <c r="AK269" i="15" s="1"/>
  <c r="AH141" i="15"/>
  <c r="AJ141" i="15" s="1"/>
  <c r="AI218" i="15"/>
  <c r="AK218" i="15" s="1"/>
  <c r="AC11" i="15"/>
  <c r="AH106" i="15"/>
  <c r="AJ106" i="15" s="1"/>
  <c r="AH108" i="15"/>
  <c r="AJ108" i="15" s="1"/>
  <c r="AI112" i="15"/>
  <c r="AK112" i="15" s="1"/>
  <c r="AI116" i="15"/>
  <c r="AK116" i="15" s="1"/>
  <c r="AH126" i="15"/>
  <c r="AJ126" i="15" s="1"/>
  <c r="AI133" i="15"/>
  <c r="AK133" i="15" s="1"/>
  <c r="T145" i="15"/>
  <c r="V145" i="15" s="1"/>
  <c r="AI151" i="15"/>
  <c r="AK151" i="15" s="1"/>
  <c r="AI187" i="15"/>
  <c r="AK187" i="15" s="1"/>
  <c r="AI202" i="15"/>
  <c r="AK202" i="15" s="1"/>
  <c r="S214" i="15"/>
  <c r="U214" i="15" s="1"/>
  <c r="AH220" i="15"/>
  <c r="AJ220" i="15" s="1"/>
  <c r="AH258" i="15"/>
  <c r="AJ258" i="15" s="1"/>
  <c r="AC177" i="15"/>
  <c r="AE177" i="15" s="1"/>
  <c r="X194" i="15"/>
  <c r="Z194" i="15" s="1"/>
  <c r="AC213" i="15"/>
  <c r="AE213" i="15" s="1"/>
  <c r="Y220" i="15"/>
  <c r="AA220" i="15" s="1"/>
  <c r="AD230" i="15"/>
  <c r="AF230" i="15" s="1"/>
  <c r="Y250" i="15"/>
  <c r="AA250" i="15" s="1"/>
  <c r="AC266" i="15"/>
  <c r="AE266" i="15" s="1"/>
  <c r="X533" i="15"/>
  <c r="Z533" i="15" s="1"/>
  <c r="X532" i="15"/>
  <c r="Z532" i="15" s="1"/>
  <c r="AC530" i="15"/>
  <c r="AE530" i="15" s="1"/>
  <c r="X524" i="15"/>
  <c r="Z524" i="15" s="1"/>
  <c r="X523" i="15"/>
  <c r="Z523" i="15" s="1"/>
  <c r="AC521" i="15"/>
  <c r="AE521" i="15" s="1"/>
  <c r="Y531" i="15"/>
  <c r="AA531" i="15" s="1"/>
  <c r="AD529" i="15"/>
  <c r="AF529" i="15" s="1"/>
  <c r="AD528" i="15"/>
  <c r="AF528" i="15" s="1"/>
  <c r="Y522" i="15"/>
  <c r="AA522" i="15" s="1"/>
  <c r="AD520" i="15"/>
  <c r="AF520" i="15" s="1"/>
  <c r="AD519" i="15"/>
  <c r="AF519" i="15" s="1"/>
  <c r="Y513" i="15"/>
  <c r="AA513" i="15" s="1"/>
  <c r="AD511" i="15"/>
  <c r="AF511" i="15" s="1"/>
  <c r="AD510" i="15"/>
  <c r="AF510" i="15" s="1"/>
  <c r="Y504" i="15"/>
  <c r="AA504" i="15" s="1"/>
  <c r="AD502" i="15"/>
  <c r="AF502" i="15" s="1"/>
  <c r="AD501" i="15"/>
  <c r="AF501" i="15" s="1"/>
  <c r="Y495" i="15"/>
  <c r="AA495" i="15" s="1"/>
  <c r="AD493" i="15"/>
  <c r="AF493" i="15" s="1"/>
  <c r="Y536" i="15"/>
  <c r="AA536" i="15" s="1"/>
  <c r="Y535" i="15"/>
  <c r="AA535" i="15" s="1"/>
  <c r="AD533" i="15"/>
  <c r="AF533" i="15" s="1"/>
  <c r="Y527" i="15"/>
  <c r="AA527" i="15" s="1"/>
  <c r="Y526" i="15"/>
  <c r="AA526" i="15" s="1"/>
  <c r="AD524" i="15"/>
  <c r="AF524" i="15" s="1"/>
  <c r="Y518" i="15"/>
  <c r="AA518" i="15" s="1"/>
  <c r="Y517" i="15"/>
  <c r="AA517" i="15" s="1"/>
  <c r="AD515" i="15"/>
  <c r="AF515" i="15" s="1"/>
  <c r="Y509" i="15"/>
  <c r="AA509" i="15" s="1"/>
  <c r="Y508" i="15"/>
  <c r="AA508" i="15" s="1"/>
  <c r="AD506" i="15"/>
  <c r="AF506" i="15" s="1"/>
  <c r="Y500" i="15"/>
  <c r="AA500" i="15" s="1"/>
  <c r="Y499" i="15"/>
  <c r="AA499" i="15" s="1"/>
  <c r="AD497" i="15"/>
  <c r="AF497" i="15" s="1"/>
  <c r="Y491" i="15"/>
  <c r="AA491" i="15" s="1"/>
  <c r="Y490" i="15"/>
  <c r="AA490" i="15" s="1"/>
  <c r="AD488" i="15"/>
  <c r="AF488" i="15" s="1"/>
  <c r="Y482" i="15"/>
  <c r="AA482" i="15" s="1"/>
  <c r="Y481" i="15"/>
  <c r="AA481" i="15" s="1"/>
  <c r="AD479" i="15"/>
  <c r="AF479" i="15" s="1"/>
  <c r="Y473" i="15"/>
  <c r="AA473" i="15" s="1"/>
  <c r="AD472" i="15"/>
  <c r="AF472" i="15" s="1"/>
  <c r="Y470" i="15"/>
  <c r="AA470" i="15" s="1"/>
  <c r="AD469" i="15"/>
  <c r="AF469" i="15" s="1"/>
  <c r="Y467" i="15"/>
  <c r="AA467" i="15" s="1"/>
  <c r="AD466" i="15"/>
  <c r="AF466" i="15" s="1"/>
  <c r="Y464" i="15"/>
  <c r="AA464" i="15" s="1"/>
  <c r="AD463" i="15"/>
  <c r="AF463" i="15" s="1"/>
  <c r="X536" i="15"/>
  <c r="Z536" i="15" s="1"/>
  <c r="X535" i="15"/>
  <c r="Z535" i="15" s="1"/>
  <c r="AC533" i="15"/>
  <c r="AE533" i="15" s="1"/>
  <c r="Y534" i="15"/>
  <c r="AA534" i="15" s="1"/>
  <c r="AD532" i="15"/>
  <c r="AF532" i="15" s="1"/>
  <c r="AD531" i="15"/>
  <c r="AF531" i="15" s="1"/>
  <c r="Y525" i="15"/>
  <c r="AA525" i="15" s="1"/>
  <c r="AD523" i="15"/>
  <c r="AF523" i="15" s="1"/>
  <c r="AD522" i="15"/>
  <c r="AF522" i="15" s="1"/>
  <c r="Y516" i="15"/>
  <c r="AA516" i="15" s="1"/>
  <c r="AD514" i="15"/>
  <c r="AF514" i="15" s="1"/>
  <c r="AD513" i="15"/>
  <c r="AF513" i="15" s="1"/>
  <c r="Y507" i="15"/>
  <c r="AA507" i="15" s="1"/>
  <c r="AD505" i="15"/>
  <c r="AF505" i="15" s="1"/>
  <c r="AD504" i="15"/>
  <c r="AF504" i="15" s="1"/>
  <c r="Y498" i="15"/>
  <c r="AA498" i="15" s="1"/>
  <c r="AD496" i="15"/>
  <c r="AF496" i="15" s="1"/>
  <c r="AD495" i="15"/>
  <c r="AF495" i="15" s="1"/>
  <c r="AC535" i="15"/>
  <c r="AE535" i="15" s="1"/>
  <c r="AD526" i="15"/>
  <c r="AF526" i="15" s="1"/>
  <c r="AC513" i="15"/>
  <c r="AE513" i="15" s="1"/>
  <c r="AD507" i="15"/>
  <c r="AF507" i="15" s="1"/>
  <c r="AC501" i="15"/>
  <c r="AE501" i="15" s="1"/>
  <c r="AC495" i="15"/>
  <c r="AE495" i="15" s="1"/>
  <c r="X485" i="15"/>
  <c r="Z485" i="15" s="1"/>
  <c r="X483" i="15"/>
  <c r="Z483" i="15" s="1"/>
  <c r="X482" i="15"/>
  <c r="Z482" i="15" s="1"/>
  <c r="X480" i="15"/>
  <c r="Z480" i="15" s="1"/>
  <c r="Y479" i="15"/>
  <c r="AA479" i="15" s="1"/>
  <c r="X478" i="15"/>
  <c r="Z478" i="15" s="1"/>
  <c r="Y477" i="15"/>
  <c r="AA477" i="15" s="1"/>
  <c r="Y475" i="15"/>
  <c r="AA475" i="15" s="1"/>
  <c r="Y469" i="15"/>
  <c r="AA469" i="15" s="1"/>
  <c r="AC468" i="15"/>
  <c r="AE468" i="15" s="1"/>
  <c r="X465" i="15"/>
  <c r="Z465" i="15" s="1"/>
  <c r="X461" i="15"/>
  <c r="Z461" i="15" s="1"/>
  <c r="AC460" i="15"/>
  <c r="AE460" i="15" s="1"/>
  <c r="X458" i="15"/>
  <c r="Z458" i="15" s="1"/>
  <c r="AC457" i="15"/>
  <c r="AE457" i="15" s="1"/>
  <c r="X455" i="15"/>
  <c r="Z455" i="15" s="1"/>
  <c r="AC454" i="15"/>
  <c r="AE454" i="15" s="1"/>
  <c r="X452" i="15"/>
  <c r="Z452" i="15" s="1"/>
  <c r="AC451" i="15"/>
  <c r="AE451" i="15" s="1"/>
  <c r="X449" i="15"/>
  <c r="Z449" i="15" s="1"/>
  <c r="AC448" i="15"/>
  <c r="AE448" i="15" s="1"/>
  <c r="X446" i="15"/>
  <c r="Z446" i="15" s="1"/>
  <c r="AC445" i="15"/>
  <c r="AE445" i="15" s="1"/>
  <c r="X443" i="15"/>
  <c r="Z443" i="15" s="1"/>
  <c r="AC442" i="15"/>
  <c r="AE442" i="15" s="1"/>
  <c r="X440" i="15"/>
  <c r="Z440" i="15" s="1"/>
  <c r="AC439" i="15"/>
  <c r="AE439" i="15" s="1"/>
  <c r="X437" i="15"/>
  <c r="Z437" i="15" s="1"/>
  <c r="AC436" i="15"/>
  <c r="AE436" i="15" s="1"/>
  <c r="X434" i="15"/>
  <c r="Z434" i="15" s="1"/>
  <c r="AC433" i="15"/>
  <c r="AE433" i="15" s="1"/>
  <c r="X431" i="15"/>
  <c r="Z431" i="15" s="1"/>
  <c r="AC430" i="15"/>
  <c r="AE430" i="15" s="1"/>
  <c r="X428" i="15"/>
  <c r="Z428" i="15" s="1"/>
  <c r="AC427" i="15"/>
  <c r="AE427" i="15" s="1"/>
  <c r="X425" i="15"/>
  <c r="Z425" i="15" s="1"/>
  <c r="AC424" i="15"/>
  <c r="AE424" i="15" s="1"/>
  <c r="X422" i="15"/>
  <c r="Z422" i="15" s="1"/>
  <c r="AC421" i="15"/>
  <c r="AE421" i="15" s="1"/>
  <c r="AD536" i="15"/>
  <c r="AF536" i="15" s="1"/>
  <c r="AD527" i="15"/>
  <c r="AF527" i="15" s="1"/>
  <c r="X526" i="15"/>
  <c r="Z526" i="15" s="1"/>
  <c r="X518" i="15"/>
  <c r="Z518" i="15" s="1"/>
  <c r="X512" i="15"/>
  <c r="Z512" i="15" s="1"/>
  <c r="X506" i="15"/>
  <c r="Z506" i="15" s="1"/>
  <c r="X500" i="15"/>
  <c r="Z500" i="15" s="1"/>
  <c r="X494" i="15"/>
  <c r="Z494" i="15" s="1"/>
  <c r="X476" i="15"/>
  <c r="Z476" i="15" s="1"/>
  <c r="X474" i="15"/>
  <c r="Z474" i="15" s="1"/>
  <c r="X473" i="15"/>
  <c r="Z473" i="15" s="1"/>
  <c r="AD467" i="15"/>
  <c r="AF467" i="15" s="1"/>
  <c r="X464" i="15"/>
  <c r="Z464" i="15" s="1"/>
  <c r="X534" i="15"/>
  <c r="Z534" i="15" s="1"/>
  <c r="Y528" i="15"/>
  <c r="AA528" i="15" s="1"/>
  <c r="AD525" i="15"/>
  <c r="AF525" i="15" s="1"/>
  <c r="Y524" i="15"/>
  <c r="AA524" i="15" s="1"/>
  <c r="AD521" i="15"/>
  <c r="AF521" i="15" s="1"/>
  <c r="X515" i="15"/>
  <c r="Z515" i="15" s="1"/>
  <c r="X509" i="15"/>
  <c r="Z509" i="15" s="1"/>
  <c r="X503" i="15"/>
  <c r="Z503" i="15" s="1"/>
  <c r="X497" i="15"/>
  <c r="Z497" i="15" s="1"/>
  <c r="AC490" i="15"/>
  <c r="AE490" i="15" s="1"/>
  <c r="AC487" i="15"/>
  <c r="AE487" i="15" s="1"/>
  <c r="AC485" i="15"/>
  <c r="AE485" i="15" s="1"/>
  <c r="AD484" i="15"/>
  <c r="AF484" i="15" s="1"/>
  <c r="AC483" i="15"/>
  <c r="AE483" i="15" s="1"/>
  <c r="AD482" i="15"/>
  <c r="AF482" i="15" s="1"/>
  <c r="AD480" i="15"/>
  <c r="AF480" i="15" s="1"/>
  <c r="AD477" i="15"/>
  <c r="AF477" i="15" s="1"/>
  <c r="AC532" i="15"/>
  <c r="AE532" i="15" s="1"/>
  <c r="Y529" i="15"/>
  <c r="AA529" i="15" s="1"/>
  <c r="Y521" i="15"/>
  <c r="AA521" i="15" s="1"/>
  <c r="AD518" i="15"/>
  <c r="AF518" i="15" s="1"/>
  <c r="AC517" i="15"/>
  <c r="AE517" i="15" s="1"/>
  <c r="AD512" i="15"/>
  <c r="AF512" i="15" s="1"/>
  <c r="Y511" i="15"/>
  <c r="AA511" i="15" s="1"/>
  <c r="X510" i="15"/>
  <c r="Z510" i="15" s="1"/>
  <c r="Y505" i="15"/>
  <c r="AA505" i="15" s="1"/>
  <c r="AD500" i="15"/>
  <c r="AF500" i="15" s="1"/>
  <c r="AC499" i="15"/>
  <c r="AE499" i="15" s="1"/>
  <c r="AD494" i="15"/>
  <c r="AF494" i="15" s="1"/>
  <c r="Y493" i="15"/>
  <c r="AA493" i="15" s="1"/>
  <c r="Y492" i="15"/>
  <c r="AA492" i="15" s="1"/>
  <c r="X491" i="15"/>
  <c r="Z491" i="15" s="1"/>
  <c r="X489" i="15"/>
  <c r="Z489" i="15" s="1"/>
  <c r="Y488" i="15"/>
  <c r="AA488" i="15" s="1"/>
  <c r="X487" i="15"/>
  <c r="Z487" i="15" s="1"/>
  <c r="Y486" i="15"/>
  <c r="AA486" i="15" s="1"/>
  <c r="Y484" i="15"/>
  <c r="AA484" i="15" s="1"/>
  <c r="AC481" i="15"/>
  <c r="AE481" i="15" s="1"/>
  <c r="AC478" i="15"/>
  <c r="AE478" i="15" s="1"/>
  <c r="AC476" i="15"/>
  <c r="AE476" i="15" s="1"/>
  <c r="AD475" i="15"/>
  <c r="AF475" i="15" s="1"/>
  <c r="AC474" i="15"/>
  <c r="AE474" i="15" s="1"/>
  <c r="AD473" i="15"/>
  <c r="AF473" i="15" s="1"/>
  <c r="X470" i="15"/>
  <c r="Z470" i="15" s="1"/>
  <c r="AD464" i="15"/>
  <c r="AF464" i="15" s="1"/>
  <c r="AD534" i="15"/>
  <c r="AF534" i="15" s="1"/>
  <c r="AC519" i="15"/>
  <c r="AE519" i="15" s="1"/>
  <c r="Y512" i="15"/>
  <c r="AA512" i="15" s="1"/>
  <c r="AC510" i="15"/>
  <c r="AE510" i="15" s="1"/>
  <c r="Y494" i="15"/>
  <c r="AA494" i="15" s="1"/>
  <c r="AD492" i="15"/>
  <c r="AF492" i="15" s="1"/>
  <c r="AD489" i="15"/>
  <c r="AF489" i="15" s="1"/>
  <c r="AD486" i="15"/>
  <c r="AF486" i="15" s="1"/>
  <c r="X479" i="15"/>
  <c r="Z479" i="15" s="1"/>
  <c r="Y476" i="15"/>
  <c r="AA476" i="15" s="1"/>
  <c r="AD465" i="15"/>
  <c r="AF465" i="15" s="1"/>
  <c r="AC464" i="15"/>
  <c r="AE464" i="15" s="1"/>
  <c r="Y463" i="15"/>
  <c r="AA463" i="15" s="1"/>
  <c r="Y462" i="15"/>
  <c r="AA462" i="15" s="1"/>
  <c r="Y461" i="15"/>
  <c r="AA461" i="15" s="1"/>
  <c r="X460" i="15"/>
  <c r="Z460" i="15" s="1"/>
  <c r="Y459" i="15"/>
  <c r="AA459" i="15" s="1"/>
  <c r="Y458" i="15"/>
  <c r="AA458" i="15" s="1"/>
  <c r="X457" i="15"/>
  <c r="Z457" i="15" s="1"/>
  <c r="Y456" i="15"/>
  <c r="AA456" i="15" s="1"/>
  <c r="Y455" i="15"/>
  <c r="AA455" i="15" s="1"/>
  <c r="X454" i="15"/>
  <c r="Z454" i="15" s="1"/>
  <c r="Y453" i="15"/>
  <c r="AA453" i="15" s="1"/>
  <c r="Y452" i="15"/>
  <c r="AA452" i="15" s="1"/>
  <c r="X451" i="15"/>
  <c r="Z451" i="15" s="1"/>
  <c r="Y450" i="15"/>
  <c r="AA450" i="15" s="1"/>
  <c r="Y449" i="15"/>
  <c r="AA449" i="15" s="1"/>
  <c r="AD443" i="15"/>
  <c r="AF443" i="15" s="1"/>
  <c r="Y440" i="15"/>
  <c r="AA440" i="15" s="1"/>
  <c r="AD434" i="15"/>
  <c r="AF434" i="15" s="1"/>
  <c r="Y431" i="15"/>
  <c r="AA431" i="15" s="1"/>
  <c r="AD425" i="15"/>
  <c r="AF425" i="15" s="1"/>
  <c r="Y422" i="15"/>
  <c r="AA422" i="15" s="1"/>
  <c r="AC536" i="15"/>
  <c r="AE536" i="15" s="1"/>
  <c r="AC534" i="15"/>
  <c r="AE534" i="15" s="1"/>
  <c r="AC527" i="15"/>
  <c r="AE527" i="15" s="1"/>
  <c r="AC523" i="15"/>
  <c r="AE523" i="15" s="1"/>
  <c r="AD508" i="15"/>
  <c r="AF508" i="15" s="1"/>
  <c r="Y503" i="15"/>
  <c r="AA503" i="15" s="1"/>
  <c r="Y501" i="15"/>
  <c r="AA501" i="15" s="1"/>
  <c r="AC492" i="15"/>
  <c r="AE492" i="15" s="1"/>
  <c r="AC489" i="15"/>
  <c r="AE489" i="15" s="1"/>
  <c r="AC486" i="15"/>
  <c r="AE486" i="15" s="1"/>
  <c r="AD483" i="15"/>
  <c r="AF483" i="15" s="1"/>
  <c r="AC466" i="15"/>
  <c r="AE466" i="15" s="1"/>
  <c r="AC465" i="15"/>
  <c r="AE465" i="15" s="1"/>
  <c r="X463" i="15"/>
  <c r="Z463" i="15" s="1"/>
  <c r="X462" i="15"/>
  <c r="Z462" i="15" s="1"/>
  <c r="X459" i="15"/>
  <c r="Z459" i="15" s="1"/>
  <c r="X456" i="15"/>
  <c r="Z456" i="15" s="1"/>
  <c r="X453" i="15"/>
  <c r="Z453" i="15" s="1"/>
  <c r="X450" i="15"/>
  <c r="Z450" i="15" s="1"/>
  <c r="AD447" i="15"/>
  <c r="AF447" i="15" s="1"/>
  <c r="AC529" i="15"/>
  <c r="AE529" i="15" s="1"/>
  <c r="AC525" i="15"/>
  <c r="AE525" i="15" s="1"/>
  <c r="Y523" i="15"/>
  <c r="AA523" i="15" s="1"/>
  <c r="Y519" i="15"/>
  <c r="AA519" i="15" s="1"/>
  <c r="AD517" i="15"/>
  <c r="AF517" i="15" s="1"/>
  <c r="Y510" i="15"/>
  <c r="AA510" i="15" s="1"/>
  <c r="AC508" i="15"/>
  <c r="AE508" i="15" s="1"/>
  <c r="X501" i="15"/>
  <c r="Z501" i="15" s="1"/>
  <c r="AD499" i="15"/>
  <c r="AF499" i="15" s="1"/>
  <c r="Y489" i="15"/>
  <c r="AA489" i="15" s="1"/>
  <c r="AC480" i="15"/>
  <c r="AE480" i="15" s="1"/>
  <c r="AC477" i="15"/>
  <c r="AE477" i="15" s="1"/>
  <c r="AD474" i="15"/>
  <c r="AF474" i="15" s="1"/>
  <c r="AC467" i="15"/>
  <c r="AE467" i="15" s="1"/>
  <c r="Y448" i="15"/>
  <c r="AA448" i="15" s="1"/>
  <c r="AC447" i="15"/>
  <c r="AE447" i="15" s="1"/>
  <c r="X527" i="15"/>
  <c r="Z527" i="15" s="1"/>
  <c r="Y506" i="15"/>
  <c r="AA506" i="15" s="1"/>
  <c r="AC504" i="15"/>
  <c r="AE504" i="15" s="1"/>
  <c r="X477" i="15"/>
  <c r="Z477" i="15" s="1"/>
  <c r="Y474" i="15"/>
  <c r="AA474" i="15" s="1"/>
  <c r="Y466" i="15"/>
  <c r="AA466" i="15" s="1"/>
  <c r="X531" i="15"/>
  <c r="Z531" i="15" s="1"/>
  <c r="Y515" i="15"/>
  <c r="AA515" i="15" s="1"/>
  <c r="X513" i="15"/>
  <c r="Z513" i="15" s="1"/>
  <c r="AC502" i="15"/>
  <c r="AE502" i="15" s="1"/>
  <c r="Y497" i="15"/>
  <c r="AA497" i="15" s="1"/>
  <c r="X495" i="15"/>
  <c r="Z495" i="15" s="1"/>
  <c r="AD490" i="15"/>
  <c r="AF490" i="15" s="1"/>
  <c r="AD487" i="15"/>
  <c r="AF487" i="15" s="1"/>
  <c r="AD471" i="15"/>
  <c r="AF471" i="15" s="1"/>
  <c r="AD470" i="15"/>
  <c r="AF470" i="15" s="1"/>
  <c r="AC469" i="15"/>
  <c r="AE469" i="15" s="1"/>
  <c r="Y468" i="15"/>
  <c r="AA468" i="15" s="1"/>
  <c r="X467" i="15"/>
  <c r="Z467" i="15" s="1"/>
  <c r="AD530" i="15"/>
  <c r="AF530" i="15" s="1"/>
  <c r="AC526" i="15"/>
  <c r="AE526" i="15" s="1"/>
  <c r="AC524" i="15"/>
  <c r="AE524" i="15" s="1"/>
  <c r="X522" i="15"/>
  <c r="Z522" i="15" s="1"/>
  <c r="Y520" i="15"/>
  <c r="AA520" i="15" s="1"/>
  <c r="AD516" i="15"/>
  <c r="AF516" i="15" s="1"/>
  <c r="AC507" i="15"/>
  <c r="AE507" i="15" s="1"/>
  <c r="AD498" i="15"/>
  <c r="AF498" i="15" s="1"/>
  <c r="AD491" i="15"/>
  <c r="AF491" i="15" s="1"/>
  <c r="X475" i="15"/>
  <c r="Z475" i="15" s="1"/>
  <c r="AC472" i="15"/>
  <c r="AE472" i="15" s="1"/>
  <c r="AD462" i="15"/>
  <c r="AF462" i="15" s="1"/>
  <c r="AD459" i="15"/>
  <c r="AF459" i="15" s="1"/>
  <c r="AD456" i="15"/>
  <c r="AF456" i="15" s="1"/>
  <c r="AD453" i="15"/>
  <c r="AF453" i="15" s="1"/>
  <c r="Y530" i="15"/>
  <c r="AA530" i="15" s="1"/>
  <c r="X520" i="15"/>
  <c r="Z520" i="15" s="1"/>
  <c r="AC516" i="15"/>
  <c r="AE516" i="15" s="1"/>
  <c r="AC514" i="15"/>
  <c r="AE514" i="15" s="1"/>
  <c r="X507" i="15"/>
  <c r="Z507" i="15" s="1"/>
  <c r="AC498" i="15"/>
  <c r="AE498" i="15" s="1"/>
  <c r="AC496" i="15"/>
  <c r="AE496" i="15" s="1"/>
  <c r="AC491" i="15"/>
  <c r="AE491" i="15" s="1"/>
  <c r="AC488" i="15"/>
  <c r="AE488" i="15" s="1"/>
  <c r="AD485" i="15"/>
  <c r="AF485" i="15" s="1"/>
  <c r="Y471" i="15"/>
  <c r="AA471" i="15" s="1"/>
  <c r="AC462" i="15"/>
  <c r="AE462" i="15" s="1"/>
  <c r="AD461" i="15"/>
  <c r="AF461" i="15" s="1"/>
  <c r="AD460" i="15"/>
  <c r="AF460" i="15" s="1"/>
  <c r="AC459" i="15"/>
  <c r="AE459" i="15" s="1"/>
  <c r="AD458" i="15"/>
  <c r="AF458" i="15" s="1"/>
  <c r="AD457" i="15"/>
  <c r="AF457" i="15" s="1"/>
  <c r="AC456" i="15"/>
  <c r="AE456" i="15" s="1"/>
  <c r="AD455" i="15"/>
  <c r="AF455" i="15" s="1"/>
  <c r="AD454" i="15"/>
  <c r="AF454" i="15" s="1"/>
  <c r="AC453" i="15"/>
  <c r="AE453" i="15" s="1"/>
  <c r="AD452" i="15"/>
  <c r="AF452" i="15" s="1"/>
  <c r="AD451" i="15"/>
  <c r="AF451" i="15" s="1"/>
  <c r="AC450" i="15"/>
  <c r="AE450" i="15" s="1"/>
  <c r="AD449" i="15"/>
  <c r="AF449" i="15" s="1"/>
  <c r="AD444" i="15"/>
  <c r="AF444" i="15" s="1"/>
  <c r="Y441" i="15"/>
  <c r="AA441" i="15" s="1"/>
  <c r="AC440" i="15"/>
  <c r="AE440" i="15" s="1"/>
  <c r="AD435" i="15"/>
  <c r="AF435" i="15" s="1"/>
  <c r="Y432" i="15"/>
  <c r="AA432" i="15" s="1"/>
  <c r="AC431" i="15"/>
  <c r="AE431" i="15" s="1"/>
  <c r="X530" i="15"/>
  <c r="Z530" i="15" s="1"/>
  <c r="X528" i="15"/>
  <c r="Z528" i="15" s="1"/>
  <c r="X516" i="15"/>
  <c r="Z516" i="15" s="1"/>
  <c r="Y514" i="15"/>
  <c r="AA514" i="15" s="1"/>
  <c r="AC505" i="15"/>
  <c r="AE505" i="15" s="1"/>
  <c r="AD503" i="15"/>
  <c r="AF503" i="15" s="1"/>
  <c r="X498" i="15"/>
  <c r="Z498" i="15" s="1"/>
  <c r="Y496" i="15"/>
  <c r="AA496" i="15" s="1"/>
  <c r="AC482" i="15"/>
  <c r="AE482" i="15" s="1"/>
  <c r="AC479" i="15"/>
  <c r="AE479" i="15" s="1"/>
  <c r="AC528" i="15"/>
  <c r="AE528" i="15" s="1"/>
  <c r="AC522" i="15"/>
  <c r="AE522" i="15" s="1"/>
  <c r="X511" i="15"/>
  <c r="Z511" i="15" s="1"/>
  <c r="AC500" i="15"/>
  <c r="AE500" i="15" s="1"/>
  <c r="X481" i="15"/>
  <c r="Z481" i="15" s="1"/>
  <c r="AC473" i="15"/>
  <c r="AE473" i="15" s="1"/>
  <c r="AC470" i="15"/>
  <c r="AE470" i="15" s="1"/>
  <c r="Y457" i="15"/>
  <c r="AA457" i="15" s="1"/>
  <c r="AC446" i="15"/>
  <c r="AE446" i="15" s="1"/>
  <c r="AC441" i="15"/>
  <c r="AE441" i="15" s="1"/>
  <c r="AD440" i="15"/>
  <c r="AF440" i="15" s="1"/>
  <c r="AD439" i="15"/>
  <c r="AF439" i="15" s="1"/>
  <c r="AC438" i="15"/>
  <c r="AE438" i="15" s="1"/>
  <c r="AD437" i="15"/>
  <c r="AF437" i="15" s="1"/>
  <c r="Y423" i="15"/>
  <c r="AA423" i="15" s="1"/>
  <c r="AD421" i="15"/>
  <c r="AF421" i="15" s="1"/>
  <c r="AD420" i="15"/>
  <c r="AF420" i="15" s="1"/>
  <c r="Y417" i="15"/>
  <c r="AA417" i="15" s="1"/>
  <c r="AC416" i="15"/>
  <c r="AE416" i="15" s="1"/>
  <c r="X413" i="15"/>
  <c r="Z413" i="15" s="1"/>
  <c r="AD411" i="15"/>
  <c r="AF411" i="15" s="1"/>
  <c r="Y408" i="15"/>
  <c r="AA408" i="15" s="1"/>
  <c r="AC407" i="15"/>
  <c r="AE407" i="15" s="1"/>
  <c r="X404" i="15"/>
  <c r="Z404" i="15" s="1"/>
  <c r="AD535" i="15"/>
  <c r="AF535" i="15" s="1"/>
  <c r="X505" i="15"/>
  <c r="Z505" i="15" s="1"/>
  <c r="AC494" i="15"/>
  <c r="AE494" i="15" s="1"/>
  <c r="Y485" i="15"/>
  <c r="AA485" i="15" s="1"/>
  <c r="AD476" i="15"/>
  <c r="AF476" i="15" s="1"/>
  <c r="Y465" i="15"/>
  <c r="AA465" i="15" s="1"/>
  <c r="Y445" i="15"/>
  <c r="AA445" i="15" s="1"/>
  <c r="Y444" i="15"/>
  <c r="AA444" i="15" s="1"/>
  <c r="AC437" i="15"/>
  <c r="AE437" i="15" s="1"/>
  <c r="AD436" i="15"/>
  <c r="AF436" i="15" s="1"/>
  <c r="AC435" i="15"/>
  <c r="AE435" i="15" s="1"/>
  <c r="AC434" i="15"/>
  <c r="AE434" i="15" s="1"/>
  <c r="AD433" i="15"/>
  <c r="AF433" i="15" s="1"/>
  <c r="AD432" i="15"/>
  <c r="AF432" i="15" s="1"/>
  <c r="AD429" i="15"/>
  <c r="AF429" i="15" s="1"/>
  <c r="X423" i="15"/>
  <c r="Z423" i="15" s="1"/>
  <c r="AC420" i="15"/>
  <c r="AE420" i="15" s="1"/>
  <c r="X417" i="15"/>
  <c r="Z417" i="15" s="1"/>
  <c r="Y412" i="15"/>
  <c r="AA412" i="15" s="1"/>
  <c r="AC411" i="15"/>
  <c r="AE411" i="15" s="1"/>
  <c r="X408" i="15"/>
  <c r="Z408" i="15" s="1"/>
  <c r="Y403" i="15"/>
  <c r="AA403" i="15" s="1"/>
  <c r="AD402" i="15"/>
  <c r="AF402" i="15" s="1"/>
  <c r="Y400" i="15"/>
  <c r="AA400" i="15" s="1"/>
  <c r="AD399" i="15"/>
  <c r="AF399" i="15" s="1"/>
  <c r="Y397" i="15"/>
  <c r="AA397" i="15" s="1"/>
  <c r="AD396" i="15"/>
  <c r="AF396" i="15" s="1"/>
  <c r="Y394" i="15"/>
  <c r="AA394" i="15" s="1"/>
  <c r="X521" i="15"/>
  <c r="Z521" i="15" s="1"/>
  <c r="AC515" i="15"/>
  <c r="AE515" i="15" s="1"/>
  <c r="X499" i="15"/>
  <c r="Z499" i="15" s="1"/>
  <c r="Y480" i="15"/>
  <c r="AA480" i="15" s="1"/>
  <c r="X445" i="15"/>
  <c r="Z445" i="15" s="1"/>
  <c r="X444" i="15"/>
  <c r="Z444" i="15" s="1"/>
  <c r="Y443" i="15"/>
  <c r="AA443" i="15" s="1"/>
  <c r="Y442" i="15"/>
  <c r="AA442" i="15" s="1"/>
  <c r="Y439" i="15"/>
  <c r="AA439" i="15" s="1"/>
  <c r="AC432" i="15"/>
  <c r="AE432" i="15" s="1"/>
  <c r="AD431" i="15"/>
  <c r="AF431" i="15" s="1"/>
  <c r="AD430" i="15"/>
  <c r="AF430" i="15" s="1"/>
  <c r="AC429" i="15"/>
  <c r="AE429" i="15" s="1"/>
  <c r="AD428" i="15"/>
  <c r="AF428" i="15" s="1"/>
  <c r="Y421" i="15"/>
  <c r="AA421" i="15" s="1"/>
  <c r="AD415" i="15"/>
  <c r="AF415" i="15" s="1"/>
  <c r="X412" i="15"/>
  <c r="Z412" i="15" s="1"/>
  <c r="AD406" i="15"/>
  <c r="AF406" i="15" s="1"/>
  <c r="X403" i="15"/>
  <c r="Z403" i="15" s="1"/>
  <c r="AC402" i="15"/>
  <c r="AE402" i="15" s="1"/>
  <c r="X400" i="15"/>
  <c r="Z400" i="15" s="1"/>
  <c r="AC399" i="15"/>
  <c r="AE399" i="15" s="1"/>
  <c r="X397" i="15"/>
  <c r="Z397" i="15" s="1"/>
  <c r="AC396" i="15"/>
  <c r="AE396" i="15" s="1"/>
  <c r="AC531" i="15"/>
  <c r="AE531" i="15" s="1"/>
  <c r="X525" i="15"/>
  <c r="Z525" i="15" s="1"/>
  <c r="X519" i="15"/>
  <c r="Z519" i="15" s="1"/>
  <c r="X508" i="15"/>
  <c r="Z508" i="15" s="1"/>
  <c r="AC497" i="15"/>
  <c r="AE497" i="15" s="1"/>
  <c r="X492" i="15"/>
  <c r="Z492" i="15" s="1"/>
  <c r="Y483" i="15"/>
  <c r="AA483" i="15" s="1"/>
  <c r="X469" i="15"/>
  <c r="Z469" i="15" s="1"/>
  <c r="Y460" i="15"/>
  <c r="AA460" i="15" s="1"/>
  <c r="Y454" i="15"/>
  <c r="AA454" i="15" s="1"/>
  <c r="X429" i="15"/>
  <c r="Z429" i="15" s="1"/>
  <c r="Y428" i="15"/>
  <c r="AA428" i="15" s="1"/>
  <c r="Y427" i="15"/>
  <c r="AA427" i="15" s="1"/>
  <c r="AC425" i="15"/>
  <c r="AE425" i="15" s="1"/>
  <c r="AD418" i="15"/>
  <c r="AF418" i="15" s="1"/>
  <c r="X415" i="15"/>
  <c r="Z415" i="15" s="1"/>
  <c r="AD409" i="15"/>
  <c r="AF409" i="15" s="1"/>
  <c r="X406" i="15"/>
  <c r="Z406" i="15" s="1"/>
  <c r="X402" i="15"/>
  <c r="Z402" i="15" s="1"/>
  <c r="AC401" i="15"/>
  <c r="AE401" i="15" s="1"/>
  <c r="X399" i="15"/>
  <c r="Z399" i="15" s="1"/>
  <c r="AC398" i="15"/>
  <c r="AE398" i="15" s="1"/>
  <c r="X396" i="15"/>
  <c r="Z396" i="15" s="1"/>
  <c r="AC395" i="15"/>
  <c r="AE395" i="15" s="1"/>
  <c r="AC512" i="15"/>
  <c r="AE512" i="15" s="1"/>
  <c r="X496" i="15"/>
  <c r="Z496" i="15" s="1"/>
  <c r="X471" i="15"/>
  <c r="Z471" i="15" s="1"/>
  <c r="AD468" i="15"/>
  <c r="AF468" i="15" s="1"/>
  <c r="Y425" i="15"/>
  <c r="AA425" i="15" s="1"/>
  <c r="AC423" i="15"/>
  <c r="AE423" i="15" s="1"/>
  <c r="Y418" i="15"/>
  <c r="AA418" i="15" s="1"/>
  <c r="AC417" i="15"/>
  <c r="AE417" i="15" s="1"/>
  <c r="X414" i="15"/>
  <c r="Z414" i="15" s="1"/>
  <c r="Y409" i="15"/>
  <c r="AA409" i="15" s="1"/>
  <c r="AC408" i="15"/>
  <c r="AE408" i="15" s="1"/>
  <c r="X405" i="15"/>
  <c r="Z405" i="15" s="1"/>
  <c r="Y401" i="15"/>
  <c r="AA401" i="15" s="1"/>
  <c r="AD400" i="15"/>
  <c r="AF400" i="15" s="1"/>
  <c r="Y398" i="15"/>
  <c r="AA398" i="15" s="1"/>
  <c r="AD397" i="15"/>
  <c r="AF397" i="15" s="1"/>
  <c r="Y395" i="15"/>
  <c r="AA395" i="15" s="1"/>
  <c r="AD394" i="15"/>
  <c r="AF394" i="15" s="1"/>
  <c r="X529" i="15"/>
  <c r="Z529" i="15" s="1"/>
  <c r="X517" i="15"/>
  <c r="Z517" i="15" s="1"/>
  <c r="AC506" i="15"/>
  <c r="AE506" i="15" s="1"/>
  <c r="X486" i="15"/>
  <c r="Z486" i="15" s="1"/>
  <c r="X468" i="15"/>
  <c r="Z468" i="15" s="1"/>
  <c r="AD450" i="15"/>
  <c r="AF450" i="15" s="1"/>
  <c r="Y424" i="15"/>
  <c r="AA424" i="15" s="1"/>
  <c r="AD422" i="15"/>
  <c r="AF422" i="15" s="1"/>
  <c r="X418" i="15"/>
  <c r="Z418" i="15" s="1"/>
  <c r="AD412" i="15"/>
  <c r="AF412" i="15" s="1"/>
  <c r="X409" i="15"/>
  <c r="Z409" i="15" s="1"/>
  <c r="Y533" i="15"/>
  <c r="AA533" i="15" s="1"/>
  <c r="AD509" i="15"/>
  <c r="AF509" i="15" s="1"/>
  <c r="Y446" i="15"/>
  <c r="AA446" i="15" s="1"/>
  <c r="X442" i="15"/>
  <c r="Z442" i="15" s="1"/>
  <c r="Y438" i="15"/>
  <c r="AA438" i="15" s="1"/>
  <c r="Y436" i="15"/>
  <c r="AA436" i="15" s="1"/>
  <c r="AC428" i="15"/>
  <c r="AE428" i="15" s="1"/>
  <c r="X421" i="15"/>
  <c r="Z421" i="15" s="1"/>
  <c r="AD419" i="15"/>
  <c r="AF419" i="15" s="1"/>
  <c r="Y416" i="15"/>
  <c r="AA416" i="15" s="1"/>
  <c r="AC397" i="15"/>
  <c r="AE397" i="15" s="1"/>
  <c r="Y392" i="15"/>
  <c r="AA392" i="15" s="1"/>
  <c r="AC391" i="15"/>
  <c r="AE391" i="15" s="1"/>
  <c r="X388" i="15"/>
  <c r="Z388" i="15" s="1"/>
  <c r="AC387" i="15"/>
  <c r="AE387" i="15" s="1"/>
  <c r="X385" i="15"/>
  <c r="Z385" i="15" s="1"/>
  <c r="AC384" i="15"/>
  <c r="AE384" i="15" s="1"/>
  <c r="X382" i="15"/>
  <c r="Z382" i="15" s="1"/>
  <c r="AC381" i="15"/>
  <c r="AE381" i="15" s="1"/>
  <c r="X379" i="15"/>
  <c r="Z379" i="15" s="1"/>
  <c r="AC378" i="15"/>
  <c r="AE378" i="15" s="1"/>
  <c r="X376" i="15"/>
  <c r="Z376" i="15" s="1"/>
  <c r="AC375" i="15"/>
  <c r="AE375" i="15" s="1"/>
  <c r="X373" i="15"/>
  <c r="Z373" i="15" s="1"/>
  <c r="AC372" i="15"/>
  <c r="AE372" i="15" s="1"/>
  <c r="X370" i="15"/>
  <c r="Z370" i="15" s="1"/>
  <c r="AC369" i="15"/>
  <c r="AE369" i="15" s="1"/>
  <c r="X367" i="15"/>
  <c r="Z367" i="15" s="1"/>
  <c r="AC366" i="15"/>
  <c r="AE366" i="15" s="1"/>
  <c r="X364" i="15"/>
  <c r="Z364" i="15" s="1"/>
  <c r="AC363" i="15"/>
  <c r="AE363" i="15" s="1"/>
  <c r="X361" i="15"/>
  <c r="Z361" i="15" s="1"/>
  <c r="AC360" i="15"/>
  <c r="AE360" i="15" s="1"/>
  <c r="X358" i="15"/>
  <c r="Z358" i="15" s="1"/>
  <c r="AC357" i="15"/>
  <c r="AE357" i="15" s="1"/>
  <c r="X355" i="15"/>
  <c r="Z355" i="15" s="1"/>
  <c r="AC354" i="15"/>
  <c r="AE354" i="15" s="1"/>
  <c r="X352" i="15"/>
  <c r="Z352" i="15" s="1"/>
  <c r="AC351" i="15"/>
  <c r="AE351" i="15" s="1"/>
  <c r="X349" i="15"/>
  <c r="Z349" i="15" s="1"/>
  <c r="AC348" i="15"/>
  <c r="AE348" i="15" s="1"/>
  <c r="X346" i="15"/>
  <c r="Z346" i="15" s="1"/>
  <c r="AC345" i="15"/>
  <c r="AE345" i="15" s="1"/>
  <c r="X343" i="15"/>
  <c r="Z343" i="15" s="1"/>
  <c r="AC342" i="15"/>
  <c r="AE342" i="15" s="1"/>
  <c r="X340" i="15"/>
  <c r="Z340" i="15" s="1"/>
  <c r="AC339" i="15"/>
  <c r="AE339" i="15" s="1"/>
  <c r="X337" i="15"/>
  <c r="Z337" i="15" s="1"/>
  <c r="AC336" i="15"/>
  <c r="AE336" i="15" s="1"/>
  <c r="X334" i="15"/>
  <c r="Z334" i="15" s="1"/>
  <c r="AC333" i="15"/>
  <c r="AE333" i="15" s="1"/>
  <c r="X331" i="15"/>
  <c r="Z331" i="15" s="1"/>
  <c r="AC330" i="15"/>
  <c r="AE330" i="15" s="1"/>
  <c r="X328" i="15"/>
  <c r="Z328" i="15" s="1"/>
  <c r="AC327" i="15"/>
  <c r="AE327" i="15" s="1"/>
  <c r="X325" i="15"/>
  <c r="Z325" i="15" s="1"/>
  <c r="AC324" i="15"/>
  <c r="AE324" i="15" s="1"/>
  <c r="X322" i="15"/>
  <c r="Z322" i="15" s="1"/>
  <c r="AC321" i="15"/>
  <c r="AE321" i="15" s="1"/>
  <c r="X319" i="15"/>
  <c r="Z319" i="15" s="1"/>
  <c r="AC318" i="15"/>
  <c r="AE318" i="15" s="1"/>
  <c r="X316" i="15"/>
  <c r="Z316" i="15" s="1"/>
  <c r="AC315" i="15"/>
  <c r="AE315" i="15" s="1"/>
  <c r="X313" i="15"/>
  <c r="Z313" i="15" s="1"/>
  <c r="AC520" i="15"/>
  <c r="AE520" i="15" s="1"/>
  <c r="AC509" i="15"/>
  <c r="AE509" i="15" s="1"/>
  <c r="Y472" i="15"/>
  <c r="AA472" i="15" s="1"/>
  <c r="Y451" i="15"/>
  <c r="AA451" i="15" s="1"/>
  <c r="AD448" i="15"/>
  <c r="AF448" i="15" s="1"/>
  <c r="X438" i="15"/>
  <c r="Z438" i="15" s="1"/>
  <c r="X436" i="15"/>
  <c r="Z436" i="15" s="1"/>
  <c r="Y434" i="15"/>
  <c r="AA434" i="15" s="1"/>
  <c r="Y430" i="15"/>
  <c r="AA430" i="15" s="1"/>
  <c r="AD426" i="15"/>
  <c r="AF426" i="15" s="1"/>
  <c r="AC419" i="15"/>
  <c r="AE419" i="15" s="1"/>
  <c r="X416" i="15"/>
  <c r="Z416" i="15" s="1"/>
  <c r="AD414" i="15"/>
  <c r="AF414" i="15" s="1"/>
  <c r="Y411" i="15"/>
  <c r="AA411" i="15" s="1"/>
  <c r="Y405" i="15"/>
  <c r="AA405" i="15" s="1"/>
  <c r="X401" i="15"/>
  <c r="Z401" i="15" s="1"/>
  <c r="X392" i="15"/>
  <c r="Z392" i="15" s="1"/>
  <c r="AD390" i="15"/>
  <c r="AF390" i="15" s="1"/>
  <c r="Y532" i="15"/>
  <c r="AA532" i="15" s="1"/>
  <c r="X488" i="15"/>
  <c r="Z488" i="15" s="1"/>
  <c r="X472" i="15"/>
  <c r="Z472" i="15" s="1"/>
  <c r="AC458" i="15"/>
  <c r="AE458" i="15" s="1"/>
  <c r="X448" i="15"/>
  <c r="Z448" i="15" s="1"/>
  <c r="X432" i="15"/>
  <c r="Z432" i="15" s="1"/>
  <c r="X430" i="15"/>
  <c r="Z430" i="15" s="1"/>
  <c r="AC426" i="15"/>
  <c r="AE426" i="15" s="1"/>
  <c r="AC414" i="15"/>
  <c r="AE414" i="15" s="1"/>
  <c r="X411" i="15"/>
  <c r="Z411" i="15" s="1"/>
  <c r="AC406" i="15"/>
  <c r="AE406" i="15" s="1"/>
  <c r="AD398" i="15"/>
  <c r="AF398" i="15" s="1"/>
  <c r="Y391" i="15"/>
  <c r="AA391" i="15" s="1"/>
  <c r="AC390" i="15"/>
  <c r="AE390" i="15" s="1"/>
  <c r="AC461" i="15"/>
  <c r="AE461" i="15" s="1"/>
  <c r="AD445" i="15"/>
  <c r="AF445" i="15" s="1"/>
  <c r="AC443" i="15"/>
  <c r="AE443" i="15" s="1"/>
  <c r="AD441" i="15"/>
  <c r="AF441" i="15" s="1"/>
  <c r="X514" i="15"/>
  <c r="Z514" i="15" s="1"/>
  <c r="AC503" i="15"/>
  <c r="AE503" i="15" s="1"/>
  <c r="AC475" i="15"/>
  <c r="AE475" i="15" s="1"/>
  <c r="X433" i="15"/>
  <c r="Z433" i="15" s="1"/>
  <c r="Y429" i="15"/>
  <c r="AA429" i="15" s="1"/>
  <c r="X420" i="15"/>
  <c r="Z420" i="15" s="1"/>
  <c r="Y415" i="15"/>
  <c r="AA415" i="15" s="1"/>
  <c r="X407" i="15"/>
  <c r="Z407" i="15" s="1"/>
  <c r="AC404" i="15"/>
  <c r="AE404" i="15" s="1"/>
  <c r="AC400" i="15"/>
  <c r="AE400" i="15" s="1"/>
  <c r="AD392" i="15"/>
  <c r="AF392" i="15" s="1"/>
  <c r="Y389" i="15"/>
  <c r="AA389" i="15" s="1"/>
  <c r="AC388" i="15"/>
  <c r="AE388" i="15" s="1"/>
  <c r="X386" i="15"/>
  <c r="Z386" i="15" s="1"/>
  <c r="AC385" i="15"/>
  <c r="AE385" i="15" s="1"/>
  <c r="X383" i="15"/>
  <c r="Z383" i="15" s="1"/>
  <c r="AC382" i="15"/>
  <c r="AE382" i="15" s="1"/>
  <c r="X380" i="15"/>
  <c r="Z380" i="15" s="1"/>
  <c r="AC379" i="15"/>
  <c r="AE379" i="15" s="1"/>
  <c r="X377" i="15"/>
  <c r="Z377" i="15" s="1"/>
  <c r="AC376" i="15"/>
  <c r="AE376" i="15" s="1"/>
  <c r="X374" i="15"/>
  <c r="Z374" i="15" s="1"/>
  <c r="AC373" i="15"/>
  <c r="AE373" i="15" s="1"/>
  <c r="X371" i="15"/>
  <c r="Z371" i="15" s="1"/>
  <c r="AC370" i="15"/>
  <c r="AE370" i="15" s="1"/>
  <c r="X368" i="15"/>
  <c r="Z368" i="15" s="1"/>
  <c r="AC367" i="15"/>
  <c r="AE367" i="15" s="1"/>
  <c r="X365" i="15"/>
  <c r="Z365" i="15" s="1"/>
  <c r="AC364" i="15"/>
  <c r="AE364" i="15" s="1"/>
  <c r="X362" i="15"/>
  <c r="Z362" i="15" s="1"/>
  <c r="AC361" i="15"/>
  <c r="AE361" i="15" s="1"/>
  <c r="X359" i="15"/>
  <c r="Z359" i="15" s="1"/>
  <c r="AC358" i="15"/>
  <c r="AE358" i="15" s="1"/>
  <c r="X356" i="15"/>
  <c r="Z356" i="15" s="1"/>
  <c r="AC355" i="15"/>
  <c r="AE355" i="15" s="1"/>
  <c r="X353" i="15"/>
  <c r="Z353" i="15" s="1"/>
  <c r="AC352" i="15"/>
  <c r="AE352" i="15" s="1"/>
  <c r="X350" i="15"/>
  <c r="Z350" i="15" s="1"/>
  <c r="Y502" i="15"/>
  <c r="AA502" i="15" s="1"/>
  <c r="AC452" i="15"/>
  <c r="AE452" i="15" s="1"/>
  <c r="AC449" i="15"/>
  <c r="AE449" i="15" s="1"/>
  <c r="X427" i="15"/>
  <c r="Z427" i="15" s="1"/>
  <c r="AC418" i="15"/>
  <c r="AE418" i="15" s="1"/>
  <c r="AD413" i="15"/>
  <c r="AF413" i="15" s="1"/>
  <c r="Y410" i="15"/>
  <c r="AA410" i="15" s="1"/>
  <c r="X395" i="15"/>
  <c r="Z395" i="15" s="1"/>
  <c r="Y393" i="15"/>
  <c r="AA393" i="15" s="1"/>
  <c r="AC392" i="15"/>
  <c r="AE392" i="15" s="1"/>
  <c r="X389" i="15"/>
  <c r="Z389" i="15" s="1"/>
  <c r="X502" i="15"/>
  <c r="Z502" i="15" s="1"/>
  <c r="AD423" i="15"/>
  <c r="AF423" i="15" s="1"/>
  <c r="AC511" i="15"/>
  <c r="AE511" i="15" s="1"/>
  <c r="X490" i="15"/>
  <c r="Z490" i="15" s="1"/>
  <c r="AD481" i="15"/>
  <c r="AF481" i="15" s="1"/>
  <c r="AC463" i="15"/>
  <c r="AE463" i="15" s="1"/>
  <c r="AC455" i="15"/>
  <c r="AE455" i="15" s="1"/>
  <c r="AD446" i="15"/>
  <c r="AF446" i="15" s="1"/>
  <c r="AC444" i="15"/>
  <c r="AE444" i="15" s="1"/>
  <c r="AD442" i="15"/>
  <c r="AF442" i="15" s="1"/>
  <c r="AD438" i="15"/>
  <c r="AF438" i="15" s="1"/>
  <c r="AD416" i="15"/>
  <c r="AF416" i="15" s="1"/>
  <c r="Y413" i="15"/>
  <c r="AA413" i="15" s="1"/>
  <c r="AC405" i="15"/>
  <c r="AE405" i="15" s="1"/>
  <c r="AC471" i="15"/>
  <c r="AE471" i="15" s="1"/>
  <c r="Y426" i="15"/>
  <c r="AA426" i="15" s="1"/>
  <c r="AC422" i="15"/>
  <c r="AE422" i="15" s="1"/>
  <c r="AC394" i="15"/>
  <c r="AE394" i="15" s="1"/>
  <c r="X390" i="15"/>
  <c r="Z390" i="15" s="1"/>
  <c r="AD387" i="15"/>
  <c r="AF387" i="15" s="1"/>
  <c r="Y386" i="15"/>
  <c r="AA386" i="15" s="1"/>
  <c r="AD383" i="15"/>
  <c r="AF383" i="15" s="1"/>
  <c r="AD378" i="15"/>
  <c r="AF378" i="15" s="1"/>
  <c r="Y377" i="15"/>
  <c r="AA377" i="15" s="1"/>
  <c r="AD374" i="15"/>
  <c r="AF374" i="15" s="1"/>
  <c r="AD369" i="15"/>
  <c r="AF369" i="15" s="1"/>
  <c r="Y368" i="15"/>
  <c r="AA368" i="15" s="1"/>
  <c r="AD365" i="15"/>
  <c r="AF365" i="15" s="1"/>
  <c r="AD360" i="15"/>
  <c r="AF360" i="15" s="1"/>
  <c r="Y359" i="15"/>
  <c r="AA359" i="15" s="1"/>
  <c r="AD356" i="15"/>
  <c r="AF356" i="15" s="1"/>
  <c r="AD351" i="15"/>
  <c r="AF351" i="15" s="1"/>
  <c r="Y350" i="15"/>
  <c r="AA350" i="15" s="1"/>
  <c r="AD344" i="15"/>
  <c r="AF344" i="15" s="1"/>
  <c r="AD341" i="15"/>
  <c r="AF341" i="15" s="1"/>
  <c r="AD338" i="15"/>
  <c r="AF338" i="15" s="1"/>
  <c r="X330" i="15"/>
  <c r="Z330" i="15" s="1"/>
  <c r="AC328" i="15"/>
  <c r="AE328" i="15" s="1"/>
  <c r="X321" i="15"/>
  <c r="Z321" i="15" s="1"/>
  <c r="AC319" i="15"/>
  <c r="AE319" i="15" s="1"/>
  <c r="Y312" i="15"/>
  <c r="AA312" i="15" s="1"/>
  <c r="AC311" i="15"/>
  <c r="AE311" i="15" s="1"/>
  <c r="X308" i="15"/>
  <c r="Z308" i="15" s="1"/>
  <c r="Y303" i="15"/>
  <c r="AA303" i="15" s="1"/>
  <c r="AC302" i="15"/>
  <c r="AE302" i="15" s="1"/>
  <c r="Y299" i="15"/>
  <c r="AA299" i="15" s="1"/>
  <c r="AD298" i="15"/>
  <c r="AF298" i="15" s="1"/>
  <c r="Y296" i="15"/>
  <c r="AA296" i="15" s="1"/>
  <c r="AD295" i="15"/>
  <c r="AF295" i="15" s="1"/>
  <c r="Y293" i="15"/>
  <c r="AA293" i="15" s="1"/>
  <c r="AD292" i="15"/>
  <c r="AF292" i="15" s="1"/>
  <c r="Y290" i="15"/>
  <c r="AA290" i="15" s="1"/>
  <c r="AD289" i="15"/>
  <c r="AF289" i="15" s="1"/>
  <c r="Y287" i="15"/>
  <c r="AA287" i="15" s="1"/>
  <c r="AD286" i="15"/>
  <c r="AF286" i="15" s="1"/>
  <c r="Y284" i="15"/>
  <c r="AA284" i="15" s="1"/>
  <c r="AD283" i="15"/>
  <c r="AF283" i="15" s="1"/>
  <c r="Y281" i="15"/>
  <c r="AA281" i="15" s="1"/>
  <c r="AD280" i="15"/>
  <c r="AF280" i="15" s="1"/>
  <c r="Y278" i="15"/>
  <c r="AA278" i="15" s="1"/>
  <c r="AD277" i="15"/>
  <c r="AF277" i="15" s="1"/>
  <c r="Y275" i="15"/>
  <c r="AA275" i="15" s="1"/>
  <c r="X426" i="15"/>
  <c r="Z426" i="15" s="1"/>
  <c r="AD408" i="15"/>
  <c r="AF408" i="15" s="1"/>
  <c r="AD405" i="15"/>
  <c r="AF405" i="15" s="1"/>
  <c r="AD391" i="15"/>
  <c r="AF391" i="15" s="1"/>
  <c r="Y387" i="15"/>
  <c r="AA387" i="15" s="1"/>
  <c r="AC383" i="15"/>
  <c r="AE383" i="15" s="1"/>
  <c r="Y382" i="15"/>
  <c r="AA382" i="15" s="1"/>
  <c r="Y378" i="15"/>
  <c r="AA378" i="15" s="1"/>
  <c r="AC374" i="15"/>
  <c r="AE374" i="15" s="1"/>
  <c r="Y373" i="15"/>
  <c r="AA373" i="15" s="1"/>
  <c r="Y369" i="15"/>
  <c r="AA369" i="15" s="1"/>
  <c r="AC365" i="15"/>
  <c r="AE365" i="15" s="1"/>
  <c r="Y364" i="15"/>
  <c r="AA364" i="15" s="1"/>
  <c r="Y360" i="15"/>
  <c r="AA360" i="15" s="1"/>
  <c r="AC356" i="15"/>
  <c r="AE356" i="15" s="1"/>
  <c r="Y355" i="15"/>
  <c r="AA355" i="15" s="1"/>
  <c r="Y351" i="15"/>
  <c r="AA351" i="15" s="1"/>
  <c r="AC344" i="15"/>
  <c r="AE344" i="15" s="1"/>
  <c r="AD343" i="15"/>
  <c r="AF343" i="15" s="1"/>
  <c r="AC341" i="15"/>
  <c r="AE341" i="15" s="1"/>
  <c r="AD340" i="15"/>
  <c r="AF340" i="15" s="1"/>
  <c r="AC338" i="15"/>
  <c r="AE338" i="15" s="1"/>
  <c r="AD337" i="15"/>
  <c r="AF337" i="15" s="1"/>
  <c r="AD335" i="15"/>
  <c r="AF335" i="15" s="1"/>
  <c r="Y329" i="15"/>
  <c r="AA329" i="15" s="1"/>
  <c r="AD327" i="15"/>
  <c r="AF327" i="15" s="1"/>
  <c r="AD326" i="15"/>
  <c r="AF326" i="15" s="1"/>
  <c r="Y320" i="15"/>
  <c r="AA320" i="15" s="1"/>
  <c r="AD318" i="15"/>
  <c r="AF318" i="15" s="1"/>
  <c r="AD317" i="15"/>
  <c r="AF317" i="15" s="1"/>
  <c r="X312" i="15"/>
  <c r="Z312" i="15" s="1"/>
  <c r="AD306" i="15"/>
  <c r="AF306" i="15" s="1"/>
  <c r="X303" i="15"/>
  <c r="Z303" i="15" s="1"/>
  <c r="X299" i="15"/>
  <c r="Z299" i="15" s="1"/>
  <c r="AC298" i="15"/>
  <c r="AE298" i="15" s="1"/>
  <c r="X296" i="15"/>
  <c r="Z296" i="15" s="1"/>
  <c r="AC295" i="15"/>
  <c r="AE295" i="15" s="1"/>
  <c r="X293" i="15"/>
  <c r="Z293" i="15" s="1"/>
  <c r="AC292" i="15"/>
  <c r="AE292" i="15" s="1"/>
  <c r="X290" i="15"/>
  <c r="Z290" i="15" s="1"/>
  <c r="AC289" i="15"/>
  <c r="AE289" i="15" s="1"/>
  <c r="X287" i="15"/>
  <c r="Z287" i="15" s="1"/>
  <c r="AC286" i="15"/>
  <c r="AE286" i="15" s="1"/>
  <c r="X284" i="15"/>
  <c r="Z284" i="15" s="1"/>
  <c r="AC283" i="15"/>
  <c r="AE283" i="15" s="1"/>
  <c r="X281" i="15"/>
  <c r="Z281" i="15" s="1"/>
  <c r="AC280" i="15"/>
  <c r="AE280" i="15" s="1"/>
  <c r="AC493" i="15"/>
  <c r="AE493" i="15" s="1"/>
  <c r="Y447" i="15"/>
  <c r="AA447" i="15" s="1"/>
  <c r="X441" i="15"/>
  <c r="Z441" i="15" s="1"/>
  <c r="Y435" i="15"/>
  <c r="AA435" i="15" s="1"/>
  <c r="Y396" i="15"/>
  <c r="AA396" i="15" s="1"/>
  <c r="X394" i="15"/>
  <c r="Z394" i="15" s="1"/>
  <c r="X391" i="15"/>
  <c r="Z391" i="15" s="1"/>
  <c r="X387" i="15"/>
  <c r="Z387" i="15" s="1"/>
  <c r="X378" i="15"/>
  <c r="Z378" i="15" s="1"/>
  <c r="X369" i="15"/>
  <c r="Z369" i="15" s="1"/>
  <c r="X360" i="15"/>
  <c r="Z360" i="15" s="1"/>
  <c r="X351" i="15"/>
  <c r="Z351" i="15" s="1"/>
  <c r="AD345" i="15"/>
  <c r="AF345" i="15" s="1"/>
  <c r="AC343" i="15"/>
  <c r="AE343" i="15" s="1"/>
  <c r="AD342" i="15"/>
  <c r="AF342" i="15" s="1"/>
  <c r="AC340" i="15"/>
  <c r="AE340" i="15" s="1"/>
  <c r="AD339" i="15"/>
  <c r="AF339" i="15" s="1"/>
  <c r="AC337" i="15"/>
  <c r="AE337" i="15" s="1"/>
  <c r="AD336" i="15"/>
  <c r="AF336" i="15" s="1"/>
  <c r="AC335" i="15"/>
  <c r="AE335" i="15" s="1"/>
  <c r="X329" i="15"/>
  <c r="Z329" i="15" s="1"/>
  <c r="AC326" i="15"/>
  <c r="AE326" i="15" s="1"/>
  <c r="X320" i="15"/>
  <c r="Z320" i="15" s="1"/>
  <c r="AC317" i="15"/>
  <c r="AE317" i="15" s="1"/>
  <c r="AD310" i="15"/>
  <c r="AF310" i="15" s="1"/>
  <c r="Y307" i="15"/>
  <c r="AA307" i="15" s="1"/>
  <c r="AC306" i="15"/>
  <c r="AE306" i="15" s="1"/>
  <c r="AD301" i="15"/>
  <c r="AF301" i="15" s="1"/>
  <c r="AD478" i="15"/>
  <c r="AF478" i="15" s="1"/>
  <c r="Y433" i="15"/>
  <c r="AA433" i="15" s="1"/>
  <c r="Y419" i="15"/>
  <c r="AA419" i="15" s="1"/>
  <c r="AC409" i="15"/>
  <c r="AE409" i="15" s="1"/>
  <c r="AC393" i="15"/>
  <c r="AE393" i="15" s="1"/>
  <c r="AD386" i="15"/>
  <c r="AF386" i="15" s="1"/>
  <c r="AD381" i="15"/>
  <c r="AF381" i="15" s="1"/>
  <c r="Y380" i="15"/>
  <c r="AA380" i="15" s="1"/>
  <c r="AD377" i="15"/>
  <c r="AF377" i="15" s="1"/>
  <c r="AD372" i="15"/>
  <c r="AF372" i="15" s="1"/>
  <c r="Y371" i="15"/>
  <c r="AA371" i="15" s="1"/>
  <c r="AD368" i="15"/>
  <c r="AF368" i="15" s="1"/>
  <c r="AD363" i="15"/>
  <c r="AF363" i="15" s="1"/>
  <c r="Y362" i="15"/>
  <c r="AA362" i="15" s="1"/>
  <c r="AD359" i="15"/>
  <c r="AF359" i="15" s="1"/>
  <c r="AD354" i="15"/>
  <c r="AF354" i="15" s="1"/>
  <c r="Y353" i="15"/>
  <c r="AA353" i="15" s="1"/>
  <c r="AD350" i="15"/>
  <c r="AF350" i="15" s="1"/>
  <c r="AC349" i="15"/>
  <c r="AE349" i="15" s="1"/>
  <c r="X348" i="15"/>
  <c r="Z348" i="15" s="1"/>
  <c r="X347" i="15"/>
  <c r="Z347" i="15" s="1"/>
  <c r="X333" i="15"/>
  <c r="Z333" i="15" s="1"/>
  <c r="AC331" i="15"/>
  <c r="AE331" i="15" s="1"/>
  <c r="X324" i="15"/>
  <c r="Z324" i="15" s="1"/>
  <c r="AC322" i="15"/>
  <c r="AE322" i="15" s="1"/>
  <c r="X315" i="15"/>
  <c r="Z315" i="15" s="1"/>
  <c r="AC313" i="15"/>
  <c r="AE313" i="15" s="1"/>
  <c r="Y309" i="15"/>
  <c r="AA309" i="15" s="1"/>
  <c r="AC308" i="15"/>
  <c r="AE308" i="15" s="1"/>
  <c r="X305" i="15"/>
  <c r="Z305" i="15" s="1"/>
  <c r="Y300" i="15"/>
  <c r="AA300" i="15" s="1"/>
  <c r="AD299" i="15"/>
  <c r="AF299" i="15" s="1"/>
  <c r="Y297" i="15"/>
  <c r="AA297" i="15" s="1"/>
  <c r="AD296" i="15"/>
  <c r="AF296" i="15" s="1"/>
  <c r="Y294" i="15"/>
  <c r="AA294" i="15" s="1"/>
  <c r="AD293" i="15"/>
  <c r="AF293" i="15" s="1"/>
  <c r="Y291" i="15"/>
  <c r="AA291" i="15" s="1"/>
  <c r="AD290" i="15"/>
  <c r="AF290" i="15" s="1"/>
  <c r="Y288" i="15"/>
  <c r="AA288" i="15" s="1"/>
  <c r="AD287" i="15"/>
  <c r="AF287" i="15" s="1"/>
  <c r="Y285" i="15"/>
  <c r="AA285" i="15" s="1"/>
  <c r="AD284" i="15"/>
  <c r="AF284" i="15" s="1"/>
  <c r="Y282" i="15"/>
  <c r="AA282" i="15" s="1"/>
  <c r="AD281" i="15"/>
  <c r="AF281" i="15" s="1"/>
  <c r="Y279" i="15"/>
  <c r="AA279" i="15" s="1"/>
  <c r="AD278" i="15"/>
  <c r="AF278" i="15" s="1"/>
  <c r="Y276" i="15"/>
  <c r="AA276" i="15" s="1"/>
  <c r="AD275" i="15"/>
  <c r="AF275" i="15" s="1"/>
  <c r="Y273" i="15"/>
  <c r="AA273" i="15" s="1"/>
  <c r="AD272" i="15"/>
  <c r="AF272" i="15" s="1"/>
  <c r="Y270" i="15"/>
  <c r="AA270" i="15" s="1"/>
  <c r="AD269" i="15"/>
  <c r="AF269" i="15" s="1"/>
  <c r="Y267" i="15"/>
  <c r="AA267" i="15" s="1"/>
  <c r="AD266" i="15"/>
  <c r="AF266" i="15" s="1"/>
  <c r="Y264" i="15"/>
  <c r="AA264" i="15" s="1"/>
  <c r="AD263" i="15"/>
  <c r="AF263" i="15" s="1"/>
  <c r="Y261" i="15"/>
  <c r="AA261" i="15" s="1"/>
  <c r="AD260" i="15"/>
  <c r="AF260" i="15" s="1"/>
  <c r="Y258" i="15"/>
  <c r="AA258" i="15" s="1"/>
  <c r="AD257" i="15"/>
  <c r="AF257" i="15" s="1"/>
  <c r="Y255" i="15"/>
  <c r="AA255" i="15" s="1"/>
  <c r="AD254" i="15"/>
  <c r="AF254" i="15" s="1"/>
  <c r="X504" i="15"/>
  <c r="Z504" i="15" s="1"/>
  <c r="AD427" i="15"/>
  <c r="AF427" i="15" s="1"/>
  <c r="AC412" i="15"/>
  <c r="AE412" i="15" s="1"/>
  <c r="AD403" i="15"/>
  <c r="AF403" i="15" s="1"/>
  <c r="Y399" i="15"/>
  <c r="AA399" i="15" s="1"/>
  <c r="X393" i="15"/>
  <c r="Z393" i="15" s="1"/>
  <c r="X381" i="15"/>
  <c r="Z381" i="15" s="1"/>
  <c r="X372" i="15"/>
  <c r="Z372" i="15" s="1"/>
  <c r="X363" i="15"/>
  <c r="Z363" i="15" s="1"/>
  <c r="X354" i="15"/>
  <c r="Z354" i="15" s="1"/>
  <c r="Y349" i="15"/>
  <c r="AA349" i="15" s="1"/>
  <c r="X332" i="15"/>
  <c r="Z332" i="15" s="1"/>
  <c r="AC329" i="15"/>
  <c r="AE329" i="15" s="1"/>
  <c r="X323" i="15"/>
  <c r="Z323" i="15" s="1"/>
  <c r="AC320" i="15"/>
  <c r="AE320" i="15" s="1"/>
  <c r="Y478" i="15"/>
  <c r="AA478" i="15" s="1"/>
  <c r="X424" i="15"/>
  <c r="Z424" i="15" s="1"/>
  <c r="Y406" i="15"/>
  <c r="AA406" i="15" s="1"/>
  <c r="AD389" i="15"/>
  <c r="AF389" i="15" s="1"/>
  <c r="Y385" i="15"/>
  <c r="AA385" i="15" s="1"/>
  <c r="AD380" i="15"/>
  <c r="AF380" i="15" s="1"/>
  <c r="AD376" i="15"/>
  <c r="AF376" i="15" s="1"/>
  <c r="Y365" i="15"/>
  <c r="AA365" i="15" s="1"/>
  <c r="Y354" i="15"/>
  <c r="AA354" i="15" s="1"/>
  <c r="X344" i="15"/>
  <c r="Z344" i="15" s="1"/>
  <c r="Y342" i="15"/>
  <c r="AA342" i="15" s="1"/>
  <c r="Y334" i="15"/>
  <c r="AA334" i="15" s="1"/>
  <c r="AD332" i="15"/>
  <c r="AF332" i="15" s="1"/>
  <c r="AD329" i="15"/>
  <c r="AF329" i="15" s="1"/>
  <c r="X317" i="15"/>
  <c r="Z317" i="15" s="1"/>
  <c r="AC310" i="15"/>
  <c r="AE310" i="15" s="1"/>
  <c r="AD305" i="15"/>
  <c r="AF305" i="15" s="1"/>
  <c r="AC304" i="15"/>
  <c r="AE304" i="15" s="1"/>
  <c r="Y277" i="15"/>
  <c r="AA277" i="15" s="1"/>
  <c r="AC273" i="15"/>
  <c r="AE273" i="15" s="1"/>
  <c r="Y266" i="15"/>
  <c r="AA266" i="15" s="1"/>
  <c r="AC264" i="15"/>
  <c r="AE264" i="15" s="1"/>
  <c r="Y257" i="15"/>
  <c r="AA257" i="15" s="1"/>
  <c r="AC255" i="15"/>
  <c r="AE255" i="15" s="1"/>
  <c r="X251" i="15"/>
  <c r="Z251" i="15" s="1"/>
  <c r="AD249" i="15"/>
  <c r="AF249" i="15" s="1"/>
  <c r="Y246" i="15"/>
  <c r="AA246" i="15" s="1"/>
  <c r="AC245" i="15"/>
  <c r="AE245" i="15" s="1"/>
  <c r="AC389" i="15"/>
  <c r="AE389" i="15" s="1"/>
  <c r="AC380" i="15"/>
  <c r="AE380" i="15" s="1"/>
  <c r="Y376" i="15"/>
  <c r="AA376" i="15" s="1"/>
  <c r="AD371" i="15"/>
  <c r="AF371" i="15" s="1"/>
  <c r="AD367" i="15"/>
  <c r="AF367" i="15" s="1"/>
  <c r="Y356" i="15"/>
  <c r="AA356" i="15" s="1"/>
  <c r="AD347" i="15"/>
  <c r="AF347" i="15" s="1"/>
  <c r="X342" i="15"/>
  <c r="Z342" i="15" s="1"/>
  <c r="Y337" i="15"/>
  <c r="AA337" i="15" s="1"/>
  <c r="AC332" i="15"/>
  <c r="AE332" i="15" s="1"/>
  <c r="Y326" i="15"/>
  <c r="AA326" i="15" s="1"/>
  <c r="Y323" i="15"/>
  <c r="AA323" i="15" s="1"/>
  <c r="AC518" i="15"/>
  <c r="AE518" i="15" s="1"/>
  <c r="X439" i="15"/>
  <c r="Z439" i="15" s="1"/>
  <c r="AD410" i="15"/>
  <c r="AF410" i="15" s="1"/>
  <c r="AD401" i="15"/>
  <c r="AF401" i="15" s="1"/>
  <c r="AC371" i="15"/>
  <c r="AE371" i="15" s="1"/>
  <c r="Y367" i="15"/>
  <c r="AA367" i="15" s="1"/>
  <c r="AD362" i="15"/>
  <c r="AF362" i="15" s="1"/>
  <c r="AD358" i="15"/>
  <c r="AF358" i="15" s="1"/>
  <c r="AC347" i="15"/>
  <c r="AE347" i="15" s="1"/>
  <c r="X326" i="15"/>
  <c r="Z326" i="15" s="1"/>
  <c r="Y318" i="15"/>
  <c r="AA318" i="15" s="1"/>
  <c r="AD315" i="15"/>
  <c r="AF315" i="15" s="1"/>
  <c r="X314" i="15"/>
  <c r="Z314" i="15" s="1"/>
  <c r="Y304" i="15"/>
  <c r="AA304" i="15" s="1"/>
  <c r="AD300" i="15"/>
  <c r="AF300" i="15" s="1"/>
  <c r="X298" i="15"/>
  <c r="Z298" i="15" s="1"/>
  <c r="AC291" i="15"/>
  <c r="AE291" i="15" s="1"/>
  <c r="X289" i="15"/>
  <c r="Z289" i="15" s="1"/>
  <c r="AC282" i="15"/>
  <c r="AE282" i="15" s="1"/>
  <c r="X280" i="15"/>
  <c r="Z280" i="15" s="1"/>
  <c r="AC410" i="15"/>
  <c r="AE410" i="15" s="1"/>
  <c r="AD384" i="15"/>
  <c r="AF384" i="15" s="1"/>
  <c r="AD382" i="15"/>
  <c r="AF382" i="15" s="1"/>
  <c r="AC362" i="15"/>
  <c r="AE362" i="15" s="1"/>
  <c r="Y358" i="15"/>
  <c r="AA358" i="15" s="1"/>
  <c r="AD353" i="15"/>
  <c r="AF353" i="15" s="1"/>
  <c r="AD349" i="15"/>
  <c r="AF349" i="15" s="1"/>
  <c r="Y345" i="15"/>
  <c r="AA345" i="15" s="1"/>
  <c r="Y335" i="15"/>
  <c r="AA335" i="15" s="1"/>
  <c r="Y437" i="15"/>
  <c r="AA437" i="15" s="1"/>
  <c r="Y414" i="15"/>
  <c r="AA414" i="15" s="1"/>
  <c r="AD404" i="15"/>
  <c r="AF404" i="15" s="1"/>
  <c r="AD393" i="15"/>
  <c r="AF393" i="15" s="1"/>
  <c r="AD388" i="15"/>
  <c r="AF388" i="15" s="1"/>
  <c r="AC386" i="15"/>
  <c r="AE386" i="15" s="1"/>
  <c r="X384" i="15"/>
  <c r="Z384" i="15" s="1"/>
  <c r="Y375" i="15"/>
  <c r="AA375" i="15" s="1"/>
  <c r="AD366" i="15"/>
  <c r="AF366" i="15" s="1"/>
  <c r="AD364" i="15"/>
  <c r="AF364" i="15" s="1"/>
  <c r="Y347" i="15"/>
  <c r="AA347" i="15" s="1"/>
  <c r="Y338" i="15"/>
  <c r="AA338" i="15" s="1"/>
  <c r="AD333" i="15"/>
  <c r="AF333" i="15" s="1"/>
  <c r="AD330" i="15"/>
  <c r="AF330" i="15" s="1"/>
  <c r="X327" i="15"/>
  <c r="Z327" i="15" s="1"/>
  <c r="Y324" i="15"/>
  <c r="AA324" i="15" s="1"/>
  <c r="AC316" i="15"/>
  <c r="AE316" i="15" s="1"/>
  <c r="AD312" i="15"/>
  <c r="AF312" i="15" s="1"/>
  <c r="X311" i="15"/>
  <c r="Z311" i="15" s="1"/>
  <c r="Y306" i="15"/>
  <c r="AA306" i="15" s="1"/>
  <c r="X300" i="15"/>
  <c r="Z300" i="15" s="1"/>
  <c r="AD294" i="15"/>
  <c r="AF294" i="15" s="1"/>
  <c r="AC293" i="15"/>
  <c r="AE293" i="15" s="1"/>
  <c r="Y292" i="15"/>
  <c r="AA292" i="15" s="1"/>
  <c r="X291" i="15"/>
  <c r="Z291" i="15" s="1"/>
  <c r="AD285" i="15"/>
  <c r="AF285" i="15" s="1"/>
  <c r="AC284" i="15"/>
  <c r="AE284" i="15" s="1"/>
  <c r="Y283" i="15"/>
  <c r="AA283" i="15" s="1"/>
  <c r="X282" i="15"/>
  <c r="Z282" i="15" s="1"/>
  <c r="X435" i="15"/>
  <c r="Z435" i="15" s="1"/>
  <c r="Y404" i="15"/>
  <c r="AA404" i="15" s="1"/>
  <c r="AD379" i="15"/>
  <c r="AF379" i="15" s="1"/>
  <c r="AC377" i="15"/>
  <c r="AE377" i="15" s="1"/>
  <c r="X375" i="15"/>
  <c r="Z375" i="15" s="1"/>
  <c r="Y366" i="15"/>
  <c r="AA366" i="15" s="1"/>
  <c r="AD357" i="15"/>
  <c r="AF357" i="15" s="1"/>
  <c r="AD355" i="15"/>
  <c r="AF355" i="15" s="1"/>
  <c r="Y487" i="15"/>
  <c r="AA487" i="15" s="1"/>
  <c r="X419" i="15"/>
  <c r="Z419" i="15" s="1"/>
  <c r="AC403" i="15"/>
  <c r="AE403" i="15" s="1"/>
  <c r="Y379" i="15"/>
  <c r="AA379" i="15" s="1"/>
  <c r="Y352" i="15"/>
  <c r="AA352" i="15" s="1"/>
  <c r="AD348" i="15"/>
  <c r="AF348" i="15" s="1"/>
  <c r="X339" i="15"/>
  <c r="Z339" i="15" s="1"/>
  <c r="AD319" i="15"/>
  <c r="AF319" i="15" s="1"/>
  <c r="Y315" i="15"/>
  <c r="AA315" i="15" s="1"/>
  <c r="AD313" i="15"/>
  <c r="AF313" i="15" s="1"/>
  <c r="X310" i="15"/>
  <c r="Z310" i="15" s="1"/>
  <c r="AD308" i="15"/>
  <c r="AF308" i="15" s="1"/>
  <c r="Y305" i="15"/>
  <c r="AA305" i="15" s="1"/>
  <c r="AD274" i="15"/>
  <c r="AF274" i="15" s="1"/>
  <c r="AD273" i="15"/>
  <c r="AF273" i="15" s="1"/>
  <c r="AC272" i="15"/>
  <c r="AE272" i="15" s="1"/>
  <c r="AD271" i="15"/>
  <c r="AF271" i="15" s="1"/>
  <c r="AD270" i="15"/>
  <c r="AF270" i="15" s="1"/>
  <c r="X250" i="15"/>
  <c r="Z250" i="15" s="1"/>
  <c r="AC248" i="15"/>
  <c r="AE248" i="15" s="1"/>
  <c r="X243" i="15"/>
  <c r="Z243" i="15" s="1"/>
  <c r="AD241" i="15"/>
  <c r="AF241" i="15" s="1"/>
  <c r="Y238" i="15"/>
  <c r="AA238" i="15" s="1"/>
  <c r="AC237" i="15"/>
  <c r="AE237" i="15" s="1"/>
  <c r="X234" i="15"/>
  <c r="Z234" i="15" s="1"/>
  <c r="AD232" i="15"/>
  <c r="AF232" i="15" s="1"/>
  <c r="Y230" i="15"/>
  <c r="AA230" i="15" s="1"/>
  <c r="AD229" i="15"/>
  <c r="AF229" i="15" s="1"/>
  <c r="Y227" i="15"/>
  <c r="AA227" i="15" s="1"/>
  <c r="AD226" i="15"/>
  <c r="AF226" i="15" s="1"/>
  <c r="Y224" i="15"/>
  <c r="AA224" i="15" s="1"/>
  <c r="AD223" i="15"/>
  <c r="AF223" i="15" s="1"/>
  <c r="Y221" i="15"/>
  <c r="AA221" i="15" s="1"/>
  <c r="AD220" i="15"/>
  <c r="AF220" i="15" s="1"/>
  <c r="Y218" i="15"/>
  <c r="AA218" i="15" s="1"/>
  <c r="AD217" i="15"/>
  <c r="AF217" i="15" s="1"/>
  <c r="Y215" i="15"/>
  <c r="AA215" i="15" s="1"/>
  <c r="AD214" i="15"/>
  <c r="AF214" i="15" s="1"/>
  <c r="Y212" i="15"/>
  <c r="AA212" i="15" s="1"/>
  <c r="AD211" i="15"/>
  <c r="AF211" i="15" s="1"/>
  <c r="X493" i="15"/>
  <c r="Z493" i="15" s="1"/>
  <c r="AD407" i="15"/>
  <c r="AF407" i="15" s="1"/>
  <c r="X398" i="15"/>
  <c r="Z398" i="15" s="1"/>
  <c r="Y348" i="15"/>
  <c r="AA348" i="15" s="1"/>
  <c r="Y333" i="15"/>
  <c r="AA333" i="15" s="1"/>
  <c r="Y331" i="15"/>
  <c r="AA331" i="15" s="1"/>
  <c r="Y319" i="15"/>
  <c r="AA319" i="15" s="1"/>
  <c r="Y317" i="15"/>
  <c r="AA317" i="15" s="1"/>
  <c r="Y420" i="15"/>
  <c r="AA420" i="15" s="1"/>
  <c r="Y407" i="15"/>
  <c r="AA407" i="15" s="1"/>
  <c r="Y390" i="15"/>
  <c r="AA390" i="15" s="1"/>
  <c r="AD385" i="15"/>
  <c r="AF385" i="15" s="1"/>
  <c r="AC359" i="15"/>
  <c r="AE359" i="15" s="1"/>
  <c r="AD328" i="15"/>
  <c r="AF328" i="15" s="1"/>
  <c r="AD321" i="15"/>
  <c r="AF321" i="15" s="1"/>
  <c r="AD311" i="15"/>
  <c r="AF311" i="15" s="1"/>
  <c r="AC303" i="15"/>
  <c r="AE303" i="15" s="1"/>
  <c r="AC484" i="15"/>
  <c r="AE484" i="15" s="1"/>
  <c r="X484" i="15"/>
  <c r="Z484" i="15" s="1"/>
  <c r="AD417" i="15"/>
  <c r="AF417" i="15" s="1"/>
  <c r="AD395" i="15"/>
  <c r="AF395" i="15" s="1"/>
  <c r="AD373" i="15"/>
  <c r="AF373" i="15" s="1"/>
  <c r="Y344" i="15"/>
  <c r="AA344" i="15" s="1"/>
  <c r="X341" i="15"/>
  <c r="Z341" i="15" s="1"/>
  <c r="X335" i="15"/>
  <c r="Z335" i="15" s="1"/>
  <c r="Y330" i="15"/>
  <c r="AA330" i="15" s="1"/>
  <c r="AD325" i="15"/>
  <c r="AF325" i="15" s="1"/>
  <c r="AD323" i="15"/>
  <c r="AF323" i="15" s="1"/>
  <c r="X306" i="15"/>
  <c r="Z306" i="15" s="1"/>
  <c r="Y298" i="15"/>
  <c r="AA298" i="15" s="1"/>
  <c r="Y295" i="15"/>
  <c r="AA295" i="15" s="1"/>
  <c r="X292" i="15"/>
  <c r="Z292" i="15" s="1"/>
  <c r="Y289" i="15"/>
  <c r="AA289" i="15" s="1"/>
  <c r="Y286" i="15"/>
  <c r="AA286" i="15" s="1"/>
  <c r="X283" i="15"/>
  <c r="Z283" i="15" s="1"/>
  <c r="Y280" i="15"/>
  <c r="AA280" i="15" s="1"/>
  <c r="X272" i="15"/>
  <c r="Z272" i="15" s="1"/>
  <c r="X271" i="15"/>
  <c r="Z271" i="15" s="1"/>
  <c r="X270" i="15"/>
  <c r="Z270" i="15" s="1"/>
  <c r="Y269" i="15"/>
  <c r="AA269" i="15" s="1"/>
  <c r="Y268" i="15"/>
  <c r="AA268" i="15" s="1"/>
  <c r="Y265" i="15"/>
  <c r="AA265" i="15" s="1"/>
  <c r="AC259" i="15"/>
  <c r="AE259" i="15" s="1"/>
  <c r="AC258" i="15"/>
  <c r="AE258" i="15" s="1"/>
  <c r="AC257" i="15"/>
  <c r="AE257" i="15" s="1"/>
  <c r="AD256" i="15"/>
  <c r="AF256" i="15" s="1"/>
  <c r="AD255" i="15"/>
  <c r="AF255" i="15" s="1"/>
  <c r="AC254" i="15"/>
  <c r="AE254" i="15" s="1"/>
  <c r="AD253" i="15"/>
  <c r="AF253" i="15" s="1"/>
  <c r="X248" i="15"/>
  <c r="Z248" i="15" s="1"/>
  <c r="Y247" i="15"/>
  <c r="AA247" i="15" s="1"/>
  <c r="AD245" i="15"/>
  <c r="AF245" i="15" s="1"/>
  <c r="X466" i="15"/>
  <c r="Z466" i="15" s="1"/>
  <c r="AC415" i="15"/>
  <c r="AE415" i="15" s="1"/>
  <c r="Y388" i="15"/>
  <c r="AA388" i="15" s="1"/>
  <c r="Y383" i="15"/>
  <c r="AA383" i="15" s="1"/>
  <c r="AC353" i="15"/>
  <c r="AE353" i="15" s="1"/>
  <c r="AD346" i="15"/>
  <c r="AF346" i="15" s="1"/>
  <c r="Y332" i="15"/>
  <c r="AA332" i="15" s="1"/>
  <c r="X318" i="15"/>
  <c r="Z318" i="15" s="1"/>
  <c r="Y316" i="15"/>
  <c r="AA316" i="15" s="1"/>
  <c r="AC314" i="15"/>
  <c r="AE314" i="15" s="1"/>
  <c r="AC309" i="15"/>
  <c r="AE309" i="15" s="1"/>
  <c r="AD304" i="15"/>
  <c r="AF304" i="15" s="1"/>
  <c r="X301" i="15"/>
  <c r="Z301" i="15" s="1"/>
  <c r="X263" i="15"/>
  <c r="Z263" i="15" s="1"/>
  <c r="X262" i="15"/>
  <c r="Z262" i="15" s="1"/>
  <c r="X261" i="15"/>
  <c r="Z261" i="15" s="1"/>
  <c r="Y260" i="15"/>
  <c r="AA260" i="15" s="1"/>
  <c r="Y259" i="15"/>
  <c r="AA259" i="15" s="1"/>
  <c r="Y256" i="15"/>
  <c r="AA256" i="15" s="1"/>
  <c r="AC252" i="15"/>
  <c r="AE252" i="15" s="1"/>
  <c r="X246" i="15"/>
  <c r="Z246" i="15" s="1"/>
  <c r="AC244" i="15"/>
  <c r="AE244" i="15" s="1"/>
  <c r="AD239" i="15"/>
  <c r="AF239" i="15" s="1"/>
  <c r="X236" i="15"/>
  <c r="Z236" i="15" s="1"/>
  <c r="X447" i="15"/>
  <c r="Z447" i="15" s="1"/>
  <c r="Y381" i="15"/>
  <c r="AA381" i="15" s="1"/>
  <c r="AD370" i="15"/>
  <c r="AF370" i="15" s="1"/>
  <c r="Y361" i="15"/>
  <c r="AA361" i="15" s="1"/>
  <c r="AD352" i="15"/>
  <c r="AF352" i="15" s="1"/>
  <c r="X345" i="15"/>
  <c r="Z345" i="15" s="1"/>
  <c r="Y336" i="15"/>
  <c r="AA336" i="15" s="1"/>
  <c r="AD324" i="15"/>
  <c r="AF324" i="15" s="1"/>
  <c r="AC305" i="15"/>
  <c r="AE305" i="15" s="1"/>
  <c r="X302" i="15"/>
  <c r="Z302" i="15" s="1"/>
  <c r="AD297" i="15"/>
  <c r="AF297" i="15" s="1"/>
  <c r="AC294" i="15"/>
  <c r="AE294" i="15" s="1"/>
  <c r="AD291" i="15"/>
  <c r="AF291" i="15" s="1"/>
  <c r="AD288" i="15"/>
  <c r="AF288" i="15" s="1"/>
  <c r="AC285" i="15"/>
  <c r="AE285" i="15" s="1"/>
  <c r="AD282" i="15"/>
  <c r="AF282" i="15" s="1"/>
  <c r="AD279" i="15"/>
  <c r="AF279" i="15" s="1"/>
  <c r="X278" i="15"/>
  <c r="Z278" i="15" s="1"/>
  <c r="AD424" i="15"/>
  <c r="AF424" i="15" s="1"/>
  <c r="X410" i="15"/>
  <c r="Z410" i="15" s="1"/>
  <c r="AD375" i="15"/>
  <c r="AF375" i="15" s="1"/>
  <c r="Y370" i="15"/>
  <c r="AA370" i="15" s="1"/>
  <c r="Y339" i="15"/>
  <c r="AA339" i="15" s="1"/>
  <c r="X336" i="15"/>
  <c r="Z336" i="15" s="1"/>
  <c r="AD331" i="15"/>
  <c r="AF331" i="15" s="1"/>
  <c r="Y322" i="15"/>
  <c r="AA322" i="15" s="1"/>
  <c r="Y310" i="15"/>
  <c r="AA310" i="15" s="1"/>
  <c r="AC300" i="15"/>
  <c r="AE300" i="15" s="1"/>
  <c r="AC297" i="15"/>
  <c r="AE297" i="15" s="1"/>
  <c r="AC288" i="15"/>
  <c r="AE288" i="15" s="1"/>
  <c r="AC279" i="15"/>
  <c r="AE279" i="15" s="1"/>
  <c r="Y341" i="15"/>
  <c r="AA341" i="15" s="1"/>
  <c r="AD334" i="15"/>
  <c r="AF334" i="15" s="1"/>
  <c r="AC323" i="15"/>
  <c r="AE323" i="15" s="1"/>
  <c r="Y313" i="15"/>
  <c r="AA313" i="15" s="1"/>
  <c r="X309" i="15"/>
  <c r="Z309" i="15" s="1"/>
  <c r="AC299" i="15"/>
  <c r="AE299" i="15" s="1"/>
  <c r="AC296" i="15"/>
  <c r="AE296" i="15" s="1"/>
  <c r="X288" i="15"/>
  <c r="Z288" i="15" s="1"/>
  <c r="AC276" i="15"/>
  <c r="AE276" i="15" s="1"/>
  <c r="X273" i="15"/>
  <c r="Z273" i="15" s="1"/>
  <c r="AC261" i="15"/>
  <c r="AE261" i="15" s="1"/>
  <c r="AD258" i="15"/>
  <c r="AF258" i="15" s="1"/>
  <c r="X254" i="15"/>
  <c r="Z254" i="15" s="1"/>
  <c r="Y248" i="15"/>
  <c r="AA248" i="15" s="1"/>
  <c r="X229" i="15"/>
  <c r="Z229" i="15" s="1"/>
  <c r="Y228" i="15"/>
  <c r="AA228" i="15" s="1"/>
  <c r="AC226" i="15"/>
  <c r="AE226" i="15" s="1"/>
  <c r="X220" i="15"/>
  <c r="Z220" i="15" s="1"/>
  <c r="Y219" i="15"/>
  <c r="AA219" i="15" s="1"/>
  <c r="AC217" i="15"/>
  <c r="AE217" i="15" s="1"/>
  <c r="X211" i="15"/>
  <c r="Z211" i="15" s="1"/>
  <c r="Y210" i="15"/>
  <c r="AA210" i="15" s="1"/>
  <c r="AC368" i="15"/>
  <c r="AE368" i="15" s="1"/>
  <c r="Y357" i="15"/>
  <c r="AA357" i="15" s="1"/>
  <c r="AC334" i="15"/>
  <c r="AE334" i="15" s="1"/>
  <c r="Y328" i="15"/>
  <c r="AA328" i="15" s="1"/>
  <c r="AD302" i="15"/>
  <c r="AF302" i="15" s="1"/>
  <c r="X276" i="15"/>
  <c r="Z276" i="15" s="1"/>
  <c r="X267" i="15"/>
  <c r="Z267" i="15" s="1"/>
  <c r="X264" i="15"/>
  <c r="Z264" i="15" s="1"/>
  <c r="AD250" i="15"/>
  <c r="AF250" i="15" s="1"/>
  <c r="Y249" i="15"/>
  <c r="AA249" i="15" s="1"/>
  <c r="AD243" i="15"/>
  <c r="AF243" i="15" s="1"/>
  <c r="X228" i="15"/>
  <c r="Z228" i="15" s="1"/>
  <c r="AD225" i="15"/>
  <c r="AF225" i="15" s="1"/>
  <c r="X219" i="15"/>
  <c r="Z219" i="15" s="1"/>
  <c r="AD216" i="15"/>
  <c r="AF216" i="15" s="1"/>
  <c r="X210" i="15"/>
  <c r="Z210" i="15" s="1"/>
  <c r="AD208" i="15"/>
  <c r="AF208" i="15" s="1"/>
  <c r="Y205" i="15"/>
  <c r="AA205" i="15" s="1"/>
  <c r="AD204" i="15"/>
  <c r="AF204" i="15" s="1"/>
  <c r="Y202" i="15"/>
  <c r="AA202" i="15" s="1"/>
  <c r="AD201" i="15"/>
  <c r="AF201" i="15" s="1"/>
  <c r="Y199" i="15"/>
  <c r="AA199" i="15" s="1"/>
  <c r="AD198" i="15"/>
  <c r="AF198" i="15" s="1"/>
  <c r="Y196" i="15"/>
  <c r="AA196" i="15" s="1"/>
  <c r="AD195" i="15"/>
  <c r="AF195" i="15" s="1"/>
  <c r="Y193" i="15"/>
  <c r="AA193" i="15" s="1"/>
  <c r="AD192" i="15"/>
  <c r="AF192" i="15" s="1"/>
  <c r="Y190" i="15"/>
  <c r="AA190" i="15" s="1"/>
  <c r="AD189" i="15"/>
  <c r="AF189" i="15" s="1"/>
  <c r="Y187" i="15"/>
  <c r="AA187" i="15" s="1"/>
  <c r="AD186" i="15"/>
  <c r="AF186" i="15" s="1"/>
  <c r="Y184" i="15"/>
  <c r="AA184" i="15" s="1"/>
  <c r="AD183" i="15"/>
  <c r="AF183" i="15" s="1"/>
  <c r="Y181" i="15"/>
  <c r="AA181" i="15" s="1"/>
  <c r="AD180" i="15"/>
  <c r="AF180" i="15" s="1"/>
  <c r="Y178" i="15"/>
  <c r="AA178" i="15" s="1"/>
  <c r="AD177" i="15"/>
  <c r="AF177" i="15" s="1"/>
  <c r="Y175" i="15"/>
  <c r="AA175" i="15" s="1"/>
  <c r="AD174" i="15"/>
  <c r="AF174" i="15" s="1"/>
  <c r="Y172" i="15"/>
  <c r="AA172" i="15" s="1"/>
  <c r="AD171" i="15"/>
  <c r="AF171" i="15" s="1"/>
  <c r="Y169" i="15"/>
  <c r="AA169" i="15" s="1"/>
  <c r="AD168" i="15"/>
  <c r="AF168" i="15" s="1"/>
  <c r="Y166" i="15"/>
  <c r="AA166" i="15" s="1"/>
  <c r="AD165" i="15"/>
  <c r="AF165" i="15" s="1"/>
  <c r="Y163" i="15"/>
  <c r="AA163" i="15" s="1"/>
  <c r="AD162" i="15"/>
  <c r="AF162" i="15" s="1"/>
  <c r="Y160" i="15"/>
  <c r="AA160" i="15" s="1"/>
  <c r="AD159" i="15"/>
  <c r="AF159" i="15" s="1"/>
  <c r="Y157" i="15"/>
  <c r="AA157" i="15" s="1"/>
  <c r="AD156" i="15"/>
  <c r="AF156" i="15" s="1"/>
  <c r="Y154" i="15"/>
  <c r="AA154" i="15" s="1"/>
  <c r="AD153" i="15"/>
  <c r="AF153" i="15" s="1"/>
  <c r="Y151" i="15"/>
  <c r="AA151" i="15" s="1"/>
  <c r="AD150" i="15"/>
  <c r="AF150" i="15" s="1"/>
  <c r="Y148" i="15"/>
  <c r="AA148" i="15" s="1"/>
  <c r="AD147" i="15"/>
  <c r="AF147" i="15" s="1"/>
  <c r="X357" i="15"/>
  <c r="Z357" i="15" s="1"/>
  <c r="Y340" i="15"/>
  <c r="AA340" i="15" s="1"/>
  <c r="AD316" i="15"/>
  <c r="AF316" i="15" s="1"/>
  <c r="AC312" i="15"/>
  <c r="AE312" i="15" s="1"/>
  <c r="Y302" i="15"/>
  <c r="AA302" i="15" s="1"/>
  <c r="AC290" i="15"/>
  <c r="AE290" i="15" s="1"/>
  <c r="X285" i="15"/>
  <c r="Z285" i="15" s="1"/>
  <c r="AC274" i="15"/>
  <c r="AE274" i="15" s="1"/>
  <c r="AC271" i="15"/>
  <c r="AE271" i="15" s="1"/>
  <c r="AD268" i="15"/>
  <c r="AF268" i="15" s="1"/>
  <c r="X258" i="15"/>
  <c r="Z258" i="15" s="1"/>
  <c r="X255" i="15"/>
  <c r="Z255" i="15" s="1"/>
  <c r="AD251" i="15"/>
  <c r="AF251" i="15" s="1"/>
  <c r="AC250" i="15"/>
  <c r="AE250" i="15" s="1"/>
  <c r="X249" i="15"/>
  <c r="Z249" i="15" s="1"/>
  <c r="AD244" i="15"/>
  <c r="AF244" i="15" s="1"/>
  <c r="AC243" i="15"/>
  <c r="AE243" i="15" s="1"/>
  <c r="AD242" i="15"/>
  <c r="AF242" i="15" s="1"/>
  <c r="AC241" i="15"/>
  <c r="AE241" i="15" s="1"/>
  <c r="AD240" i="15"/>
  <c r="AF240" i="15" s="1"/>
  <c r="AD238" i="15"/>
  <c r="AF238" i="15" s="1"/>
  <c r="X227" i="15"/>
  <c r="Z227" i="15" s="1"/>
  <c r="AC225" i="15"/>
  <c r="AE225" i="15" s="1"/>
  <c r="AD224" i="15"/>
  <c r="AF224" i="15" s="1"/>
  <c r="X218" i="15"/>
  <c r="Z218" i="15" s="1"/>
  <c r="AC216" i="15"/>
  <c r="AE216" i="15" s="1"/>
  <c r="AD215" i="15"/>
  <c r="AF215" i="15" s="1"/>
  <c r="X366" i="15"/>
  <c r="Z366" i="15" s="1"/>
  <c r="AC346" i="15"/>
  <c r="AE346" i="15" s="1"/>
  <c r="Y321" i="15"/>
  <c r="AA321" i="15" s="1"/>
  <c r="Y308" i="15"/>
  <c r="AA308" i="15" s="1"/>
  <c r="AC301" i="15"/>
  <c r="AE301" i="15" s="1"/>
  <c r="AC287" i="15"/>
  <c r="AE287" i="15" s="1"/>
  <c r="X274" i="15"/>
  <c r="Z274" i="15" s="1"/>
  <c r="Y374" i="15"/>
  <c r="AA374" i="15" s="1"/>
  <c r="AD314" i="15"/>
  <c r="AF314" i="15" s="1"/>
  <c r="X307" i="15"/>
  <c r="Z307" i="15" s="1"/>
  <c r="AC281" i="15"/>
  <c r="AE281" i="15" s="1"/>
  <c r="X275" i="15"/>
  <c r="Z275" i="15" s="1"/>
  <c r="Y272" i="15"/>
  <c r="AA272" i="15" s="1"/>
  <c r="AC260" i="15"/>
  <c r="AE260" i="15" s="1"/>
  <c r="Y253" i="15"/>
  <c r="AA253" i="15" s="1"/>
  <c r="X252" i="15"/>
  <c r="Z252" i="15" s="1"/>
  <c r="AC247" i="15"/>
  <c r="AE247" i="15" s="1"/>
  <c r="X232" i="15"/>
  <c r="Z232" i="15" s="1"/>
  <c r="Y231" i="15"/>
  <c r="AA231" i="15" s="1"/>
  <c r="AC229" i="15"/>
  <c r="AE229" i="15" s="1"/>
  <c r="X223" i="15"/>
  <c r="Z223" i="15" s="1"/>
  <c r="Y222" i="15"/>
  <c r="AA222" i="15" s="1"/>
  <c r="AC220" i="15"/>
  <c r="AE220" i="15" s="1"/>
  <c r="X214" i="15"/>
  <c r="Z214" i="15" s="1"/>
  <c r="Y213" i="15"/>
  <c r="AA213" i="15" s="1"/>
  <c r="AC211" i="15"/>
  <c r="AE211" i="15" s="1"/>
  <c r="X207" i="15"/>
  <c r="Z207" i="15" s="1"/>
  <c r="Y402" i="15"/>
  <c r="AA402" i="15" s="1"/>
  <c r="AD361" i="15"/>
  <c r="AF361" i="15" s="1"/>
  <c r="Y343" i="15"/>
  <c r="AA343" i="15" s="1"/>
  <c r="Y325" i="15"/>
  <c r="AA325" i="15" s="1"/>
  <c r="Y314" i="15"/>
  <c r="AA314" i="15" s="1"/>
  <c r="AD303" i="15"/>
  <c r="AF303" i="15" s="1"/>
  <c r="X297" i="15"/>
  <c r="Z297" i="15" s="1"/>
  <c r="X294" i="15"/>
  <c r="Z294" i="15" s="1"/>
  <c r="X269" i="15"/>
  <c r="Z269" i="15" s="1"/>
  <c r="X266" i="15"/>
  <c r="Z266" i="15" s="1"/>
  <c r="Y263" i="15"/>
  <c r="AA263" i="15" s="1"/>
  <c r="X253" i="15"/>
  <c r="Z253" i="15" s="1"/>
  <c r="AD248" i="15"/>
  <c r="AF248" i="15" s="1"/>
  <c r="X231" i="15"/>
  <c r="Z231" i="15" s="1"/>
  <c r="AD228" i="15"/>
  <c r="AF228" i="15" s="1"/>
  <c r="X222" i="15"/>
  <c r="Z222" i="15" s="1"/>
  <c r="AD219" i="15"/>
  <c r="AF219" i="15" s="1"/>
  <c r="X213" i="15"/>
  <c r="Z213" i="15" s="1"/>
  <c r="AD210" i="15"/>
  <c r="AF210" i="15" s="1"/>
  <c r="AD205" i="15"/>
  <c r="AF205" i="15" s="1"/>
  <c r="Y203" i="15"/>
  <c r="AA203" i="15" s="1"/>
  <c r="AD202" i="15"/>
  <c r="AF202" i="15" s="1"/>
  <c r="Y200" i="15"/>
  <c r="AA200" i="15" s="1"/>
  <c r="AD199" i="15"/>
  <c r="AF199" i="15" s="1"/>
  <c r="Y197" i="15"/>
  <c r="AA197" i="15" s="1"/>
  <c r="AD196" i="15"/>
  <c r="AF196" i="15" s="1"/>
  <c r="Y194" i="15"/>
  <c r="AA194" i="15" s="1"/>
  <c r="AD193" i="15"/>
  <c r="AF193" i="15" s="1"/>
  <c r="Y191" i="15"/>
  <c r="AA191" i="15" s="1"/>
  <c r="AD190" i="15"/>
  <c r="AF190" i="15" s="1"/>
  <c r="Y188" i="15"/>
  <c r="AA188" i="15" s="1"/>
  <c r="AD187" i="15"/>
  <c r="AF187" i="15" s="1"/>
  <c r="Y185" i="15"/>
  <c r="AA185" i="15" s="1"/>
  <c r="Y384" i="15"/>
  <c r="AA384" i="15" s="1"/>
  <c r="Y372" i="15"/>
  <c r="AA372" i="15" s="1"/>
  <c r="AC350" i="15"/>
  <c r="AE350" i="15" s="1"/>
  <c r="X286" i="15"/>
  <c r="Z286" i="15" s="1"/>
  <c r="AC270" i="15"/>
  <c r="AE270" i="15" s="1"/>
  <c r="Y274" i="15"/>
  <c r="AA274" i="15" s="1"/>
  <c r="AC263" i="15"/>
  <c r="AE263" i="15" s="1"/>
  <c r="AC249" i="15"/>
  <c r="AE249" i="15" s="1"/>
  <c r="AD247" i="15"/>
  <c r="AF247" i="15" s="1"/>
  <c r="Y245" i="15"/>
  <c r="AA245" i="15" s="1"/>
  <c r="X240" i="15"/>
  <c r="Z240" i="15" s="1"/>
  <c r="X235" i="15"/>
  <c r="Z235" i="15" s="1"/>
  <c r="AC233" i="15"/>
  <c r="AE233" i="15" s="1"/>
  <c r="X230" i="15"/>
  <c r="Z230" i="15" s="1"/>
  <c r="AD222" i="15"/>
  <c r="AF222" i="15" s="1"/>
  <c r="AC219" i="15"/>
  <c r="AE219" i="15" s="1"/>
  <c r="Y216" i="15"/>
  <c r="AA216" i="15" s="1"/>
  <c r="AD206" i="15"/>
  <c r="AF206" i="15" s="1"/>
  <c r="X205" i="15"/>
  <c r="Z205" i="15" s="1"/>
  <c r="X204" i="15"/>
  <c r="Z204" i="15" s="1"/>
  <c r="AC198" i="15"/>
  <c r="AE198" i="15" s="1"/>
  <c r="AC197" i="15"/>
  <c r="AE197" i="15" s="1"/>
  <c r="X196" i="15"/>
  <c r="Z196" i="15" s="1"/>
  <c r="X195" i="15"/>
  <c r="Z195" i="15" s="1"/>
  <c r="AC189" i="15"/>
  <c r="AE189" i="15" s="1"/>
  <c r="AC188" i="15"/>
  <c r="AE188" i="15" s="1"/>
  <c r="X187" i="15"/>
  <c r="Z187" i="15" s="1"/>
  <c r="X186" i="15"/>
  <c r="Z186" i="15" s="1"/>
  <c r="X170" i="15"/>
  <c r="Z170" i="15" s="1"/>
  <c r="AD167" i="15"/>
  <c r="AF167" i="15" s="1"/>
  <c r="X161" i="15"/>
  <c r="Z161" i="15" s="1"/>
  <c r="AD158" i="15"/>
  <c r="AF158" i="15" s="1"/>
  <c r="X152" i="15"/>
  <c r="Z152" i="15" s="1"/>
  <c r="AD149" i="15"/>
  <c r="AF149" i="15" s="1"/>
  <c r="Y144" i="15"/>
  <c r="AA144" i="15" s="1"/>
  <c r="AC143" i="15"/>
  <c r="AE143" i="15" s="1"/>
  <c r="AD138" i="15"/>
  <c r="AF138" i="15" s="1"/>
  <c r="X136" i="15"/>
  <c r="Z136" i="15" s="1"/>
  <c r="AC135" i="15"/>
  <c r="AE135" i="15" s="1"/>
  <c r="X133" i="15"/>
  <c r="Z133" i="15" s="1"/>
  <c r="AC132" i="15"/>
  <c r="AE132" i="15" s="1"/>
  <c r="X130" i="15"/>
  <c r="Z130" i="15" s="1"/>
  <c r="AC129" i="15"/>
  <c r="AE129" i="15" s="1"/>
  <c r="X127" i="15"/>
  <c r="Z127" i="15" s="1"/>
  <c r="AC126" i="15"/>
  <c r="AE126" i="15" s="1"/>
  <c r="X124" i="15"/>
  <c r="Z124" i="15" s="1"/>
  <c r="AC123" i="15"/>
  <c r="AE123" i="15" s="1"/>
  <c r="X121" i="15"/>
  <c r="Z121" i="15" s="1"/>
  <c r="AC120" i="15"/>
  <c r="AE120" i="15" s="1"/>
  <c r="X118" i="15"/>
  <c r="Z118" i="15" s="1"/>
  <c r="AC117" i="15"/>
  <c r="AE117" i="15" s="1"/>
  <c r="X115" i="15"/>
  <c r="Z115" i="15" s="1"/>
  <c r="AC114" i="15"/>
  <c r="AE114" i="15" s="1"/>
  <c r="X112" i="15"/>
  <c r="Z112" i="15" s="1"/>
  <c r="AC111" i="15"/>
  <c r="AE111" i="15" s="1"/>
  <c r="X109" i="15"/>
  <c r="Z109" i="15" s="1"/>
  <c r="AC108" i="15"/>
  <c r="AE108" i="15" s="1"/>
  <c r="X106" i="15"/>
  <c r="Z106" i="15" s="1"/>
  <c r="AC105" i="15"/>
  <c r="AE105" i="15" s="1"/>
  <c r="X103" i="15"/>
  <c r="Z103" i="15" s="1"/>
  <c r="AC102" i="15"/>
  <c r="AE102" i="15" s="1"/>
  <c r="AC413" i="15"/>
  <c r="AE413" i="15" s="1"/>
  <c r="AC278" i="15"/>
  <c r="AE278" i="15" s="1"/>
  <c r="X268" i="15"/>
  <c r="Z268" i="15" s="1"/>
  <c r="AD265" i="15"/>
  <c r="AF265" i="15" s="1"/>
  <c r="AC253" i="15"/>
  <c r="AE253" i="15" s="1"/>
  <c r="X247" i="15"/>
  <c r="Z247" i="15" s="1"/>
  <c r="X245" i="15"/>
  <c r="Z245" i="15" s="1"/>
  <c r="AD236" i="15"/>
  <c r="AF236" i="15" s="1"/>
  <c r="Y233" i="15"/>
  <c r="AA233" i="15" s="1"/>
  <c r="AC222" i="15"/>
  <c r="AE222" i="15" s="1"/>
  <c r="X216" i="15"/>
  <c r="Z216" i="15" s="1"/>
  <c r="AC206" i="15"/>
  <c r="AE206" i="15" s="1"/>
  <c r="X169" i="15"/>
  <c r="Z169" i="15" s="1"/>
  <c r="AC167" i="15"/>
  <c r="AE167" i="15" s="1"/>
  <c r="AD166" i="15"/>
  <c r="AF166" i="15" s="1"/>
  <c r="X160" i="15"/>
  <c r="Z160" i="15" s="1"/>
  <c r="AC158" i="15"/>
  <c r="AE158" i="15" s="1"/>
  <c r="AD157" i="15"/>
  <c r="AF157" i="15" s="1"/>
  <c r="AD322" i="15"/>
  <c r="AF322" i="15" s="1"/>
  <c r="X295" i="15"/>
  <c r="Z295" i="15" s="1"/>
  <c r="X277" i="15"/>
  <c r="Z277" i="15" s="1"/>
  <c r="AD267" i="15"/>
  <c r="AF267" i="15" s="1"/>
  <c r="AC262" i="15"/>
  <c r="AE262" i="15" s="1"/>
  <c r="Y241" i="15"/>
  <c r="AA241" i="15" s="1"/>
  <c r="AC239" i="15"/>
  <c r="AE239" i="15" s="1"/>
  <c r="Y236" i="15"/>
  <c r="AA236" i="15" s="1"/>
  <c r="AC234" i="15"/>
  <c r="AE234" i="15" s="1"/>
  <c r="AC223" i="15"/>
  <c r="AE223" i="15" s="1"/>
  <c r="Y217" i="15"/>
  <c r="AA217" i="15" s="1"/>
  <c r="Y211" i="15"/>
  <c r="AA211" i="15" s="1"/>
  <c r="AC208" i="15"/>
  <c r="AE208" i="15" s="1"/>
  <c r="AC201" i="15"/>
  <c r="AE201" i="15" s="1"/>
  <c r="AC200" i="15"/>
  <c r="AE200" i="15" s="1"/>
  <c r="X199" i="15"/>
  <c r="Z199" i="15" s="1"/>
  <c r="X198" i="15"/>
  <c r="Z198" i="15" s="1"/>
  <c r="AC192" i="15"/>
  <c r="AE192" i="15" s="1"/>
  <c r="AC191" i="15"/>
  <c r="AE191" i="15" s="1"/>
  <c r="X190" i="15"/>
  <c r="Z190" i="15" s="1"/>
  <c r="X189" i="15"/>
  <c r="Z189" i="15" s="1"/>
  <c r="X167" i="15"/>
  <c r="Z167" i="15" s="1"/>
  <c r="AD164" i="15"/>
  <c r="AF164" i="15" s="1"/>
  <c r="X158" i="15"/>
  <c r="Z158" i="15" s="1"/>
  <c r="AD155" i="15"/>
  <c r="AF155" i="15" s="1"/>
  <c r="X149" i="15"/>
  <c r="Z149" i="15" s="1"/>
  <c r="AD146" i="15"/>
  <c r="AF146" i="15" s="1"/>
  <c r="AD141" i="15"/>
  <c r="AF141" i="15" s="1"/>
  <c r="Y138" i="15"/>
  <c r="AA138" i="15" s="1"/>
  <c r="AC137" i="15"/>
  <c r="AE137" i="15" s="1"/>
  <c r="X135" i="15"/>
  <c r="Z135" i="15" s="1"/>
  <c r="AC134" i="15"/>
  <c r="AE134" i="15" s="1"/>
  <c r="X132" i="15"/>
  <c r="Z132" i="15" s="1"/>
  <c r="AC131" i="15"/>
  <c r="AE131" i="15" s="1"/>
  <c r="X129" i="15"/>
  <c r="Z129" i="15" s="1"/>
  <c r="AC128" i="15"/>
  <c r="AE128" i="15" s="1"/>
  <c r="X126" i="15"/>
  <c r="Z126" i="15" s="1"/>
  <c r="X259" i="15"/>
  <c r="Z259" i="15" s="1"/>
  <c r="Y254" i="15"/>
  <c r="AA254" i="15" s="1"/>
  <c r="Y252" i="15"/>
  <c r="AA252" i="15" s="1"/>
  <c r="Y242" i="15"/>
  <c r="AA242" i="15" s="1"/>
  <c r="AD235" i="15"/>
  <c r="AF235" i="15" s="1"/>
  <c r="Y229" i="15"/>
  <c r="AA229" i="15" s="1"/>
  <c r="AC224" i="15"/>
  <c r="AE224" i="15" s="1"/>
  <c r="AD221" i="15"/>
  <c r="AF221" i="15" s="1"/>
  <c r="AC218" i="15"/>
  <c r="AE218" i="15" s="1"/>
  <c r="X212" i="15"/>
  <c r="Z212" i="15" s="1"/>
  <c r="Y209" i="15"/>
  <c r="AA209" i="15" s="1"/>
  <c r="X208" i="15"/>
  <c r="Z208" i="15" s="1"/>
  <c r="AC204" i="15"/>
  <c r="AE204" i="15" s="1"/>
  <c r="AC203" i="15"/>
  <c r="AE203" i="15" s="1"/>
  <c r="X202" i="15"/>
  <c r="Z202" i="15" s="1"/>
  <c r="X201" i="15"/>
  <c r="Z201" i="15" s="1"/>
  <c r="AC195" i="15"/>
  <c r="AE195" i="15" s="1"/>
  <c r="AC194" i="15"/>
  <c r="AE194" i="15" s="1"/>
  <c r="X193" i="15"/>
  <c r="Z193" i="15" s="1"/>
  <c r="X192" i="15"/>
  <c r="Z192" i="15" s="1"/>
  <c r="AC186" i="15"/>
  <c r="AE186" i="15" s="1"/>
  <c r="AC185" i="15"/>
  <c r="AE185" i="15" s="1"/>
  <c r="AD170" i="15"/>
  <c r="AF170" i="15" s="1"/>
  <c r="X164" i="15"/>
  <c r="Z164" i="15" s="1"/>
  <c r="AD161" i="15"/>
  <c r="AF161" i="15" s="1"/>
  <c r="X155" i="15"/>
  <c r="Z155" i="15" s="1"/>
  <c r="AD152" i="15"/>
  <c r="AF152" i="15" s="1"/>
  <c r="X146" i="15"/>
  <c r="Z146" i="15" s="1"/>
  <c r="AD144" i="15"/>
  <c r="AF144" i="15" s="1"/>
  <c r="Y141" i="15"/>
  <c r="AA141" i="15" s="1"/>
  <c r="AC140" i="15"/>
  <c r="AE140" i="15" s="1"/>
  <c r="X137" i="15"/>
  <c r="Z137" i="15" s="1"/>
  <c r="AC136" i="15"/>
  <c r="AE136" i="15" s="1"/>
  <c r="X134" i="15"/>
  <c r="Z134" i="15" s="1"/>
  <c r="AC133" i="15"/>
  <c r="AE133" i="15" s="1"/>
  <c r="X131" i="15"/>
  <c r="Z131" i="15" s="1"/>
  <c r="AC130" i="15"/>
  <c r="AE130" i="15" s="1"/>
  <c r="AC325" i="15"/>
  <c r="AE325" i="15" s="1"/>
  <c r="AD264" i="15"/>
  <c r="AF264" i="15" s="1"/>
  <c r="X244" i="15"/>
  <c r="Z244" i="15" s="1"/>
  <c r="X239" i="15"/>
  <c r="Z239" i="15" s="1"/>
  <c r="AC236" i="15"/>
  <c r="AE236" i="15" s="1"/>
  <c r="Y234" i="15"/>
  <c r="AA234" i="15" s="1"/>
  <c r="AD231" i="15"/>
  <c r="AF231" i="15" s="1"/>
  <c r="AD203" i="15"/>
  <c r="AF203" i="15" s="1"/>
  <c r="X188" i="15"/>
  <c r="Z188" i="15" s="1"/>
  <c r="AC171" i="15"/>
  <c r="AE171" i="15" s="1"/>
  <c r="Y159" i="15"/>
  <c r="AA159" i="15" s="1"/>
  <c r="Y155" i="15"/>
  <c r="AA155" i="15" s="1"/>
  <c r="AC150" i="15"/>
  <c r="AE150" i="15" s="1"/>
  <c r="Y149" i="15"/>
  <c r="AA149" i="15" s="1"/>
  <c r="AD143" i="15"/>
  <c r="AF143" i="15" s="1"/>
  <c r="X140" i="15"/>
  <c r="Z140" i="15" s="1"/>
  <c r="Y126" i="15"/>
  <c r="AA126" i="15" s="1"/>
  <c r="AD120" i="15"/>
  <c r="AF120" i="15" s="1"/>
  <c r="X117" i="15"/>
  <c r="Z117" i="15" s="1"/>
  <c r="AD111" i="15"/>
  <c r="AF111" i="15" s="1"/>
  <c r="X108" i="15"/>
  <c r="Z108" i="15" s="1"/>
  <c r="AD102" i="15"/>
  <c r="AF102" i="15" s="1"/>
  <c r="AD307" i="15"/>
  <c r="AF307" i="15" s="1"/>
  <c r="AC277" i="15"/>
  <c r="AE277" i="15" s="1"/>
  <c r="X260" i="15"/>
  <c r="Z260" i="15" s="1"/>
  <c r="AC256" i="15"/>
  <c r="AE256" i="15" s="1"/>
  <c r="AC231" i="15"/>
  <c r="AE231" i="15" s="1"/>
  <c r="X215" i="15"/>
  <c r="Z215" i="15" s="1"/>
  <c r="Y198" i="15"/>
  <c r="AA198" i="15" s="1"/>
  <c r="AD191" i="15"/>
  <c r="AF191" i="15" s="1"/>
  <c r="Y183" i="15"/>
  <c r="AA183" i="15" s="1"/>
  <c r="Y180" i="15"/>
  <c r="AA180" i="15" s="1"/>
  <c r="Y177" i="15"/>
  <c r="AA177" i="15" s="1"/>
  <c r="Y174" i="15"/>
  <c r="AA174" i="15" s="1"/>
  <c r="Y167" i="15"/>
  <c r="AA167" i="15" s="1"/>
  <c r="X163" i="15"/>
  <c r="Z163" i="15" s="1"/>
  <c r="AD160" i="15"/>
  <c r="AF160" i="15" s="1"/>
  <c r="X159" i="15"/>
  <c r="Z159" i="15" s="1"/>
  <c r="AC156" i="15"/>
  <c r="AE156" i="15" s="1"/>
  <c r="AD151" i="15"/>
  <c r="AF151" i="15" s="1"/>
  <c r="AD145" i="15"/>
  <c r="AF145" i="15" s="1"/>
  <c r="AC144" i="15"/>
  <c r="AE144" i="15" s="1"/>
  <c r="Y142" i="15"/>
  <c r="AA142" i="15" s="1"/>
  <c r="X141" i="15"/>
  <c r="Z141" i="15" s="1"/>
  <c r="AD124" i="15"/>
  <c r="AF124" i="15" s="1"/>
  <c r="Y121" i="15"/>
  <c r="AA121" i="15" s="1"/>
  <c r="AD115" i="15"/>
  <c r="AF115" i="15" s="1"/>
  <c r="Y112" i="15"/>
  <c r="AA112" i="15" s="1"/>
  <c r="AD106" i="15"/>
  <c r="AF106" i="15" s="1"/>
  <c r="Y103" i="15"/>
  <c r="AA103" i="15" s="1"/>
  <c r="Y346" i="15"/>
  <c r="AA346" i="15" s="1"/>
  <c r="AC307" i="15"/>
  <c r="AE307" i="15" s="1"/>
  <c r="AC267" i="15"/>
  <c r="AE267" i="15" s="1"/>
  <c r="X256" i="15"/>
  <c r="Z256" i="15" s="1"/>
  <c r="AD252" i="15"/>
  <c r="AF252" i="15" s="1"/>
  <c r="AD246" i="15"/>
  <c r="AF246" i="15" s="1"/>
  <c r="X241" i="15"/>
  <c r="Z241" i="15" s="1"/>
  <c r="X217" i="15"/>
  <c r="Z217" i="15" s="1"/>
  <c r="AC210" i="15"/>
  <c r="AE210" i="15" s="1"/>
  <c r="X203" i="15"/>
  <c r="Z203" i="15" s="1"/>
  <c r="AC196" i="15"/>
  <c r="AE196" i="15" s="1"/>
  <c r="X183" i="15"/>
  <c r="Z183" i="15" s="1"/>
  <c r="X180" i="15"/>
  <c r="Z180" i="15" s="1"/>
  <c r="X177" i="15"/>
  <c r="Z177" i="15" s="1"/>
  <c r="X174" i="15"/>
  <c r="Z174" i="15" s="1"/>
  <c r="Y171" i="15"/>
  <c r="AA171" i="15" s="1"/>
  <c r="AC164" i="15"/>
  <c r="AE164" i="15" s="1"/>
  <c r="AC160" i="15"/>
  <c r="AE160" i="15" s="1"/>
  <c r="AC151" i="15"/>
  <c r="AE151" i="15" s="1"/>
  <c r="Y150" i="15"/>
  <c r="AA150" i="15" s="1"/>
  <c r="AC145" i="15"/>
  <c r="AE145" i="15" s="1"/>
  <c r="Y143" i="15"/>
  <c r="AA143" i="15" s="1"/>
  <c r="X142" i="15"/>
  <c r="Z142" i="15" s="1"/>
  <c r="Y125" i="15"/>
  <c r="AA125" i="15" s="1"/>
  <c r="AC124" i="15"/>
  <c r="AE124" i="15" s="1"/>
  <c r="AD119" i="15"/>
  <c r="AF119" i="15" s="1"/>
  <c r="Y116" i="15"/>
  <c r="AA116" i="15" s="1"/>
  <c r="AC115" i="15"/>
  <c r="AE115" i="15" s="1"/>
  <c r="AD110" i="15"/>
  <c r="AF110" i="15" s="1"/>
  <c r="Y107" i="15"/>
  <c r="AA107" i="15" s="1"/>
  <c r="AC106" i="15"/>
  <c r="AE106" i="15" s="1"/>
  <c r="AD101" i="15"/>
  <c r="AF101" i="15" s="1"/>
  <c r="Y363" i="15"/>
  <c r="AA363" i="15" s="1"/>
  <c r="AC269" i="15"/>
  <c r="AE269" i="15" s="1"/>
  <c r="Y311" i="15"/>
  <c r="AA311" i="15" s="1"/>
  <c r="X265" i="15"/>
  <c r="Z265" i="15" s="1"/>
  <c r="AD261" i="15"/>
  <c r="AF261" i="15" s="1"/>
  <c r="X242" i="15"/>
  <c r="Z242" i="15" s="1"/>
  <c r="Y237" i="15"/>
  <c r="AA237" i="15" s="1"/>
  <c r="AD234" i="15"/>
  <c r="AF234" i="15" s="1"/>
  <c r="Y232" i="15"/>
  <c r="AA232" i="15" s="1"/>
  <c r="AD227" i="15"/>
  <c r="AF227" i="15" s="1"/>
  <c r="X225" i="15"/>
  <c r="Z225" i="15" s="1"/>
  <c r="X209" i="15"/>
  <c r="Z209" i="15" s="1"/>
  <c r="AC207" i="15"/>
  <c r="AE207" i="15" s="1"/>
  <c r="AD200" i="15"/>
  <c r="AF200" i="15" s="1"/>
  <c r="Y182" i="15"/>
  <c r="AA182" i="15" s="1"/>
  <c r="Y179" i="15"/>
  <c r="AA179" i="15" s="1"/>
  <c r="Y176" i="15"/>
  <c r="AA176" i="15" s="1"/>
  <c r="Y173" i="15"/>
  <c r="AA173" i="15" s="1"/>
  <c r="AC170" i="15"/>
  <c r="AE170" i="15" s="1"/>
  <c r="Y158" i="15"/>
  <c r="AA158" i="15" s="1"/>
  <c r="X153" i="15"/>
  <c r="Z153" i="15" s="1"/>
  <c r="X147" i="15"/>
  <c r="Z147" i="15" s="1"/>
  <c r="AD140" i="15"/>
  <c r="AF140" i="15" s="1"/>
  <c r="Y137" i="15"/>
  <c r="AA137" i="15" s="1"/>
  <c r="Y136" i="15"/>
  <c r="AA136" i="15" s="1"/>
  <c r="Y135" i="15"/>
  <c r="AA135" i="15" s="1"/>
  <c r="Y134" i="15"/>
  <c r="AA134" i="15" s="1"/>
  <c r="Y133" i="15"/>
  <c r="AA133" i="15" s="1"/>
  <c r="Y132" i="15"/>
  <c r="AA132" i="15" s="1"/>
  <c r="Y131" i="15"/>
  <c r="AA131" i="15" s="1"/>
  <c r="Y130" i="15"/>
  <c r="AA130" i="15" s="1"/>
  <c r="Y129" i="15"/>
  <c r="AA129" i="15" s="1"/>
  <c r="Y128" i="15"/>
  <c r="AA128" i="15" s="1"/>
  <c r="AD126" i="15"/>
  <c r="AF126" i="15" s="1"/>
  <c r="AD121" i="15"/>
  <c r="AF121" i="15" s="1"/>
  <c r="Y118" i="15"/>
  <c r="AA118" i="15" s="1"/>
  <c r="AD112" i="15"/>
  <c r="AF112" i="15" s="1"/>
  <c r="Y109" i="15"/>
  <c r="AA109" i="15" s="1"/>
  <c r="AD103" i="15"/>
  <c r="AF103" i="15" s="1"/>
  <c r="AC101" i="15"/>
  <c r="AE101" i="15" s="1"/>
  <c r="Y105" i="15"/>
  <c r="AA105" i="15" s="1"/>
  <c r="X110" i="15"/>
  <c r="Z110" i="15" s="1"/>
  <c r="Y111" i="15"/>
  <c r="AA111" i="15" s="1"/>
  <c r="X116" i="15"/>
  <c r="Z116" i="15" s="1"/>
  <c r="AC122" i="15"/>
  <c r="AE122" i="15" s="1"/>
  <c r="AD127" i="15"/>
  <c r="AF127" i="15" s="1"/>
  <c r="AD139" i="15"/>
  <c r="AF139" i="15" s="1"/>
  <c r="Y161" i="15"/>
  <c r="AA161" i="15" s="1"/>
  <c r="Y165" i="15"/>
  <c r="AA165" i="15" s="1"/>
  <c r="X171" i="15"/>
  <c r="Z171" i="15" s="1"/>
  <c r="AD173" i="15"/>
  <c r="AF173" i="15" s="1"/>
  <c r="AD175" i="15"/>
  <c r="AF175" i="15" s="1"/>
  <c r="AD182" i="15"/>
  <c r="AF182" i="15" s="1"/>
  <c r="AD184" i="15"/>
  <c r="AF184" i="15" s="1"/>
  <c r="AD197" i="15"/>
  <c r="AF197" i="15" s="1"/>
  <c r="AC202" i="15"/>
  <c r="AE202" i="15" s="1"/>
  <c r="X224" i="15"/>
  <c r="Z224" i="15" s="1"/>
  <c r="Y235" i="15"/>
  <c r="AA235" i="15" s="1"/>
  <c r="AC238" i="15"/>
  <c r="AE238" i="15" s="1"/>
  <c r="AC246" i="15"/>
  <c r="AE246" i="15" s="1"/>
  <c r="AC251" i="15"/>
  <c r="AE251" i="15" s="1"/>
  <c r="AC275" i="15"/>
  <c r="AE275" i="15" s="1"/>
  <c r="AD309" i="15"/>
  <c r="AF309" i="15" s="1"/>
  <c r="X338" i="15"/>
  <c r="Z338" i="15" s="1"/>
  <c r="AC103" i="15"/>
  <c r="AE103" i="15" s="1"/>
  <c r="AD109" i="15"/>
  <c r="AF109" i="15" s="1"/>
  <c r="Y113" i="15"/>
  <c r="AA113" i="15" s="1"/>
  <c r="Y124" i="15"/>
  <c r="AA124" i="15" s="1"/>
  <c r="AD125" i="15"/>
  <c r="AF125" i="15" s="1"/>
  <c r="X128" i="15"/>
  <c r="Z128" i="15" s="1"/>
  <c r="X145" i="15"/>
  <c r="Z145" i="15" s="1"/>
  <c r="X154" i="15"/>
  <c r="Z154" i="15" s="1"/>
  <c r="Y162" i="15"/>
  <c r="AA162" i="15" s="1"/>
  <c r="X166" i="15"/>
  <c r="Z166" i="15" s="1"/>
  <c r="X168" i="15"/>
  <c r="Z168" i="15" s="1"/>
  <c r="X172" i="15"/>
  <c r="Z172" i="15" s="1"/>
  <c r="X179" i="15"/>
  <c r="Z179" i="15" s="1"/>
  <c r="X181" i="15"/>
  <c r="Z181" i="15" s="1"/>
  <c r="X206" i="15"/>
  <c r="Z206" i="15" s="1"/>
  <c r="X237" i="15"/>
  <c r="Z237" i="15" s="1"/>
  <c r="AC240" i="15"/>
  <c r="AE240" i="15" s="1"/>
  <c r="X11" i="15"/>
  <c r="X102" i="15"/>
  <c r="Z102" i="15" s="1"/>
  <c r="AD108" i="15"/>
  <c r="AF108" i="15" s="1"/>
  <c r="AD114" i="15"/>
  <c r="AF114" i="15" s="1"/>
  <c r="X123" i="15"/>
  <c r="Z123" i="15" s="1"/>
  <c r="Y145" i="15"/>
  <c r="AA145" i="15" s="1"/>
  <c r="Y147" i="15"/>
  <c r="AA147" i="15" s="1"/>
  <c r="AC152" i="15"/>
  <c r="AE152" i="15" s="1"/>
  <c r="AC154" i="15"/>
  <c r="AE154" i="15" s="1"/>
  <c r="X156" i="15"/>
  <c r="Z156" i="15" s="1"/>
  <c r="AC162" i="15"/>
  <c r="AE162" i="15" s="1"/>
  <c r="Y164" i="15"/>
  <c r="AA164" i="15" s="1"/>
  <c r="AC166" i="15"/>
  <c r="AE166" i="15" s="1"/>
  <c r="Y168" i="15"/>
  <c r="AA168" i="15" s="1"/>
  <c r="AC172" i="15"/>
  <c r="AE172" i="15" s="1"/>
  <c r="AC179" i="15"/>
  <c r="AE179" i="15" s="1"/>
  <c r="AC181" i="15"/>
  <c r="AE181" i="15" s="1"/>
  <c r="Y201" i="15"/>
  <c r="AA201" i="15" s="1"/>
  <c r="Y206" i="15"/>
  <c r="AA206" i="15" s="1"/>
  <c r="AC209" i="15"/>
  <c r="AE209" i="15" s="1"/>
  <c r="AC212" i="15"/>
  <c r="AE212" i="15" s="1"/>
  <c r="Y223" i="15"/>
  <c r="AA223" i="15" s="1"/>
  <c r="X226" i="15"/>
  <c r="Z226" i="15" s="1"/>
  <c r="X233" i="15"/>
  <c r="Z233" i="15" s="1"/>
  <c r="AC265" i="15"/>
  <c r="AE265" i="15" s="1"/>
  <c r="Y271" i="15"/>
  <c r="AA271" i="15" s="1"/>
  <c r="Y301" i="15"/>
  <c r="AA301" i="15" s="1"/>
  <c r="Y327" i="15"/>
  <c r="AA327" i="15" s="1"/>
  <c r="Y11" i="15"/>
  <c r="X101" i="15"/>
  <c r="Z101" i="15" s="1"/>
  <c r="Y102" i="15"/>
  <c r="AA102" i="15" s="1"/>
  <c r="X107" i="15"/>
  <c r="Z107" i="15" s="1"/>
  <c r="AC113" i="15"/>
  <c r="AE113" i="15" s="1"/>
  <c r="AC119" i="15"/>
  <c r="AE119" i="15" s="1"/>
  <c r="Y123" i="15"/>
  <c r="AA123" i="15" s="1"/>
  <c r="AD154" i="15"/>
  <c r="AF154" i="15" s="1"/>
  <c r="Y156" i="15"/>
  <c r="AA156" i="15" s="1"/>
  <c r="AC168" i="15"/>
  <c r="AE168" i="15" s="1"/>
  <c r="AD172" i="15"/>
  <c r="AF172" i="15" s="1"/>
  <c r="AD179" i="15"/>
  <c r="AF179" i="15" s="1"/>
  <c r="AD181" i="15"/>
  <c r="AF181" i="15" s="1"/>
  <c r="Y186" i="15"/>
  <c r="AA186" i="15" s="1"/>
  <c r="X191" i="15"/>
  <c r="Z191" i="15" s="1"/>
  <c r="Y204" i="15"/>
  <c r="AA204" i="15" s="1"/>
  <c r="AD209" i="15"/>
  <c r="AF209" i="15" s="1"/>
  <c r="AD212" i="15"/>
  <c r="AF212" i="15" s="1"/>
  <c r="Y226" i="15"/>
  <c r="AA226" i="15" s="1"/>
  <c r="AC230" i="15"/>
  <c r="AE230" i="15" s="1"/>
  <c r="AD233" i="15"/>
  <c r="AF233" i="15" s="1"/>
  <c r="AD237" i="15"/>
  <c r="AF237" i="15" s="1"/>
  <c r="AD259" i="15"/>
  <c r="AF259" i="15" s="1"/>
  <c r="Z95" i="15" l="1"/>
  <c r="Z49" i="15"/>
  <c r="AA57" i="15"/>
  <c r="AA21" i="15"/>
  <c r="Z47" i="15"/>
  <c r="AA85" i="15"/>
  <c r="Z58" i="15"/>
  <c r="Z22" i="15"/>
  <c r="AA52" i="15"/>
  <c r="Z34" i="15"/>
  <c r="AA86" i="15"/>
  <c r="Z86" i="15"/>
  <c r="Z45" i="15"/>
  <c r="Z55" i="15"/>
  <c r="Z43" i="15"/>
  <c r="AA78" i="15"/>
  <c r="Z96" i="15"/>
  <c r="Z54" i="15"/>
  <c r="Z50" i="15"/>
  <c r="Z30" i="15"/>
  <c r="AA77" i="15"/>
  <c r="Z77" i="15"/>
  <c r="AA41" i="15"/>
  <c r="AA93" i="15"/>
  <c r="Z51" i="15"/>
  <c r="Z39" i="15"/>
  <c r="AA76" i="15"/>
  <c r="AA50" i="15"/>
  <c r="AA48" i="15"/>
  <c r="AA71" i="15"/>
  <c r="Z11" i="15"/>
  <c r="AA80" i="15"/>
  <c r="AA73" i="15"/>
  <c r="AA37" i="15"/>
  <c r="AA91" i="15"/>
  <c r="AA47" i="15"/>
  <c r="Z29" i="15"/>
  <c r="AA72" i="15"/>
  <c r="Z87" i="15"/>
  <c r="AA46" i="15"/>
  <c r="AA92" i="15"/>
  <c r="Z46" i="15"/>
  <c r="Z92" i="15"/>
  <c r="AA67" i="15"/>
  <c r="Z81" i="15"/>
  <c r="Z71" i="15"/>
  <c r="Z35" i="15"/>
  <c r="AA84" i="15"/>
  <c r="AA43" i="15"/>
  <c r="Z93" i="15"/>
  <c r="Z25" i="15"/>
  <c r="AA62" i="15"/>
  <c r="Z85" i="15"/>
  <c r="Z44" i="15"/>
  <c r="AA83" i="15"/>
  <c r="Z42" i="15"/>
  <c r="Z83" i="15"/>
  <c r="AA63" i="15"/>
  <c r="Z90" i="15"/>
  <c r="AA69" i="15"/>
  <c r="AA33" i="15"/>
  <c r="AA82" i="15"/>
  <c r="Z41" i="15"/>
  <c r="Z91" i="15"/>
  <c r="Z21" i="15"/>
  <c r="AA58" i="15"/>
  <c r="Z78" i="15"/>
  <c r="AA42" i="15"/>
  <c r="AA74" i="15"/>
  <c r="AA38" i="15"/>
  <c r="Z74" i="15"/>
  <c r="AA53" i="15"/>
  <c r="Z79" i="15"/>
  <c r="Z67" i="15"/>
  <c r="Z31" i="15"/>
  <c r="AA75" i="15"/>
  <c r="AA39" i="15"/>
  <c r="Z84" i="15"/>
  <c r="Z98" i="15"/>
  <c r="AA54" i="15"/>
  <c r="Z76" i="15"/>
  <c r="Z40" i="15"/>
  <c r="AA70" i="15"/>
  <c r="AA34" i="15"/>
  <c r="Z70" i="15"/>
  <c r="AA97" i="15"/>
  <c r="AA49" i="15"/>
  <c r="AA89" i="15"/>
  <c r="Z63" i="15"/>
  <c r="Z27" i="15"/>
  <c r="Z73" i="15"/>
  <c r="Z37" i="15"/>
  <c r="Z82" i="15"/>
  <c r="Z89" i="15"/>
  <c r="AA44" i="15"/>
  <c r="Z72" i="15"/>
  <c r="Z36" i="15"/>
  <c r="Z68" i="15"/>
  <c r="Z32" i="15"/>
  <c r="Z66" i="15"/>
  <c r="AA90" i="15"/>
  <c r="AA45" i="15"/>
  <c r="AA59" i="15"/>
  <c r="AA23" i="15"/>
  <c r="Z69" i="15"/>
  <c r="Z33" i="15"/>
  <c r="Z75" i="15"/>
  <c r="Z80" i="15"/>
  <c r="AA40" i="15"/>
  <c r="AA68" i="15"/>
  <c r="AA32" i="15"/>
  <c r="AA66" i="15"/>
  <c r="AA30" i="15"/>
  <c r="Z56" i="15"/>
  <c r="AA88" i="15"/>
  <c r="AA35" i="15"/>
  <c r="Z88" i="15"/>
  <c r="AA55" i="15"/>
  <c r="AA65" i="15"/>
  <c r="AA29" i="15"/>
  <c r="Z65" i="15"/>
  <c r="AA96" i="15"/>
  <c r="AA36" i="15"/>
  <c r="AA64" i="15"/>
  <c r="AA28" i="15"/>
  <c r="Z64" i="15"/>
  <c r="Z28" i="15"/>
  <c r="Z52" i="15"/>
  <c r="AA81" i="15"/>
  <c r="AA31" i="15"/>
  <c r="AA98" i="15"/>
  <c r="Z53" i="15"/>
  <c r="AA61" i="15"/>
  <c r="AA25" i="15"/>
  <c r="Z61" i="15"/>
  <c r="AA26" i="15"/>
  <c r="Z62" i="15"/>
  <c r="Z26" i="15"/>
  <c r="Z60" i="15"/>
  <c r="Z24" i="15"/>
  <c r="Z48" i="15"/>
  <c r="AA79" i="15"/>
  <c r="AA27" i="15"/>
  <c r="AA11" i="15"/>
  <c r="Z97" i="15"/>
  <c r="AA51" i="15"/>
  <c r="Z59" i="15"/>
  <c r="Z23" i="15"/>
  <c r="Z57" i="15"/>
  <c r="AA87" i="15"/>
  <c r="AA22" i="15"/>
  <c r="AA60" i="15"/>
  <c r="AA24" i="15"/>
  <c r="AA56" i="15"/>
  <c r="Z38" i="15"/>
  <c r="AA95" i="15"/>
  <c r="AK24" i="15"/>
  <c r="AJ38" i="15"/>
  <c r="AK54" i="15"/>
  <c r="AJ50" i="15"/>
  <c r="AJ63" i="15"/>
  <c r="AK58" i="15"/>
  <c r="AJ54" i="15"/>
  <c r="AK77" i="15"/>
  <c r="AK92" i="15"/>
  <c r="AJ79" i="15"/>
  <c r="AJ80" i="15"/>
  <c r="AJ24" i="15"/>
  <c r="AJ62" i="15"/>
  <c r="AJ85" i="15"/>
  <c r="AJ25" i="15"/>
  <c r="AJ44" i="15"/>
  <c r="AK84" i="15"/>
  <c r="AK35" i="15"/>
  <c r="AJ53" i="15"/>
  <c r="AJ48" i="15"/>
  <c r="AK49" i="15"/>
  <c r="AJ67" i="15"/>
  <c r="AK86" i="15"/>
  <c r="AJ69" i="15"/>
  <c r="AJ73" i="15"/>
  <c r="AK74" i="15"/>
  <c r="AJ57" i="15"/>
  <c r="AJ86" i="15"/>
  <c r="AK11" i="15"/>
  <c r="AJ89" i="15"/>
  <c r="AK31" i="15"/>
  <c r="AJ29" i="15"/>
  <c r="AJ40" i="15"/>
  <c r="AK30" i="15"/>
  <c r="AK45" i="15"/>
  <c r="AK59" i="15"/>
  <c r="AK80" i="15"/>
  <c r="AJ64" i="15"/>
  <c r="AK61" i="15"/>
  <c r="AJ70" i="15"/>
  <c r="AK53" i="15"/>
  <c r="AJ11" i="15"/>
  <c r="AK39" i="15"/>
  <c r="AK55" i="15"/>
  <c r="AJ71" i="15"/>
  <c r="AJ58" i="15"/>
  <c r="AJ28" i="15"/>
  <c r="AK76" i="15"/>
  <c r="AK97" i="15"/>
  <c r="AK90" i="15"/>
  <c r="AK91" i="15"/>
  <c r="AJ27" i="15"/>
  <c r="AK22" i="15"/>
  <c r="AJ35" i="15"/>
  <c r="AJ49" i="15"/>
  <c r="AK70" i="15"/>
  <c r="AJ55" i="15"/>
  <c r="AJ46" i="15"/>
  <c r="AK66" i="15"/>
  <c r="AK23" i="15"/>
  <c r="AK48" i="15"/>
  <c r="AJ41" i="15"/>
  <c r="AK69" i="15"/>
  <c r="AK68" i="15"/>
  <c r="AK83" i="15"/>
  <c r="AJ66" i="15"/>
  <c r="AK51" i="15"/>
  <c r="AJ87" i="15"/>
  <c r="AK64" i="15"/>
  <c r="AJ81" i="15"/>
  <c r="AJ84" i="15"/>
  <c r="AJ30" i="15"/>
  <c r="AJ45" i="15"/>
  <c r="AK65" i="15"/>
  <c r="AJ51" i="15"/>
  <c r="AJ42" i="15"/>
  <c r="AJ65" i="15"/>
  <c r="AJ47" i="15"/>
  <c r="AK98" i="15"/>
  <c r="AK41" i="15"/>
  <c r="AJ77" i="15"/>
  <c r="AJ59" i="15"/>
  <c r="AK60" i="15"/>
  <c r="AK78" i="15"/>
  <c r="AJ95" i="15"/>
  <c r="AK26" i="15"/>
  <c r="AK40" i="15"/>
  <c r="AJ61" i="15"/>
  <c r="AK46" i="15"/>
  <c r="AK37" i="15"/>
  <c r="AK62" i="15"/>
  <c r="AK93" i="15"/>
  <c r="AJ43" i="15"/>
  <c r="AJ36" i="15"/>
  <c r="AJ34" i="15"/>
  <c r="AJ31" i="15"/>
  <c r="AK88" i="15"/>
  <c r="AJ60" i="15"/>
  <c r="AK82" i="15"/>
  <c r="AJ88" i="15"/>
  <c r="AK21" i="15"/>
  <c r="AK36" i="15"/>
  <c r="AK56" i="15"/>
  <c r="AK42" i="15"/>
  <c r="AK33" i="15"/>
  <c r="AK57" i="15"/>
  <c r="AK87" i="15"/>
  <c r="AK38" i="15"/>
  <c r="AK25" i="15"/>
  <c r="AJ39" i="15"/>
  <c r="AK85" i="15"/>
  <c r="AK50" i="15"/>
  <c r="AK79" i="15"/>
  <c r="AJ82" i="15"/>
  <c r="AJ26" i="15"/>
  <c r="AK52" i="15"/>
  <c r="AJ32" i="15"/>
  <c r="AJ23" i="15"/>
  <c r="AJ56" i="15"/>
  <c r="AK81" i="15"/>
  <c r="AK34" i="15"/>
  <c r="AJ22" i="15"/>
  <c r="AJ96" i="15"/>
  <c r="AJ78" i="15"/>
  <c r="AK32" i="15"/>
  <c r="AJ68" i="15"/>
  <c r="AJ76" i="15"/>
  <c r="AJ21" i="15"/>
  <c r="AJ37" i="15"/>
  <c r="AJ52" i="15"/>
  <c r="AK75" i="15"/>
  <c r="AK96" i="15"/>
  <c r="AJ93" i="15"/>
  <c r="AJ90" i="15"/>
  <c r="AJ75" i="15"/>
  <c r="AK29" i="15"/>
  <c r="AJ72" i="15"/>
  <c r="AK95" i="15"/>
  <c r="AJ33" i="15"/>
  <c r="AJ97" i="15"/>
  <c r="AJ98" i="15"/>
  <c r="AK47" i="15"/>
  <c r="AJ74" i="15"/>
  <c r="AK44" i="15"/>
  <c r="AJ83" i="15"/>
  <c r="AK72" i="15"/>
  <c r="AK63" i="15"/>
  <c r="AK27" i="15"/>
  <c r="AK73" i="15"/>
  <c r="AK67" i="15"/>
  <c r="AK89" i="15"/>
  <c r="AK28" i="15"/>
  <c r="AJ91" i="15"/>
  <c r="AJ92" i="15"/>
  <c r="AK43" i="15"/>
  <c r="AK71" i="15"/>
  <c r="AF56" i="15"/>
  <c r="AE41" i="15"/>
  <c r="AF46" i="15"/>
  <c r="AE93" i="15"/>
  <c r="AF29" i="15"/>
  <c r="AF40" i="15"/>
  <c r="AE83" i="15"/>
  <c r="AE25" i="15"/>
  <c r="AE69" i="15"/>
  <c r="AE63" i="15"/>
  <c r="AF61" i="15"/>
  <c r="AF97" i="15"/>
  <c r="AF45" i="15"/>
  <c r="AE65" i="15"/>
  <c r="AF44" i="15"/>
  <c r="AE46" i="15"/>
  <c r="AE47" i="15"/>
  <c r="AE57" i="15"/>
  <c r="AF93" i="15"/>
  <c r="AE76" i="15"/>
  <c r="AF28" i="15"/>
  <c r="AF39" i="15"/>
  <c r="AF82" i="15"/>
  <c r="AF24" i="15"/>
  <c r="AF66" i="15"/>
  <c r="AF50" i="15"/>
  <c r="AE50" i="15"/>
  <c r="AE89" i="15"/>
  <c r="AE34" i="15"/>
  <c r="AE64" i="15"/>
  <c r="AF32" i="15"/>
  <c r="AE44" i="15"/>
  <c r="AF78" i="15"/>
  <c r="AE30" i="15"/>
  <c r="AF53" i="15"/>
  <c r="AF75" i="15"/>
  <c r="AF26" i="15"/>
  <c r="AE29" i="15"/>
  <c r="AF74" i="15"/>
  <c r="AF63" i="15"/>
  <c r="AF38" i="15"/>
  <c r="AF49" i="15"/>
  <c r="AF88" i="15"/>
  <c r="AF33" i="15"/>
  <c r="AE60" i="15"/>
  <c r="AF43" i="15"/>
  <c r="AE95" i="15"/>
  <c r="AF41" i="15"/>
  <c r="AE48" i="15"/>
  <c r="AF72" i="15"/>
  <c r="AE43" i="15"/>
  <c r="AF27" i="15"/>
  <c r="AF92" i="15"/>
  <c r="AE28" i="15"/>
  <c r="AF73" i="15"/>
  <c r="AE51" i="15"/>
  <c r="AF37" i="15"/>
  <c r="AF48" i="15"/>
  <c r="AE80" i="15"/>
  <c r="AE22" i="15"/>
  <c r="AE45" i="15"/>
  <c r="AE32" i="15"/>
  <c r="AF91" i="15"/>
  <c r="AF54" i="15"/>
  <c r="AE86" i="15"/>
  <c r="AF83" i="15"/>
  <c r="AE26" i="15"/>
  <c r="AE71" i="15"/>
  <c r="AE36" i="15"/>
  <c r="AF35" i="15"/>
  <c r="AE38" i="15"/>
  <c r="AF79" i="15"/>
  <c r="AE21" i="15"/>
  <c r="AE33" i="15"/>
  <c r="AF31" i="15"/>
  <c r="AE98" i="15"/>
  <c r="AF42" i="15"/>
  <c r="AE85" i="15"/>
  <c r="AE75" i="15"/>
  <c r="AF71" i="15"/>
  <c r="AF25" i="15"/>
  <c r="AE70" i="15"/>
  <c r="AE24" i="15"/>
  <c r="AF23" i="15"/>
  <c r="AE37" i="15"/>
  <c r="AF65" i="15"/>
  <c r="AF95" i="15"/>
  <c r="AF30" i="15"/>
  <c r="AF62" i="15"/>
  <c r="AF84" i="15"/>
  <c r="AE27" i="15"/>
  <c r="AF70" i="15"/>
  <c r="AF69" i="15"/>
  <c r="AE91" i="15"/>
  <c r="AF98" i="15"/>
  <c r="AE35" i="15"/>
  <c r="AF64" i="15"/>
  <c r="AE97" i="15"/>
  <c r="AE96" i="15"/>
  <c r="AF86" i="15"/>
  <c r="AE72" i="15"/>
  <c r="AF55" i="15"/>
  <c r="AE56" i="15"/>
  <c r="AE52" i="15"/>
  <c r="AF90" i="15"/>
  <c r="AE90" i="15"/>
  <c r="AF89" i="15"/>
  <c r="AF34" i="15"/>
  <c r="AE62" i="15"/>
  <c r="AF96" i="15"/>
  <c r="AE87" i="15"/>
  <c r="AF77" i="15"/>
  <c r="AE66" i="15"/>
  <c r="AE54" i="15"/>
  <c r="AE84" i="15"/>
  <c r="AE55" i="15"/>
  <c r="AF51" i="15"/>
  <c r="AE82" i="15"/>
  <c r="AE81" i="15"/>
  <c r="AF80" i="15"/>
  <c r="AE23" i="15"/>
  <c r="AE61" i="15"/>
  <c r="AE88" i="15"/>
  <c r="AE78" i="15"/>
  <c r="AE59" i="15"/>
  <c r="AE73" i="15"/>
  <c r="AE42" i="15"/>
  <c r="AF76" i="15"/>
  <c r="AF85" i="15"/>
  <c r="AE53" i="15"/>
  <c r="AE40" i="15"/>
  <c r="AF81" i="15"/>
  <c r="AF68" i="15"/>
  <c r="AE68" i="15"/>
  <c r="AF22" i="15"/>
  <c r="AF60" i="15"/>
  <c r="AF87" i="15"/>
  <c r="AF59" i="15"/>
  <c r="AF58" i="15"/>
  <c r="AF36" i="15"/>
  <c r="AE31" i="15"/>
  <c r="AE58" i="15"/>
  <c r="AE77" i="15"/>
  <c r="AF52" i="15"/>
  <c r="AE92" i="15"/>
  <c r="AE39" i="15"/>
  <c r="AE74" i="15"/>
  <c r="AF67" i="15"/>
  <c r="AE67" i="15"/>
  <c r="AF21" i="15"/>
  <c r="AE49" i="15"/>
  <c r="AE79" i="15"/>
  <c r="AF47" i="15"/>
  <c r="AF57" i="15"/>
  <c r="AE11" i="15"/>
  <c r="V11" i="15"/>
  <c r="U11" i="15"/>
  <c r="AE88" i="16" l="1"/>
  <c r="R88" i="16"/>
  <c r="S88" i="16" s="1"/>
  <c r="Q88" i="16"/>
  <c r="P88" i="16"/>
  <c r="O88" i="16"/>
  <c r="M88" i="16"/>
  <c r="L88" i="16"/>
  <c r="AE87" i="16"/>
  <c r="R87" i="16"/>
  <c r="S87" i="16" s="1"/>
  <c r="Q87" i="16"/>
  <c r="AA87" i="16" s="1"/>
  <c r="P87" i="16"/>
  <c r="O87" i="16"/>
  <c r="M87" i="16"/>
  <c r="L87" i="16"/>
  <c r="AE86" i="16"/>
  <c r="R86" i="16"/>
  <c r="S86" i="16" s="1"/>
  <c r="AC86" i="16" s="1"/>
  <c r="Q86" i="16"/>
  <c r="P86" i="16"/>
  <c r="O86" i="16"/>
  <c r="M86" i="16"/>
  <c r="L86" i="16"/>
  <c r="AE85" i="16"/>
  <c r="R85" i="16"/>
  <c r="S85" i="16" s="1"/>
  <c r="Q85" i="16"/>
  <c r="P85" i="16"/>
  <c r="O85" i="16"/>
  <c r="M85" i="16"/>
  <c r="L85" i="16"/>
  <c r="AE84" i="16"/>
  <c r="Y84" i="16"/>
  <c r="X84" i="16"/>
  <c r="W84" i="16"/>
  <c r="V84" i="16"/>
  <c r="T84" i="16"/>
  <c r="U84" i="16" s="1"/>
  <c r="S84" i="16"/>
  <c r="R84" i="16"/>
  <c r="Q84" i="16"/>
  <c r="Z84" i="16" s="1"/>
  <c r="P84" i="16"/>
  <c r="O84" i="16"/>
  <c r="M84" i="16"/>
  <c r="L84" i="16"/>
  <c r="AE83" i="16"/>
  <c r="Y83" i="16"/>
  <c r="X83" i="16"/>
  <c r="W83" i="16"/>
  <c r="V83" i="16"/>
  <c r="T83" i="16"/>
  <c r="U83" i="16" s="1"/>
  <c r="S83" i="16"/>
  <c r="R83" i="16"/>
  <c r="Q83" i="16"/>
  <c r="Z83" i="16" s="1"/>
  <c r="P83" i="16"/>
  <c r="O83" i="16"/>
  <c r="M83" i="16"/>
  <c r="L83" i="16"/>
  <c r="AE82" i="16"/>
  <c r="Y82" i="16"/>
  <c r="X82" i="16"/>
  <c r="W82" i="16"/>
  <c r="V82" i="16"/>
  <c r="T82" i="16"/>
  <c r="U82" i="16" s="1"/>
  <c r="S82" i="16"/>
  <c r="R82" i="16"/>
  <c r="Q82" i="16"/>
  <c r="Z82" i="16" s="1"/>
  <c r="P82" i="16"/>
  <c r="O82" i="16"/>
  <c r="M82" i="16"/>
  <c r="L82" i="16"/>
  <c r="AE81" i="16"/>
  <c r="Y81" i="16"/>
  <c r="X81" i="16"/>
  <c r="W81" i="16"/>
  <c r="V81" i="16"/>
  <c r="T81" i="16"/>
  <c r="U81" i="16" s="1"/>
  <c r="S81" i="16"/>
  <c r="R81" i="16"/>
  <c r="Q81" i="16"/>
  <c r="Z81" i="16" s="1"/>
  <c r="P81" i="16"/>
  <c r="O81" i="16"/>
  <c r="M81" i="16"/>
  <c r="L81" i="16"/>
  <c r="AE80" i="16"/>
  <c r="R80" i="16"/>
  <c r="S80" i="16" s="1"/>
  <c r="Q80" i="16"/>
  <c r="P80" i="16"/>
  <c r="O80" i="16"/>
  <c r="M80" i="16"/>
  <c r="L80" i="16"/>
  <c r="AE79" i="16"/>
  <c r="R79" i="16"/>
  <c r="S79" i="16" s="1"/>
  <c r="Q79" i="16"/>
  <c r="P79" i="16"/>
  <c r="O79" i="16"/>
  <c r="M79" i="16"/>
  <c r="L79" i="16"/>
  <c r="AE78" i="16"/>
  <c r="R78" i="16"/>
  <c r="Q78" i="16"/>
  <c r="P78" i="16"/>
  <c r="O78" i="16"/>
  <c r="M78" i="16"/>
  <c r="L78" i="16"/>
  <c r="AE77" i="16"/>
  <c r="R77" i="16"/>
  <c r="S77" i="16" s="1"/>
  <c r="Q77" i="16"/>
  <c r="P77" i="16"/>
  <c r="O77" i="16"/>
  <c r="M77" i="16"/>
  <c r="L77" i="16"/>
  <c r="AE76" i="16"/>
  <c r="R76" i="16"/>
  <c r="S76" i="16" s="1"/>
  <c r="Q76" i="16"/>
  <c r="P76" i="16"/>
  <c r="O76" i="16"/>
  <c r="M76" i="16"/>
  <c r="L76" i="16"/>
  <c r="AE75" i="16"/>
  <c r="R75" i="16"/>
  <c r="S75" i="16" s="1"/>
  <c r="Q75" i="16"/>
  <c r="P75" i="16"/>
  <c r="O75" i="16"/>
  <c r="M75" i="16"/>
  <c r="L75" i="16"/>
  <c r="AE74" i="16"/>
  <c r="R74" i="16"/>
  <c r="S74" i="16" s="1"/>
  <c r="Q74" i="16"/>
  <c r="P74" i="16"/>
  <c r="O74" i="16"/>
  <c r="M74" i="16"/>
  <c r="L74" i="16"/>
  <c r="AE73" i="16"/>
  <c r="R73" i="16"/>
  <c r="S73" i="16" s="1"/>
  <c r="Q73" i="16"/>
  <c r="P73" i="16"/>
  <c r="O73" i="16"/>
  <c r="M73" i="16"/>
  <c r="L73" i="16"/>
  <c r="AE72" i="16"/>
  <c r="R72" i="16"/>
  <c r="S72" i="16" s="1"/>
  <c r="Q72" i="16"/>
  <c r="P72" i="16"/>
  <c r="O72" i="16"/>
  <c r="M72" i="16"/>
  <c r="L72" i="16"/>
  <c r="AE71" i="16"/>
  <c r="R71" i="16"/>
  <c r="S71" i="16" s="1"/>
  <c r="Q71" i="16"/>
  <c r="P71" i="16"/>
  <c r="O71" i="16"/>
  <c r="M71" i="16"/>
  <c r="L71" i="16"/>
  <c r="AE70" i="16"/>
  <c r="R70" i="16"/>
  <c r="S70" i="16" s="1"/>
  <c r="Q70" i="16"/>
  <c r="Z70" i="16" s="1"/>
  <c r="P70" i="16"/>
  <c r="O70" i="16"/>
  <c r="M70" i="16"/>
  <c r="L70" i="16"/>
  <c r="AE69" i="16"/>
  <c r="R69" i="16"/>
  <c r="S69" i="16" s="1"/>
  <c r="Q69" i="16"/>
  <c r="P69" i="16"/>
  <c r="O69" i="16"/>
  <c r="M69" i="16"/>
  <c r="L69" i="16"/>
  <c r="AE68" i="16"/>
  <c r="R68" i="16"/>
  <c r="Q68" i="16"/>
  <c r="P68" i="16"/>
  <c r="O68" i="16"/>
  <c r="M68" i="16"/>
  <c r="L68" i="16"/>
  <c r="AE67" i="16"/>
  <c r="R67" i="16"/>
  <c r="S67" i="16" s="1"/>
  <c r="Q67" i="16"/>
  <c r="P67" i="16"/>
  <c r="O67" i="16"/>
  <c r="M67" i="16"/>
  <c r="L67" i="16"/>
  <c r="AE66" i="16"/>
  <c r="R66" i="16"/>
  <c r="Q66" i="16"/>
  <c r="P66" i="16"/>
  <c r="O66" i="16"/>
  <c r="M66" i="16"/>
  <c r="L66" i="16"/>
  <c r="AE65" i="16"/>
  <c r="R65" i="16"/>
  <c r="S65" i="16" s="1"/>
  <c r="Q65" i="16"/>
  <c r="P65" i="16"/>
  <c r="O65" i="16"/>
  <c r="M65" i="16"/>
  <c r="L65" i="16"/>
  <c r="AE64" i="16"/>
  <c r="R64" i="16"/>
  <c r="S64" i="16" s="1"/>
  <c r="Q64" i="16"/>
  <c r="P64" i="16"/>
  <c r="O64" i="16"/>
  <c r="M64" i="16"/>
  <c r="L64" i="16"/>
  <c r="AE63" i="16"/>
  <c r="R63" i="16"/>
  <c r="S63" i="16" s="1"/>
  <c r="Q63" i="16"/>
  <c r="P63" i="16"/>
  <c r="O63" i="16"/>
  <c r="M63" i="16"/>
  <c r="L63" i="16"/>
  <c r="AE62" i="16"/>
  <c r="R62" i="16"/>
  <c r="S62" i="16" s="1"/>
  <c r="Q62" i="16"/>
  <c r="P62" i="16"/>
  <c r="O62" i="16"/>
  <c r="M62" i="16"/>
  <c r="L62" i="16"/>
  <c r="AE61" i="16"/>
  <c r="R61" i="16"/>
  <c r="S61" i="16" s="1"/>
  <c r="Q61" i="16"/>
  <c r="P61" i="16"/>
  <c r="O61" i="16"/>
  <c r="M61" i="16"/>
  <c r="L61" i="16"/>
  <c r="AE60" i="16"/>
  <c r="R60" i="16"/>
  <c r="S60" i="16" s="1"/>
  <c r="Q60" i="16"/>
  <c r="P60" i="16"/>
  <c r="O60" i="16"/>
  <c r="M60" i="16"/>
  <c r="L60" i="16"/>
  <c r="AE59" i="16"/>
  <c r="R59" i="16"/>
  <c r="S59" i="16" s="1"/>
  <c r="Q59" i="16"/>
  <c r="P59" i="16"/>
  <c r="O59" i="16"/>
  <c r="M59" i="16"/>
  <c r="L59" i="16"/>
  <c r="AE58" i="16"/>
  <c r="R58" i="16"/>
  <c r="S58" i="16" s="1"/>
  <c r="Q58" i="16"/>
  <c r="P58" i="16"/>
  <c r="O58" i="16"/>
  <c r="M58" i="16"/>
  <c r="L58" i="16"/>
  <c r="AE57" i="16"/>
  <c r="R57" i="16"/>
  <c r="Q57" i="16"/>
  <c r="P57" i="16"/>
  <c r="O57" i="16"/>
  <c r="M57" i="16"/>
  <c r="L57" i="16"/>
  <c r="AE56" i="16"/>
  <c r="R56" i="16"/>
  <c r="Q56" i="16"/>
  <c r="P56" i="16"/>
  <c r="O56" i="16"/>
  <c r="M56" i="16"/>
  <c r="L56" i="16"/>
  <c r="AE55" i="16"/>
  <c r="R55" i="16"/>
  <c r="S55" i="16" s="1"/>
  <c r="Q55" i="16"/>
  <c r="P55" i="16"/>
  <c r="O55" i="16"/>
  <c r="M55" i="16"/>
  <c r="L55" i="16"/>
  <c r="AE54" i="16"/>
  <c r="R54" i="16"/>
  <c r="S54" i="16" s="1"/>
  <c r="Q54" i="16"/>
  <c r="P54" i="16"/>
  <c r="O54" i="16"/>
  <c r="M54" i="16"/>
  <c r="L54" i="16"/>
  <c r="AE53" i="16"/>
  <c r="R53" i="16"/>
  <c r="S53" i="16" s="1"/>
  <c r="Q53" i="16"/>
  <c r="P53" i="16"/>
  <c r="O53" i="16"/>
  <c r="M53" i="16"/>
  <c r="L53" i="16"/>
  <c r="AE52" i="16"/>
  <c r="Y52" i="16"/>
  <c r="X52" i="16"/>
  <c r="W52" i="16"/>
  <c r="V52" i="16"/>
  <c r="T52" i="16"/>
  <c r="U52" i="16" s="1"/>
  <c r="S52" i="16"/>
  <c r="R52" i="16"/>
  <c r="Q52" i="16"/>
  <c r="Z52" i="16" s="1"/>
  <c r="P52" i="16"/>
  <c r="O52" i="16"/>
  <c r="M52" i="16"/>
  <c r="L52" i="16"/>
  <c r="AE51" i="16"/>
  <c r="R51" i="16"/>
  <c r="S51" i="16" s="1"/>
  <c r="Q51" i="16"/>
  <c r="P51" i="16"/>
  <c r="O51" i="16"/>
  <c r="M51" i="16"/>
  <c r="L51" i="16"/>
  <c r="AE50" i="16"/>
  <c r="R50" i="16"/>
  <c r="S50" i="16" s="1"/>
  <c r="Q50" i="16"/>
  <c r="P50" i="16"/>
  <c r="O50" i="16"/>
  <c r="M50" i="16"/>
  <c r="L50" i="16"/>
  <c r="AE49" i="16"/>
  <c r="R49" i="16"/>
  <c r="S49" i="16" s="1"/>
  <c r="Q49" i="16"/>
  <c r="P49" i="16"/>
  <c r="O49" i="16"/>
  <c r="M49" i="16"/>
  <c r="L49" i="16"/>
  <c r="AE48" i="16"/>
  <c r="R48" i="16"/>
  <c r="S48" i="16" s="1"/>
  <c r="Q48" i="16"/>
  <c r="P48" i="16"/>
  <c r="O48" i="16"/>
  <c r="M48" i="16"/>
  <c r="L48" i="16"/>
  <c r="AE47" i="16"/>
  <c r="R47" i="16"/>
  <c r="S47" i="16" s="1"/>
  <c r="Q47" i="16"/>
  <c r="P47" i="16"/>
  <c r="O47" i="16"/>
  <c r="M47" i="16"/>
  <c r="L47" i="16"/>
  <c r="AE46" i="16"/>
  <c r="R46" i="16"/>
  <c r="Q46" i="16"/>
  <c r="P46" i="16"/>
  <c r="O46" i="16"/>
  <c r="M46" i="16"/>
  <c r="L46" i="16"/>
  <c r="AE45" i="16"/>
  <c r="R45" i="16"/>
  <c r="Q45" i="16"/>
  <c r="P45" i="16"/>
  <c r="O45" i="16"/>
  <c r="M45" i="16"/>
  <c r="L45" i="16"/>
  <c r="AE44" i="16"/>
  <c r="R44" i="16"/>
  <c r="S44" i="16" s="1"/>
  <c r="Q44" i="16"/>
  <c r="P44" i="16"/>
  <c r="O44" i="16"/>
  <c r="M44" i="16"/>
  <c r="L44" i="16"/>
  <c r="AE43" i="16"/>
  <c r="R43" i="16"/>
  <c r="S43" i="16" s="1"/>
  <c r="Q43" i="16"/>
  <c r="P43" i="16"/>
  <c r="O43" i="16"/>
  <c r="M43" i="16"/>
  <c r="L43" i="16"/>
  <c r="AE42" i="16"/>
  <c r="R42" i="16"/>
  <c r="S42" i="16" s="1"/>
  <c r="Q42" i="16"/>
  <c r="P42" i="16"/>
  <c r="O42" i="16"/>
  <c r="M42" i="16"/>
  <c r="L42" i="16"/>
  <c r="AE41" i="16"/>
  <c r="R41" i="16"/>
  <c r="S41" i="16" s="1"/>
  <c r="Q41" i="16"/>
  <c r="P41" i="16"/>
  <c r="O41" i="16"/>
  <c r="M41" i="16"/>
  <c r="L41" i="16"/>
  <c r="AE40" i="16"/>
  <c r="R40" i="16"/>
  <c r="S40" i="16" s="1"/>
  <c r="Q40" i="16"/>
  <c r="P40" i="16"/>
  <c r="O40" i="16"/>
  <c r="M40" i="16"/>
  <c r="L40" i="16"/>
  <c r="AE39" i="16"/>
  <c r="R39" i="16"/>
  <c r="S39" i="16" s="1"/>
  <c r="Q39" i="16"/>
  <c r="P39" i="16"/>
  <c r="O39" i="16"/>
  <c r="M39" i="16"/>
  <c r="L39" i="16"/>
  <c r="AE38" i="16"/>
  <c r="R38" i="16"/>
  <c r="Q38" i="16"/>
  <c r="P38" i="16"/>
  <c r="O38" i="16"/>
  <c r="M38" i="16"/>
  <c r="L38" i="16"/>
  <c r="AE37" i="16"/>
  <c r="R37" i="16"/>
  <c r="S37" i="16" s="1"/>
  <c r="Q37" i="16"/>
  <c r="P37" i="16"/>
  <c r="O37" i="16"/>
  <c r="M37" i="16"/>
  <c r="L37" i="16"/>
  <c r="AE36" i="16"/>
  <c r="R36" i="16"/>
  <c r="S36" i="16" s="1"/>
  <c r="Q36" i="16"/>
  <c r="P36" i="16"/>
  <c r="O36" i="16"/>
  <c r="M36" i="16"/>
  <c r="L36" i="16"/>
  <c r="AE35" i="16"/>
  <c r="R35" i="16"/>
  <c r="S35" i="16" s="1"/>
  <c r="Q35" i="16"/>
  <c r="P35" i="16"/>
  <c r="O35" i="16"/>
  <c r="M35" i="16"/>
  <c r="L35" i="16"/>
  <c r="AE34" i="16"/>
  <c r="R34" i="16"/>
  <c r="S34" i="16" s="1"/>
  <c r="Q34" i="16"/>
  <c r="P34" i="16"/>
  <c r="O34" i="16"/>
  <c r="M34" i="16"/>
  <c r="L34" i="16"/>
  <c r="AE33" i="16"/>
  <c r="R33" i="16"/>
  <c r="S33" i="16" s="1"/>
  <c r="Q33" i="16"/>
  <c r="P33" i="16"/>
  <c r="O33" i="16"/>
  <c r="M33" i="16"/>
  <c r="L33" i="16"/>
  <c r="AE32" i="16"/>
  <c r="R32" i="16"/>
  <c r="Q32" i="16"/>
  <c r="P32" i="16"/>
  <c r="O32" i="16"/>
  <c r="M32" i="16"/>
  <c r="L32" i="16"/>
  <c r="AE31" i="16"/>
  <c r="R31" i="16"/>
  <c r="S31" i="16" s="1"/>
  <c r="Q31" i="16"/>
  <c r="P31" i="16"/>
  <c r="O31" i="16"/>
  <c r="M31" i="16"/>
  <c r="L31" i="16"/>
  <c r="AE30" i="16"/>
  <c r="R30" i="16"/>
  <c r="S30" i="16" s="1"/>
  <c r="Q30" i="16"/>
  <c r="P30" i="16"/>
  <c r="O30" i="16"/>
  <c r="M30" i="16"/>
  <c r="L30" i="16"/>
  <c r="AE29" i="16"/>
  <c r="R29" i="16"/>
  <c r="S29" i="16" s="1"/>
  <c r="Q29" i="16"/>
  <c r="P29" i="16"/>
  <c r="O29" i="16"/>
  <c r="M29" i="16"/>
  <c r="L29" i="16"/>
  <c r="AE28" i="16"/>
  <c r="R28" i="16"/>
  <c r="S28" i="16" s="1"/>
  <c r="Q28" i="16"/>
  <c r="P28" i="16"/>
  <c r="O28" i="16"/>
  <c r="M28" i="16"/>
  <c r="L28" i="16"/>
  <c r="AE27" i="16"/>
  <c r="R27" i="16"/>
  <c r="S27" i="16" s="1"/>
  <c r="Q27" i="16"/>
  <c r="P27" i="16"/>
  <c r="O27" i="16"/>
  <c r="M27" i="16"/>
  <c r="L27" i="16"/>
  <c r="AE26" i="16"/>
  <c r="R26" i="16"/>
  <c r="Q26" i="16"/>
  <c r="P26" i="16"/>
  <c r="O26" i="16"/>
  <c r="M26" i="16"/>
  <c r="L26" i="16"/>
  <c r="AE25" i="16"/>
  <c r="R25" i="16"/>
  <c r="S25" i="16" s="1"/>
  <c r="Q25" i="16"/>
  <c r="P25" i="16"/>
  <c r="O25" i="16"/>
  <c r="M25" i="16"/>
  <c r="L25" i="16"/>
  <c r="AE24" i="16"/>
  <c r="R24" i="16"/>
  <c r="S24" i="16" s="1"/>
  <c r="Q24" i="16"/>
  <c r="P24" i="16"/>
  <c r="O24" i="16"/>
  <c r="M24" i="16"/>
  <c r="L24" i="16"/>
  <c r="AE23" i="16"/>
  <c r="R23" i="16"/>
  <c r="S23" i="16" s="1"/>
  <c r="Q23" i="16"/>
  <c r="P23" i="16"/>
  <c r="O23" i="16"/>
  <c r="M23" i="16"/>
  <c r="L23" i="16"/>
  <c r="AE22" i="16"/>
  <c r="R22" i="16"/>
  <c r="S22" i="16" s="1"/>
  <c r="Q22" i="16"/>
  <c r="P22" i="16"/>
  <c r="O22" i="16"/>
  <c r="M22" i="16"/>
  <c r="L22" i="16"/>
  <c r="AE21" i="16"/>
  <c r="R21" i="16"/>
  <c r="S21" i="16" s="1"/>
  <c r="Q21" i="16"/>
  <c r="P21" i="16"/>
  <c r="O21" i="16"/>
  <c r="M21" i="16"/>
  <c r="L21" i="16"/>
  <c r="AE20" i="16"/>
  <c r="R20" i="16"/>
  <c r="S20" i="16" s="1"/>
  <c r="Q20" i="16"/>
  <c r="P20" i="16"/>
  <c r="O20" i="16"/>
  <c r="M20" i="16"/>
  <c r="L20" i="16"/>
  <c r="AE19" i="16"/>
  <c r="R19" i="16"/>
  <c r="Q19" i="16"/>
  <c r="P19" i="16"/>
  <c r="O19" i="16"/>
  <c r="M19" i="16"/>
  <c r="L19" i="16"/>
  <c r="AE18" i="16"/>
  <c r="R18" i="16"/>
  <c r="S18" i="16" s="1"/>
  <c r="Q18" i="16"/>
  <c r="P18" i="16"/>
  <c r="O18" i="16"/>
  <c r="M18" i="16"/>
  <c r="L18" i="16"/>
  <c r="AE17" i="16"/>
  <c r="R17" i="16"/>
  <c r="Q17" i="16"/>
  <c r="P17" i="16"/>
  <c r="O17" i="16"/>
  <c r="M17" i="16"/>
  <c r="L17" i="16"/>
  <c r="AE16" i="16"/>
  <c r="R16" i="16"/>
  <c r="S16" i="16" s="1"/>
  <c r="Q16" i="16"/>
  <c r="P16" i="16"/>
  <c r="O16" i="16"/>
  <c r="M16" i="16"/>
  <c r="L16" i="16"/>
  <c r="AE15" i="16"/>
  <c r="R15" i="16"/>
  <c r="S15" i="16" s="1"/>
  <c r="Q15" i="16"/>
  <c r="P15" i="16"/>
  <c r="O15" i="16"/>
  <c r="M15" i="16"/>
  <c r="L15" i="16"/>
  <c r="AE14" i="16"/>
  <c r="R14" i="16"/>
  <c r="S14" i="16" s="1"/>
  <c r="Q14" i="16"/>
  <c r="P14" i="16"/>
  <c r="O14" i="16"/>
  <c r="M14" i="16"/>
  <c r="L14" i="16"/>
  <c r="AE13" i="16"/>
  <c r="R13" i="16"/>
  <c r="Q13" i="16"/>
  <c r="P13" i="16"/>
  <c r="O13" i="16"/>
  <c r="M13" i="16"/>
  <c r="L13" i="16"/>
  <c r="AE12" i="16"/>
  <c r="R12" i="16"/>
  <c r="S12" i="16" s="1"/>
  <c r="Q12" i="16"/>
  <c r="P12" i="16"/>
  <c r="O12" i="16"/>
  <c r="M12" i="16"/>
  <c r="L12" i="16"/>
  <c r="AE11" i="16"/>
  <c r="W11" i="16"/>
  <c r="R11" i="16"/>
  <c r="S11" i="16" s="1"/>
  <c r="Q11" i="16"/>
  <c r="AB11" i="16" s="1"/>
  <c r="P11" i="16"/>
  <c r="O11" i="16"/>
  <c r="M11" i="16"/>
  <c r="L11" i="16"/>
  <c r="Z39" i="16" l="1"/>
  <c r="Z69" i="16"/>
  <c r="V45" i="16"/>
  <c r="X45" i="16" s="1"/>
  <c r="AA31" i="16"/>
  <c r="W21" i="16"/>
  <c r="Z53" i="16"/>
  <c r="Z20" i="16"/>
  <c r="V35" i="16"/>
  <c r="X35" i="16" s="1"/>
  <c r="S45" i="16"/>
  <c r="AC45" i="16" s="1"/>
  <c r="AA25" i="16"/>
  <c r="Z67" i="16"/>
  <c r="Z79" i="16"/>
  <c r="Z42" i="16"/>
  <c r="Z15" i="16"/>
  <c r="T36" i="16"/>
  <c r="U36" i="16" s="1"/>
  <c r="Z14" i="16"/>
  <c r="Z74" i="16"/>
  <c r="Z59" i="16"/>
  <c r="AA37" i="16"/>
  <c r="AA85" i="16"/>
  <c r="W27" i="16"/>
  <c r="AA27" i="16"/>
  <c r="Z44" i="16"/>
  <c r="Z63" i="16"/>
  <c r="Z75" i="16"/>
  <c r="Z34" i="16"/>
  <c r="Z65" i="16"/>
  <c r="W77" i="16"/>
  <c r="Z24" i="16"/>
  <c r="AA43" i="16"/>
  <c r="W71" i="16"/>
  <c r="AA88" i="16"/>
  <c r="V59" i="16"/>
  <c r="X59" i="16" s="1"/>
  <c r="Y59" i="16" s="1"/>
  <c r="T40" i="16"/>
  <c r="U40" i="16" s="1"/>
  <c r="T32" i="16"/>
  <c r="U32" i="16" s="1"/>
  <c r="V77" i="16"/>
  <c r="X77" i="16" s="1"/>
  <c r="Y77" i="16" s="1"/>
  <c r="V12" i="16"/>
  <c r="X12" i="16" s="1"/>
  <c r="Y12" i="16" s="1"/>
  <c r="V36" i="16"/>
  <c r="X36" i="16" s="1"/>
  <c r="Y36" i="16" s="1"/>
  <c r="T56" i="16"/>
  <c r="U56" i="16" s="1"/>
  <c r="V60" i="16"/>
  <c r="X60" i="16" s="1"/>
  <c r="Y60" i="16" s="1"/>
  <c r="W20" i="16"/>
  <c r="W25" i="16"/>
  <c r="W70" i="16"/>
  <c r="T11" i="16"/>
  <c r="U11" i="16" s="1"/>
  <c r="Z18" i="16"/>
  <c r="W39" i="16"/>
  <c r="T22" i="16"/>
  <c r="U22" i="16" s="1"/>
  <c r="Z28" i="16"/>
  <c r="AA33" i="16"/>
  <c r="W59" i="16"/>
  <c r="AB45" i="16"/>
  <c r="Z48" i="16"/>
  <c r="T16" i="16"/>
  <c r="U16" i="16" s="1"/>
  <c r="V26" i="16"/>
  <c r="X26" i="16" s="1"/>
  <c r="Z54" i="16"/>
  <c r="AB56" i="16"/>
  <c r="W32" i="16"/>
  <c r="AA47" i="16"/>
  <c r="V49" i="16"/>
  <c r="X49" i="16" s="1"/>
  <c r="Y49" i="16" s="1"/>
  <c r="Z61" i="16"/>
  <c r="Z76" i="16"/>
  <c r="V25" i="16"/>
  <c r="X25" i="16" s="1"/>
  <c r="Y25" i="16" s="1"/>
  <c r="V31" i="16"/>
  <c r="X31" i="16" s="1"/>
  <c r="Y31" i="16" s="1"/>
  <c r="V46" i="16"/>
  <c r="X46" i="16" s="1"/>
  <c r="Z50" i="16"/>
  <c r="V61" i="16"/>
  <c r="X61" i="16" s="1"/>
  <c r="Y61" i="16" s="1"/>
  <c r="W66" i="16"/>
  <c r="V70" i="16"/>
  <c r="X70" i="16" s="1"/>
  <c r="Y70" i="16" s="1"/>
  <c r="T73" i="16"/>
  <c r="U73" i="16" s="1"/>
  <c r="T17" i="16"/>
  <c r="U17" i="16" s="1"/>
  <c r="T37" i="16"/>
  <c r="U37" i="16" s="1"/>
  <c r="T45" i="16"/>
  <c r="U45" i="16" s="1"/>
  <c r="Z47" i="16"/>
  <c r="T60" i="16"/>
  <c r="U60" i="16" s="1"/>
  <c r="T62" i="16"/>
  <c r="U62" i="16" s="1"/>
  <c r="T78" i="16"/>
  <c r="U78" i="16" s="1"/>
  <c r="V88" i="16"/>
  <c r="T12" i="16"/>
  <c r="U12" i="16" s="1"/>
  <c r="AB23" i="16"/>
  <c r="W35" i="16"/>
  <c r="V55" i="16"/>
  <c r="X55" i="16" s="1"/>
  <c r="Y55" i="16" s="1"/>
  <c r="W49" i="16"/>
  <c r="V11" i="16"/>
  <c r="X11" i="16" s="1"/>
  <c r="Y11" i="16" s="1"/>
  <c r="T27" i="16"/>
  <c r="U27" i="16" s="1"/>
  <c r="W58" i="16"/>
  <c r="V72" i="16"/>
  <c r="X72" i="16" s="1"/>
  <c r="Y72" i="16" s="1"/>
  <c r="W28" i="16"/>
  <c r="W37" i="16"/>
  <c r="T51" i="16"/>
  <c r="U51" i="16" s="1"/>
  <c r="W55" i="16"/>
  <c r="W56" i="16"/>
  <c r="Z12" i="16"/>
  <c r="T19" i="16"/>
  <c r="U19" i="16" s="1"/>
  <c r="V30" i="16"/>
  <c r="X30" i="16" s="1"/>
  <c r="Y30" i="16" s="1"/>
  <c r="Z40" i="16"/>
  <c r="V48" i="16"/>
  <c r="X48" i="16" s="1"/>
  <c r="Y48" i="16" s="1"/>
  <c r="T61" i="16"/>
  <c r="U61" i="16" s="1"/>
  <c r="T77" i="16"/>
  <c r="U77" i="16" s="1"/>
  <c r="W48" i="16"/>
  <c r="W69" i="16"/>
  <c r="W30" i="16"/>
  <c r="W16" i="16"/>
  <c r="V21" i="16"/>
  <c r="X21" i="16" s="1"/>
  <c r="Y21" i="16" s="1"/>
  <c r="T47" i="16"/>
  <c r="U47" i="16" s="1"/>
  <c r="Z58" i="16"/>
  <c r="V40" i="16"/>
  <c r="X40" i="16" s="1"/>
  <c r="Y40" i="16" s="1"/>
  <c r="W47" i="16"/>
  <c r="V50" i="16"/>
  <c r="X50" i="16" s="1"/>
  <c r="Y50" i="16" s="1"/>
  <c r="Z64" i="16"/>
  <c r="T66" i="16"/>
  <c r="U66" i="16" s="1"/>
  <c r="V71" i="16"/>
  <c r="X71" i="16" s="1"/>
  <c r="Y71" i="16" s="1"/>
  <c r="Z72" i="16"/>
  <c r="Z77" i="16"/>
  <c r="T13" i="16"/>
  <c r="U13" i="16" s="1"/>
  <c r="V29" i="16"/>
  <c r="X29" i="16" s="1"/>
  <c r="Y29" i="16" s="1"/>
  <c r="W60" i="16"/>
  <c r="Z16" i="16"/>
  <c r="W18" i="16"/>
  <c r="W29" i="16"/>
  <c r="T41" i="16"/>
  <c r="U41" i="16" s="1"/>
  <c r="W45" i="16"/>
  <c r="T31" i="16"/>
  <c r="U31" i="16" s="1"/>
  <c r="V51" i="16"/>
  <c r="X51" i="16" s="1"/>
  <c r="Y51" i="16" s="1"/>
  <c r="W17" i="16"/>
  <c r="V62" i="16"/>
  <c r="X62" i="16" s="1"/>
  <c r="Y62" i="16" s="1"/>
  <c r="T55" i="16"/>
  <c r="U55" i="16" s="1"/>
  <c r="Y35" i="16"/>
  <c r="AB27" i="16"/>
  <c r="W13" i="16"/>
  <c r="V16" i="16"/>
  <c r="X16" i="16" s="1"/>
  <c r="Y16" i="16" s="1"/>
  <c r="T26" i="16"/>
  <c r="U26" i="16" s="1"/>
  <c r="T35" i="16"/>
  <c r="U35" i="16" s="1"/>
  <c r="W46" i="16"/>
  <c r="AB13" i="16"/>
  <c r="T46" i="16"/>
  <c r="U46" i="16" s="1"/>
  <c r="T25" i="16"/>
  <c r="U25" i="16" s="1"/>
  <c r="AB29" i="16"/>
  <c r="T30" i="16"/>
  <c r="U30" i="16" s="1"/>
  <c r="V38" i="16"/>
  <c r="X38" i="16" s="1"/>
  <c r="AB41" i="16"/>
  <c r="T50" i="16"/>
  <c r="U50" i="16" s="1"/>
  <c r="T72" i="16"/>
  <c r="U72" i="16" s="1"/>
  <c r="V78" i="16"/>
  <c r="X78" i="16" s="1"/>
  <c r="AB86" i="16"/>
  <c r="V68" i="16"/>
  <c r="X68" i="16" s="1"/>
  <c r="AB47" i="16"/>
  <c r="T49" i="16"/>
  <c r="U49" i="16" s="1"/>
  <c r="T71" i="16"/>
  <c r="U71" i="16" s="1"/>
  <c r="T88" i="16"/>
  <c r="U88" i="16" s="1"/>
  <c r="W26" i="16"/>
  <c r="T21" i="16"/>
  <c r="U21" i="16" s="1"/>
  <c r="V19" i="16"/>
  <c r="X19" i="16" s="1"/>
  <c r="V57" i="16"/>
  <c r="X57" i="16" s="1"/>
  <c r="S13" i="16"/>
  <c r="AC13" i="16" s="1"/>
  <c r="S32" i="16"/>
  <c r="AC32" i="16" s="1"/>
  <c r="W12" i="16"/>
  <c r="V13" i="16"/>
  <c r="X13" i="16" s="1"/>
  <c r="AA20" i="16"/>
  <c r="V22" i="16"/>
  <c r="X22" i="16" s="1"/>
  <c r="Y22" i="16" s="1"/>
  <c r="T23" i="16"/>
  <c r="U23" i="16" s="1"/>
  <c r="W31" i="16"/>
  <c r="V32" i="16"/>
  <c r="X32" i="16" s="1"/>
  <c r="T33" i="16"/>
  <c r="U33" i="16" s="1"/>
  <c r="AA35" i="16"/>
  <c r="AA39" i="16"/>
  <c r="W40" i="16"/>
  <c r="V41" i="16"/>
  <c r="X41" i="16" s="1"/>
  <c r="Y41" i="16" s="1"/>
  <c r="T42" i="16"/>
  <c r="U42" i="16" s="1"/>
  <c r="W50" i="16"/>
  <c r="Z55" i="16"/>
  <c r="W61" i="16"/>
  <c r="T63" i="16"/>
  <c r="U63" i="16" s="1"/>
  <c r="W72" i="16"/>
  <c r="V73" i="16"/>
  <c r="X73" i="16" s="1"/>
  <c r="Y73" i="16" s="1"/>
  <c r="T74" i="16"/>
  <c r="U74" i="16" s="1"/>
  <c r="T85" i="16"/>
  <c r="U85" i="16" s="1"/>
  <c r="T14" i="16"/>
  <c r="U14" i="16" s="1"/>
  <c r="AA17" i="16"/>
  <c r="W22" i="16"/>
  <c r="V23" i="16"/>
  <c r="X23" i="16" s="1"/>
  <c r="Y23" i="16" s="1"/>
  <c r="Z26" i="16"/>
  <c r="V33" i="16"/>
  <c r="X33" i="16" s="1"/>
  <c r="Y33" i="16" s="1"/>
  <c r="Z36" i="16"/>
  <c r="AB39" i="16"/>
  <c r="W41" i="16"/>
  <c r="V42" i="16"/>
  <c r="X42" i="16" s="1"/>
  <c r="Y42" i="16" s="1"/>
  <c r="T43" i="16"/>
  <c r="U43" i="16" s="1"/>
  <c r="Z46" i="16"/>
  <c r="W51" i="16"/>
  <c r="T53" i="16"/>
  <c r="U53" i="16" s="1"/>
  <c r="Z56" i="16"/>
  <c r="W62" i="16"/>
  <c r="V63" i="16"/>
  <c r="X63" i="16" s="1"/>
  <c r="Y63" i="16" s="1"/>
  <c r="T64" i="16"/>
  <c r="U64" i="16" s="1"/>
  <c r="Z66" i="16"/>
  <c r="W73" i="16"/>
  <c r="V74" i="16"/>
  <c r="X74" i="16" s="1"/>
  <c r="Y74" i="16" s="1"/>
  <c r="T75" i="16"/>
  <c r="U75" i="16" s="1"/>
  <c r="Z78" i="16"/>
  <c r="V85" i="16"/>
  <c r="X85" i="16" s="1"/>
  <c r="Y85" i="16" s="1"/>
  <c r="T86" i="16"/>
  <c r="U86" i="16" s="1"/>
  <c r="AA21" i="16"/>
  <c r="W23" i="16"/>
  <c r="T24" i="16"/>
  <c r="U24" i="16" s="1"/>
  <c r="W33" i="16"/>
  <c r="T34" i="16"/>
  <c r="U34" i="16" s="1"/>
  <c r="W42" i="16"/>
  <c r="V43" i="16"/>
  <c r="X43" i="16" s="1"/>
  <c r="Y43" i="16" s="1"/>
  <c r="T44" i="16"/>
  <c r="U44" i="16" s="1"/>
  <c r="V53" i="16"/>
  <c r="X53" i="16" s="1"/>
  <c r="Y53" i="16" s="1"/>
  <c r="T54" i="16"/>
  <c r="U54" i="16" s="1"/>
  <c r="W63" i="16"/>
  <c r="V64" i="16"/>
  <c r="X64" i="16" s="1"/>
  <c r="Y64" i="16" s="1"/>
  <c r="T65" i="16"/>
  <c r="U65" i="16" s="1"/>
  <c r="W74" i="16"/>
  <c r="V75" i="16"/>
  <c r="X75" i="16" s="1"/>
  <c r="Y75" i="16" s="1"/>
  <c r="T76" i="16"/>
  <c r="U76" i="16" s="1"/>
  <c r="W85" i="16"/>
  <c r="V86" i="16"/>
  <c r="X86" i="16" s="1"/>
  <c r="Y86" i="16" s="1"/>
  <c r="T87" i="16"/>
  <c r="U87" i="16" s="1"/>
  <c r="V14" i="16"/>
  <c r="X14" i="16" s="1"/>
  <c r="Y14" i="16" s="1"/>
  <c r="T15" i="16"/>
  <c r="U15" i="16" s="1"/>
  <c r="W14" i="16"/>
  <c r="V15" i="16"/>
  <c r="X15" i="16" s="1"/>
  <c r="Y15" i="16" s="1"/>
  <c r="S17" i="16"/>
  <c r="AC17" i="16" s="1"/>
  <c r="AA19" i="16"/>
  <c r="V24" i="16"/>
  <c r="X24" i="16" s="1"/>
  <c r="Y24" i="16" s="1"/>
  <c r="S26" i="16"/>
  <c r="Y26" i="16" s="1"/>
  <c r="V34" i="16"/>
  <c r="X34" i="16" s="1"/>
  <c r="Y34" i="16" s="1"/>
  <c r="Z38" i="16"/>
  <c r="W43" i="16"/>
  <c r="V44" i="16"/>
  <c r="X44" i="16" s="1"/>
  <c r="Y44" i="16" s="1"/>
  <c r="S46" i="16"/>
  <c r="W53" i="16"/>
  <c r="V54" i="16"/>
  <c r="X54" i="16" s="1"/>
  <c r="Y54" i="16" s="1"/>
  <c r="S56" i="16"/>
  <c r="AC56" i="16" s="1"/>
  <c r="Z57" i="16"/>
  <c r="W64" i="16"/>
  <c r="V65" i="16"/>
  <c r="X65" i="16" s="1"/>
  <c r="Y65" i="16" s="1"/>
  <c r="S66" i="16"/>
  <c r="AC66" i="16" s="1"/>
  <c r="Z68" i="16"/>
  <c r="W75" i="16"/>
  <c r="V76" i="16"/>
  <c r="X76" i="16" s="1"/>
  <c r="Y76" i="16" s="1"/>
  <c r="S78" i="16"/>
  <c r="Z80" i="16"/>
  <c r="W86" i="16"/>
  <c r="V87" i="16"/>
  <c r="X87" i="16" s="1"/>
  <c r="Y87" i="16" s="1"/>
  <c r="W24" i="16"/>
  <c r="W34" i="16"/>
  <c r="W44" i="16"/>
  <c r="W54" i="16"/>
  <c r="W65" i="16"/>
  <c r="W76" i="16"/>
  <c r="W87" i="16"/>
  <c r="V17" i="16"/>
  <c r="X17" i="16" s="1"/>
  <c r="T18" i="16"/>
  <c r="U18" i="16" s="1"/>
  <c r="S19" i="16"/>
  <c r="Z23" i="16"/>
  <c r="AB33" i="16"/>
  <c r="S38" i="16"/>
  <c r="AC38" i="16" s="1"/>
  <c r="V56" i="16"/>
  <c r="X56" i="16" s="1"/>
  <c r="S57" i="16"/>
  <c r="AC57" i="16" s="1"/>
  <c r="V66" i="16"/>
  <c r="X66" i="16" s="1"/>
  <c r="T67" i="16"/>
  <c r="U67" i="16" s="1"/>
  <c r="S68" i="16"/>
  <c r="T79" i="16"/>
  <c r="U79" i="16" s="1"/>
  <c r="W88" i="16"/>
  <c r="V18" i="16"/>
  <c r="X18" i="16" s="1"/>
  <c r="Y18" i="16" s="1"/>
  <c r="Z21" i="16"/>
  <c r="V27" i="16"/>
  <c r="X27" i="16" s="1"/>
  <c r="Y27" i="16" s="1"/>
  <c r="Z30" i="16"/>
  <c r="W36" i="16"/>
  <c r="V37" i="16"/>
  <c r="X37" i="16" s="1"/>
  <c r="Y37" i="16" s="1"/>
  <c r="T38" i="16"/>
  <c r="U38" i="16" s="1"/>
  <c r="V47" i="16"/>
  <c r="X47" i="16" s="1"/>
  <c r="Y47" i="16" s="1"/>
  <c r="Z49" i="16"/>
  <c r="T57" i="16"/>
  <c r="U57" i="16" s="1"/>
  <c r="Z60" i="16"/>
  <c r="V67" i="16"/>
  <c r="X67" i="16" s="1"/>
  <c r="Y67" i="16" s="1"/>
  <c r="T68" i="16"/>
  <c r="U68" i="16" s="1"/>
  <c r="Z71" i="16"/>
  <c r="W78" i="16"/>
  <c r="V79" i="16"/>
  <c r="X79" i="16" s="1"/>
  <c r="Y79" i="16" s="1"/>
  <c r="T80" i="16"/>
  <c r="U80" i="16" s="1"/>
  <c r="W15" i="16"/>
  <c r="T20" i="16"/>
  <c r="U20" i="16" s="1"/>
  <c r="T28" i="16"/>
  <c r="U28" i="16" s="1"/>
  <c r="T39" i="16"/>
  <c r="U39" i="16" s="1"/>
  <c r="T58" i="16"/>
  <c r="U58" i="16" s="1"/>
  <c r="AA65" i="16"/>
  <c r="W67" i="16"/>
  <c r="T69" i="16"/>
  <c r="U69" i="16" s="1"/>
  <c r="W79" i="16"/>
  <c r="V80" i="16"/>
  <c r="X80" i="16" s="1"/>
  <c r="Y80" i="16" s="1"/>
  <c r="AA13" i="16"/>
  <c r="W19" i="16"/>
  <c r="V20" i="16"/>
  <c r="X20" i="16" s="1"/>
  <c r="Y20" i="16" s="1"/>
  <c r="Z22" i="16"/>
  <c r="V28" i="16"/>
  <c r="X28" i="16" s="1"/>
  <c r="Y28" i="16" s="1"/>
  <c r="T29" i="16"/>
  <c r="U29" i="16" s="1"/>
  <c r="Z32" i="16"/>
  <c r="W38" i="16"/>
  <c r="V39" i="16"/>
  <c r="X39" i="16" s="1"/>
  <c r="Y39" i="16" s="1"/>
  <c r="T48" i="16"/>
  <c r="U48" i="16" s="1"/>
  <c r="Z51" i="16"/>
  <c r="W57" i="16"/>
  <c r="V58" i="16"/>
  <c r="X58" i="16" s="1"/>
  <c r="Y58" i="16" s="1"/>
  <c r="T59" i="16"/>
  <c r="U59" i="16" s="1"/>
  <c r="Z62" i="16"/>
  <c r="W68" i="16"/>
  <c r="V69" i="16"/>
  <c r="X69" i="16" s="1"/>
  <c r="Y69" i="16" s="1"/>
  <c r="T70" i="16"/>
  <c r="U70" i="16" s="1"/>
  <c r="Z73" i="16"/>
  <c r="W80" i="16"/>
  <c r="AA23" i="16"/>
  <c r="Z17" i="16"/>
  <c r="Z33" i="16"/>
  <c r="AB17" i="16"/>
  <c r="AC87" i="16"/>
  <c r="AA53" i="16"/>
  <c r="AA74" i="16"/>
  <c r="AC27" i="16"/>
  <c r="Z27" i="16"/>
  <c r="AB74" i="16"/>
  <c r="AB20" i="16"/>
  <c r="AB65" i="16"/>
  <c r="AC81" i="16"/>
  <c r="Z29" i="16"/>
  <c r="AA29" i="16"/>
  <c r="AB51" i="16"/>
  <c r="AB60" i="16"/>
  <c r="AA44" i="16"/>
  <c r="AB37" i="16"/>
  <c r="AB44" i="16"/>
  <c r="AA71" i="16"/>
  <c r="AB87" i="16"/>
  <c r="AB71" i="16"/>
  <c r="AB31" i="16"/>
  <c r="AA38" i="16"/>
  <c r="AA81" i="16"/>
  <c r="AB26" i="16"/>
  <c r="AB81" i="16"/>
  <c r="AC23" i="16"/>
  <c r="AC88" i="16"/>
  <c r="AC84" i="16"/>
  <c r="Z11" i="16"/>
  <c r="AA11" i="16"/>
  <c r="AC15" i="16"/>
  <c r="AB18" i="16"/>
  <c r="AB25" i="16"/>
  <c r="AB30" i="16"/>
  <c r="AB35" i="16"/>
  <c r="AA42" i="16"/>
  <c r="AC53" i="16"/>
  <c r="AA56" i="16"/>
  <c r="AB62" i="16"/>
  <c r="AA84" i="16"/>
  <c r="AC24" i="16"/>
  <c r="AB53" i="16"/>
  <c r="AC71" i="16"/>
  <c r="AB88" i="16"/>
  <c r="AC30" i="16"/>
  <c r="AC12" i="16"/>
  <c r="AA18" i="16"/>
  <c r="Z35" i="16"/>
  <c r="AB69" i="16"/>
  <c r="AC18" i="16"/>
  <c r="AC62" i="16"/>
  <c r="AC48" i="16"/>
  <c r="AC75" i="16"/>
  <c r="AA62" i="16"/>
  <c r="AB42" i="16"/>
  <c r="AC50" i="16"/>
  <c r="AC54" i="16"/>
  <c r="AC59" i="16"/>
  <c r="AC63" i="16"/>
  <c r="AC72" i="16"/>
  <c r="AC77" i="16"/>
  <c r="AC36" i="16"/>
  <c r="AB38" i="16"/>
  <c r="AC41" i="16"/>
  <c r="AA80" i="16"/>
  <c r="AA83" i="16"/>
  <c r="AB85" i="16"/>
  <c r="AB12" i="16"/>
  <c r="AB21" i="16"/>
  <c r="AA26" i="16"/>
  <c r="AA30" i="16"/>
  <c r="AB43" i="16"/>
  <c r="AB48" i="16"/>
  <c r="AB57" i="16"/>
  <c r="AB66" i="16"/>
  <c r="AB75" i="16"/>
  <c r="AB80" i="16"/>
  <c r="AC82" i="16"/>
  <c r="AB83" i="16"/>
  <c r="AC47" i="16"/>
  <c r="AC51" i="16"/>
  <c r="AC74" i="16"/>
  <c r="AB54" i="16"/>
  <c r="AB63" i="16"/>
  <c r="AB72" i="16"/>
  <c r="AC80" i="16"/>
  <c r="AC83" i="16"/>
  <c r="AB84" i="16"/>
  <c r="AC85" i="16"/>
  <c r="AC29" i="16"/>
  <c r="AC33" i="16"/>
  <c r="AC60" i="16"/>
  <c r="AC69" i="16"/>
  <c r="AA14" i="16"/>
  <c r="AB14" i="16"/>
  <c r="AC21" i="16"/>
  <c r="AA32" i="16"/>
  <c r="AA36" i="16"/>
  <c r="Z41" i="16"/>
  <c r="AA45" i="16"/>
  <c r="AA50" i="16"/>
  <c r="AA59" i="16"/>
  <c r="AA68" i="16"/>
  <c r="AA77" i="16"/>
  <c r="AC11" i="16"/>
  <c r="AB19" i="16"/>
  <c r="AB32" i="16"/>
  <c r="AB36" i="16"/>
  <c r="AA41" i="16"/>
  <c r="AB50" i="16"/>
  <c r="AB59" i="16"/>
  <c r="AB68" i="16"/>
  <c r="AB77" i="16"/>
  <c r="AA15" i="16"/>
  <c r="AA24" i="16"/>
  <c r="AC35" i="16"/>
  <c r="AC39" i="16"/>
  <c r="AA82" i="16"/>
  <c r="AC65" i="16"/>
  <c r="AC42" i="16"/>
  <c r="AB15" i="16"/>
  <c r="AB24" i="16"/>
  <c r="AB82" i="16"/>
  <c r="AC37" i="16"/>
  <c r="AC79" i="16"/>
  <c r="AC16" i="16"/>
  <c r="AC22" i="16"/>
  <c r="AC28" i="16"/>
  <c r="AC34" i="16"/>
  <c r="AC40" i="16"/>
  <c r="AC31" i="16"/>
  <c r="AC73" i="16"/>
  <c r="AA12" i="16"/>
  <c r="Z45" i="16"/>
  <c r="AA48" i="16"/>
  <c r="AA51" i="16"/>
  <c r="AA54" i="16"/>
  <c r="AA57" i="16"/>
  <c r="AA60" i="16"/>
  <c r="AA63" i="16"/>
  <c r="AA66" i="16"/>
  <c r="AA69" i="16"/>
  <c r="AA72" i="16"/>
  <c r="AA75" i="16"/>
  <c r="AA78" i="16"/>
  <c r="AC25" i="16"/>
  <c r="AC52" i="16"/>
  <c r="AC64" i="16"/>
  <c r="AB78" i="16"/>
  <c r="AC58" i="16"/>
  <c r="AC76" i="16"/>
  <c r="AC14" i="16"/>
  <c r="AC20" i="16"/>
  <c r="AC44" i="16"/>
  <c r="AC43" i="16"/>
  <c r="AC70" i="16"/>
  <c r="Z13" i="16"/>
  <c r="AA16" i="16"/>
  <c r="Z19" i="16"/>
  <c r="AA22" i="16"/>
  <c r="Z25" i="16"/>
  <c r="AA28" i="16"/>
  <c r="Z31" i="16"/>
  <c r="AA34" i="16"/>
  <c r="Z37" i="16"/>
  <c r="AA40" i="16"/>
  <c r="Z43" i="16"/>
  <c r="AA46" i="16"/>
  <c r="AA49" i="16"/>
  <c r="AA52" i="16"/>
  <c r="AA55" i="16"/>
  <c r="AA58" i="16"/>
  <c r="AA61" i="16"/>
  <c r="AA64" i="16"/>
  <c r="AA67" i="16"/>
  <c r="AA70" i="16"/>
  <c r="AA73" i="16"/>
  <c r="AA76" i="16"/>
  <c r="AA79" i="16"/>
  <c r="AC49" i="16"/>
  <c r="AC55" i="16"/>
  <c r="AC61" i="16"/>
  <c r="AC67" i="16"/>
  <c r="AB16" i="16"/>
  <c r="AB22" i="16"/>
  <c r="AB28" i="16"/>
  <c r="AB34" i="16"/>
  <c r="AB40" i="16"/>
  <c r="AB46" i="16"/>
  <c r="AB49" i="16"/>
  <c r="AB52" i="16"/>
  <c r="AB55" i="16"/>
  <c r="AB58" i="16"/>
  <c r="AB61" i="16"/>
  <c r="AB64" i="16"/>
  <c r="AB67" i="16"/>
  <c r="AB70" i="16"/>
  <c r="AB73" i="16"/>
  <c r="AB76" i="16"/>
  <c r="AB79" i="16"/>
  <c r="Z88" i="16"/>
  <c r="Z86" i="16"/>
  <c r="AA86" i="16"/>
  <c r="Z87" i="16"/>
  <c r="Z85" i="16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L84" i="6"/>
  <c r="BM84" i="6"/>
  <c r="BN84" i="6"/>
  <c r="BO84" i="6"/>
  <c r="BP84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L85" i="6"/>
  <c r="BM85" i="6"/>
  <c r="BN85" i="6"/>
  <c r="BO85" i="6"/>
  <c r="BP85" i="6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BM81" i="8"/>
  <c r="BN81" i="8"/>
  <c r="BO81" i="8"/>
  <c r="BP81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BM82" i="8"/>
  <c r="BN82" i="8"/>
  <c r="BO82" i="8"/>
  <c r="BP82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Y45" i="16" l="1"/>
  <c r="Y78" i="16"/>
  <c r="Y46" i="16"/>
  <c r="X88" i="16"/>
  <c r="Y88" i="16" s="1"/>
  <c r="AC78" i="16"/>
  <c r="Y68" i="16"/>
  <c r="Y13" i="16"/>
  <c r="Y66" i="16"/>
  <c r="Y17" i="16"/>
  <c r="AC26" i="16"/>
  <c r="AC46" i="16"/>
  <c r="Y57" i="16"/>
  <c r="AC68" i="16"/>
  <c r="Y32" i="16"/>
  <c r="Y19" i="16"/>
  <c r="AC19" i="16"/>
  <c r="Y38" i="16"/>
  <c r="Y56" i="16"/>
  <c r="AN39" i="7"/>
  <c r="AM39" i="7"/>
  <c r="AL23" i="8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U61" i="1"/>
  <c r="BV61" i="1"/>
  <c r="BW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U90" i="1"/>
  <c r="BV90" i="1"/>
  <c r="BW90" i="1"/>
  <c r="BR91" i="1"/>
  <c r="BU91" i="1"/>
  <c r="BV91" i="1"/>
  <c r="BW91" i="1"/>
  <c r="BR92" i="1"/>
  <c r="BU92" i="1"/>
  <c r="BV92" i="1"/>
  <c r="BW92" i="1"/>
  <c r="BR93" i="1"/>
  <c r="BU93" i="1"/>
  <c r="BV93" i="1"/>
  <c r="BW93" i="1"/>
  <c r="BR95" i="1"/>
  <c r="BR96" i="1"/>
  <c r="BR97" i="1"/>
  <c r="BR98" i="1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R34" i="6"/>
  <c r="BR35" i="6"/>
  <c r="BR36" i="6"/>
  <c r="BR37" i="6"/>
  <c r="BR38" i="6"/>
  <c r="BR39" i="6"/>
  <c r="BR40" i="6"/>
  <c r="BR41" i="6"/>
  <c r="BR42" i="6"/>
  <c r="BR43" i="6"/>
  <c r="BR44" i="6"/>
  <c r="BR45" i="6"/>
  <c r="BR46" i="6"/>
  <c r="BR47" i="6"/>
  <c r="BR48" i="6"/>
  <c r="BR49" i="6"/>
  <c r="BR50" i="6"/>
  <c r="BR51" i="6"/>
  <c r="BR52" i="6"/>
  <c r="BR53" i="6"/>
  <c r="BR54" i="6"/>
  <c r="BR55" i="6"/>
  <c r="BR56" i="6"/>
  <c r="BR57" i="6"/>
  <c r="BR58" i="6"/>
  <c r="BR59" i="6"/>
  <c r="BR60" i="6"/>
  <c r="BR61" i="6"/>
  <c r="BU61" i="6"/>
  <c r="BV61" i="6"/>
  <c r="BW61" i="6"/>
  <c r="BR62" i="6"/>
  <c r="BR63" i="6"/>
  <c r="BR64" i="6"/>
  <c r="BR65" i="6"/>
  <c r="BR66" i="6"/>
  <c r="BR67" i="6"/>
  <c r="BR68" i="6"/>
  <c r="BR69" i="6"/>
  <c r="BR70" i="6"/>
  <c r="BR71" i="6"/>
  <c r="BR72" i="6"/>
  <c r="BR73" i="6"/>
  <c r="BR74" i="6"/>
  <c r="BR75" i="6"/>
  <c r="BR76" i="6"/>
  <c r="BR77" i="6"/>
  <c r="BR78" i="6"/>
  <c r="BR79" i="6"/>
  <c r="BR80" i="6"/>
  <c r="BR81" i="6"/>
  <c r="BR82" i="6"/>
  <c r="BR83" i="6"/>
  <c r="BR84" i="6"/>
  <c r="BR85" i="6"/>
  <c r="BR86" i="6"/>
  <c r="BR87" i="6"/>
  <c r="BR88" i="6"/>
  <c r="BR89" i="6"/>
  <c r="BR90" i="6"/>
  <c r="BU90" i="6"/>
  <c r="BV90" i="6"/>
  <c r="BW90" i="6"/>
  <c r="BR91" i="6"/>
  <c r="BU91" i="6"/>
  <c r="BV91" i="6"/>
  <c r="BW91" i="6"/>
  <c r="BR92" i="6"/>
  <c r="BU92" i="6"/>
  <c r="BV92" i="6"/>
  <c r="BW92" i="6"/>
  <c r="BR93" i="6"/>
  <c r="BU93" i="6"/>
  <c r="BV93" i="6"/>
  <c r="BW93" i="6"/>
  <c r="BR95" i="6"/>
  <c r="BR96" i="6"/>
  <c r="BR97" i="6"/>
  <c r="BR98" i="6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U61" i="8"/>
  <c r="BV61" i="8"/>
  <c r="BW61" i="8"/>
  <c r="BR62" i="8"/>
  <c r="BR63" i="8"/>
  <c r="BR64" i="8"/>
  <c r="BR65" i="8"/>
  <c r="BR66" i="8"/>
  <c r="BR67" i="8"/>
  <c r="BR68" i="8"/>
  <c r="BR69" i="8"/>
  <c r="BR70" i="8"/>
  <c r="BR71" i="8"/>
  <c r="BR72" i="8"/>
  <c r="BR73" i="8"/>
  <c r="BR74" i="8"/>
  <c r="BR75" i="8"/>
  <c r="BR76" i="8"/>
  <c r="BR77" i="8"/>
  <c r="BR78" i="8"/>
  <c r="BR79" i="8"/>
  <c r="BR80" i="8"/>
  <c r="BR81" i="8"/>
  <c r="BR82" i="8"/>
  <c r="BR83" i="8"/>
  <c r="BR84" i="8"/>
  <c r="BR85" i="8"/>
  <c r="BR86" i="8"/>
  <c r="BR87" i="8"/>
  <c r="BR88" i="8"/>
  <c r="BR89" i="8"/>
  <c r="BR90" i="8"/>
  <c r="BU90" i="8"/>
  <c r="BV90" i="8"/>
  <c r="BW90" i="8"/>
  <c r="BR91" i="8"/>
  <c r="BU91" i="8"/>
  <c r="BV91" i="8"/>
  <c r="BW91" i="8"/>
  <c r="BR92" i="8"/>
  <c r="BU92" i="8"/>
  <c r="BV92" i="8"/>
  <c r="BW92" i="8"/>
  <c r="BR93" i="8"/>
  <c r="BU93" i="8"/>
  <c r="BV93" i="8"/>
  <c r="BW93" i="8"/>
  <c r="BR95" i="8"/>
  <c r="BR96" i="8"/>
  <c r="BR97" i="8"/>
  <c r="BR98" i="8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U61" i="7"/>
  <c r="BV61" i="7"/>
  <c r="BW61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76" i="7"/>
  <c r="BR77" i="7"/>
  <c r="BR78" i="7"/>
  <c r="BR79" i="7"/>
  <c r="BR80" i="7"/>
  <c r="BR81" i="7"/>
  <c r="BR82" i="7"/>
  <c r="BR83" i="7"/>
  <c r="BR84" i="7"/>
  <c r="BR85" i="7"/>
  <c r="BR86" i="7"/>
  <c r="BR87" i="7"/>
  <c r="BR88" i="7"/>
  <c r="BR89" i="7"/>
  <c r="BR90" i="7"/>
  <c r="BU90" i="7"/>
  <c r="BV90" i="7"/>
  <c r="BW90" i="7"/>
  <c r="BR91" i="7"/>
  <c r="BU91" i="7"/>
  <c r="BV91" i="7"/>
  <c r="BW91" i="7"/>
  <c r="BR92" i="7"/>
  <c r="BU92" i="7"/>
  <c r="BV92" i="7"/>
  <c r="BW92" i="7"/>
  <c r="BR93" i="7"/>
  <c r="BU93" i="7"/>
  <c r="BV93" i="7"/>
  <c r="BW93" i="7"/>
  <c r="BR95" i="7"/>
  <c r="BR96" i="7"/>
  <c r="BR97" i="7"/>
  <c r="BR98" i="7"/>
  <c r="BR11" i="7"/>
  <c r="BR11" i="1"/>
  <c r="BR11" i="6"/>
  <c r="BR11" i="8"/>
  <c r="I22" i="8" l="1"/>
  <c r="I24" i="8"/>
  <c r="H26" i="8"/>
  <c r="I26" i="6"/>
  <c r="I28" i="1"/>
  <c r="H30" i="6"/>
  <c r="H32" i="8"/>
  <c r="I32" i="6"/>
  <c r="I34" i="7"/>
  <c r="H38" i="8"/>
  <c r="I38" i="6"/>
  <c r="I40" i="7"/>
  <c r="I41" i="8"/>
  <c r="H42" i="1"/>
  <c r="H43" i="8"/>
  <c r="I43" i="1"/>
  <c r="H44" i="8"/>
  <c r="I44" i="6"/>
  <c r="I46" i="6"/>
  <c r="I47" i="6"/>
  <c r="H48" i="6"/>
  <c r="H49" i="7"/>
  <c r="H50" i="8"/>
  <c r="I50" i="6"/>
  <c r="I52" i="1"/>
  <c r="H54" i="6"/>
  <c r="I55" i="7"/>
  <c r="H56" i="8"/>
  <c r="I56" i="6"/>
  <c r="I58" i="8"/>
  <c r="H61" i="7"/>
  <c r="H62" i="1"/>
  <c r="I62" i="1"/>
  <c r="H65" i="8"/>
  <c r="I65" i="1"/>
  <c r="H66" i="8"/>
  <c r="I66" i="6"/>
  <c r="I67" i="7"/>
  <c r="H72" i="8"/>
  <c r="I72" i="6"/>
  <c r="H73" i="8"/>
  <c r="H74" i="8"/>
  <c r="I74" i="8"/>
  <c r="H76" i="6"/>
  <c r="H78" i="8"/>
  <c r="I78" i="6"/>
  <c r="H79" i="6"/>
  <c r="I79" i="6"/>
  <c r="H80" i="8"/>
  <c r="I82" i="6"/>
  <c r="H84" i="8"/>
  <c r="I84" i="6"/>
  <c r="H85" i="8"/>
  <c r="I85" i="8"/>
  <c r="H86" i="7"/>
  <c r="I86" i="7"/>
  <c r="H90" i="8"/>
  <c r="I90" i="6"/>
  <c r="H92" i="8"/>
  <c r="I93" i="1"/>
  <c r="I95" i="6"/>
  <c r="H96" i="7"/>
  <c r="I96" i="7"/>
  <c r="H97" i="8"/>
  <c r="I97" i="6"/>
  <c r="H98" i="7"/>
  <c r="I98" i="8"/>
  <c r="I11" i="1"/>
  <c r="H11" i="7"/>
  <c r="H21" i="6"/>
  <c r="I21" i="6"/>
  <c r="H22" i="6"/>
  <c r="I22" i="6"/>
  <c r="H23" i="6"/>
  <c r="I23" i="6"/>
  <c r="H24" i="6"/>
  <c r="I24" i="6"/>
  <c r="H27" i="6"/>
  <c r="I27" i="6"/>
  <c r="H28" i="6"/>
  <c r="H29" i="6"/>
  <c r="I29" i="6"/>
  <c r="I30" i="6"/>
  <c r="H33" i="6"/>
  <c r="I33" i="6"/>
  <c r="H34" i="6"/>
  <c r="H35" i="6"/>
  <c r="I36" i="6"/>
  <c r="H39" i="6"/>
  <c r="I39" i="6"/>
  <c r="H40" i="6"/>
  <c r="H41" i="6"/>
  <c r="H45" i="6"/>
  <c r="I45" i="6"/>
  <c r="H46" i="6"/>
  <c r="H47" i="6"/>
  <c r="I48" i="6"/>
  <c r="H51" i="6"/>
  <c r="I51" i="6"/>
  <c r="H52" i="6"/>
  <c r="H53" i="6"/>
  <c r="I53" i="6"/>
  <c r="I54" i="6"/>
  <c r="H57" i="6"/>
  <c r="I57" i="6"/>
  <c r="H58" i="6"/>
  <c r="I58" i="6"/>
  <c r="H59" i="6"/>
  <c r="I60" i="6"/>
  <c r="H62" i="6"/>
  <c r="H63" i="6"/>
  <c r="H68" i="6"/>
  <c r="H69" i="6"/>
  <c r="I69" i="6"/>
  <c r="H70" i="6"/>
  <c r="I70" i="6"/>
  <c r="H75" i="6"/>
  <c r="I75" i="6"/>
  <c r="I76" i="6"/>
  <c r="H81" i="6"/>
  <c r="H86" i="6"/>
  <c r="I86" i="6"/>
  <c r="H87" i="6"/>
  <c r="H91" i="6"/>
  <c r="H93" i="6"/>
  <c r="I93" i="6"/>
  <c r="H95" i="6"/>
  <c r="H21" i="8"/>
  <c r="I21" i="8"/>
  <c r="H22" i="8"/>
  <c r="H23" i="8"/>
  <c r="I23" i="8"/>
  <c r="H25" i="8"/>
  <c r="H27" i="8"/>
  <c r="I27" i="8"/>
  <c r="H28" i="8"/>
  <c r="H29" i="8"/>
  <c r="I29" i="8"/>
  <c r="H33" i="8"/>
  <c r="I33" i="8"/>
  <c r="H34" i="8"/>
  <c r="H35" i="8"/>
  <c r="H39" i="8"/>
  <c r="I39" i="8"/>
  <c r="H40" i="8"/>
  <c r="H41" i="8"/>
  <c r="H45" i="8"/>
  <c r="I45" i="8"/>
  <c r="H46" i="8"/>
  <c r="H47" i="8"/>
  <c r="H51" i="8"/>
  <c r="I51" i="8"/>
  <c r="H52" i="8"/>
  <c r="H53" i="8"/>
  <c r="H57" i="8"/>
  <c r="I57" i="8"/>
  <c r="H58" i="8"/>
  <c r="H59" i="8"/>
  <c r="I59" i="8"/>
  <c r="H61" i="8"/>
  <c r="H63" i="8"/>
  <c r="I63" i="8"/>
  <c r="H68" i="8"/>
  <c r="I68" i="8"/>
  <c r="H69" i="8"/>
  <c r="H75" i="8"/>
  <c r="I75" i="8"/>
  <c r="H77" i="8"/>
  <c r="H81" i="8"/>
  <c r="I81" i="8"/>
  <c r="H86" i="8"/>
  <c r="I86" i="8"/>
  <c r="H87" i="8"/>
  <c r="H93" i="8"/>
  <c r="I93" i="8"/>
  <c r="H96" i="8"/>
  <c r="H21" i="1"/>
  <c r="I21" i="1"/>
  <c r="H22" i="1"/>
  <c r="H23" i="1"/>
  <c r="H24" i="1"/>
  <c r="H27" i="1"/>
  <c r="I27" i="1"/>
  <c r="H28" i="1"/>
  <c r="H29" i="1"/>
  <c r="H33" i="1"/>
  <c r="I33" i="1"/>
  <c r="H34" i="1"/>
  <c r="H35" i="1"/>
  <c r="H39" i="1"/>
  <c r="I39" i="1"/>
  <c r="H40" i="1"/>
  <c r="I40" i="1"/>
  <c r="H41" i="1"/>
  <c r="H45" i="1"/>
  <c r="I45" i="1"/>
  <c r="H46" i="1"/>
  <c r="H47" i="1"/>
  <c r="H51" i="1"/>
  <c r="I51" i="1"/>
  <c r="H52" i="1"/>
  <c r="H53" i="1"/>
  <c r="H57" i="1"/>
  <c r="I57" i="1"/>
  <c r="H58" i="1"/>
  <c r="H59" i="1"/>
  <c r="H63" i="1"/>
  <c r="H64" i="1"/>
  <c r="H68" i="1"/>
  <c r="I68" i="1"/>
  <c r="H69" i="1"/>
  <c r="H70" i="1"/>
  <c r="H75" i="1"/>
  <c r="H80" i="1"/>
  <c r="H81" i="1"/>
  <c r="H87" i="1"/>
  <c r="H88" i="1"/>
  <c r="I89" i="1"/>
  <c r="H93" i="1"/>
  <c r="H95" i="1"/>
  <c r="H21" i="7"/>
  <c r="I21" i="7"/>
  <c r="H22" i="7"/>
  <c r="H23" i="7"/>
  <c r="I24" i="7"/>
  <c r="H27" i="7"/>
  <c r="I27" i="7"/>
  <c r="H28" i="7"/>
  <c r="H29" i="7"/>
  <c r="H33" i="7"/>
  <c r="I33" i="7"/>
  <c r="H34" i="7"/>
  <c r="H35" i="7"/>
  <c r="H39" i="7"/>
  <c r="I39" i="7"/>
  <c r="H40" i="7"/>
  <c r="H41" i="7"/>
  <c r="I42" i="7"/>
  <c r="H45" i="7"/>
  <c r="I45" i="7"/>
  <c r="H46" i="7"/>
  <c r="I46" i="7"/>
  <c r="H47" i="7"/>
  <c r="I48" i="7"/>
  <c r="H51" i="7"/>
  <c r="I51" i="7"/>
  <c r="H52" i="7"/>
  <c r="H53" i="7"/>
  <c r="I54" i="7"/>
  <c r="H55" i="7"/>
  <c r="H56" i="7"/>
  <c r="H57" i="7"/>
  <c r="I57" i="7"/>
  <c r="H58" i="7"/>
  <c r="H59" i="7"/>
  <c r="I60" i="7"/>
  <c r="H63" i="7"/>
  <c r="H67" i="7"/>
  <c r="H68" i="7"/>
  <c r="I68" i="7"/>
  <c r="H69" i="7"/>
  <c r="H73" i="7"/>
  <c r="H75" i="7"/>
  <c r="H79" i="7"/>
  <c r="H81" i="7"/>
  <c r="I82" i="7"/>
  <c r="H83" i="7"/>
  <c r="I83" i="7"/>
  <c r="H87" i="7"/>
  <c r="I88" i="7"/>
  <c r="H89" i="7"/>
  <c r="I89" i="7"/>
  <c r="I90" i="7"/>
  <c r="H91" i="7"/>
  <c r="H92" i="7"/>
  <c r="I92" i="7"/>
  <c r="H93" i="7"/>
  <c r="I93" i="7"/>
  <c r="I95" i="7"/>
  <c r="I11" i="6"/>
  <c r="I11" i="7"/>
  <c r="H332" i="15"/>
  <c r="G332" i="15"/>
  <c r="H331" i="15"/>
  <c r="G331" i="15"/>
  <c r="H330" i="15"/>
  <c r="G330" i="15"/>
  <c r="H329" i="15"/>
  <c r="G329" i="15"/>
  <c r="H328" i="15"/>
  <c r="G328" i="15"/>
  <c r="H327" i="15"/>
  <c r="G327" i="15"/>
  <c r="H326" i="15"/>
  <c r="G326" i="15"/>
  <c r="H325" i="15"/>
  <c r="G325" i="15"/>
  <c r="H324" i="15"/>
  <c r="G324" i="15"/>
  <c r="H323" i="15"/>
  <c r="G323" i="15"/>
  <c r="H322" i="15"/>
  <c r="G322" i="15"/>
  <c r="H321" i="15"/>
  <c r="G321" i="15"/>
  <c r="H320" i="15"/>
  <c r="G320" i="15"/>
  <c r="H319" i="15"/>
  <c r="G319" i="15"/>
  <c r="H318" i="15"/>
  <c r="G318" i="15"/>
  <c r="H317" i="15"/>
  <c r="G317" i="15"/>
  <c r="H316" i="15"/>
  <c r="G316" i="15"/>
  <c r="H315" i="15"/>
  <c r="G315" i="15"/>
  <c r="H314" i="15"/>
  <c r="G314" i="15"/>
  <c r="H313" i="15"/>
  <c r="G313" i="15"/>
  <c r="H312" i="15"/>
  <c r="G312" i="15"/>
  <c r="H311" i="15"/>
  <c r="G311" i="15"/>
  <c r="H310" i="15"/>
  <c r="G310" i="15"/>
  <c r="H309" i="15"/>
  <c r="G309" i="15"/>
  <c r="H308" i="15"/>
  <c r="G308" i="15"/>
  <c r="H307" i="15"/>
  <c r="G307" i="15"/>
  <c r="H306" i="15"/>
  <c r="G306" i="15"/>
  <c r="H305" i="15"/>
  <c r="G305" i="15"/>
  <c r="H304" i="15"/>
  <c r="G304" i="15"/>
  <c r="H303" i="15"/>
  <c r="G303" i="15"/>
  <c r="H302" i="15"/>
  <c r="G302" i="15"/>
  <c r="H301" i="15"/>
  <c r="G301" i="15"/>
  <c r="H300" i="15"/>
  <c r="G300" i="15"/>
  <c r="H299" i="15"/>
  <c r="G299" i="15"/>
  <c r="H298" i="15"/>
  <c r="G298" i="15"/>
  <c r="H297" i="15"/>
  <c r="G297" i="15"/>
  <c r="H296" i="15"/>
  <c r="G296" i="15"/>
  <c r="H295" i="15"/>
  <c r="G295" i="15"/>
  <c r="H294" i="15"/>
  <c r="G294" i="15"/>
  <c r="H293" i="15"/>
  <c r="G293" i="15"/>
  <c r="H292" i="15"/>
  <c r="G292" i="15"/>
  <c r="H291" i="15"/>
  <c r="G291" i="15"/>
  <c r="H290" i="15"/>
  <c r="G290" i="15"/>
  <c r="H289" i="15"/>
  <c r="G289" i="15"/>
  <c r="H288" i="15"/>
  <c r="G288" i="15"/>
  <c r="H287" i="15"/>
  <c r="G287" i="15"/>
  <c r="H286" i="15"/>
  <c r="G286" i="15"/>
  <c r="H285" i="15"/>
  <c r="G285" i="15"/>
  <c r="H284" i="15"/>
  <c r="G284" i="15"/>
  <c r="H283" i="15"/>
  <c r="G283" i="15"/>
  <c r="H282" i="15"/>
  <c r="G282" i="15"/>
  <c r="H281" i="15"/>
  <c r="G281" i="15"/>
  <c r="H280" i="15"/>
  <c r="G280" i="15"/>
  <c r="H279" i="15"/>
  <c r="G279" i="15"/>
  <c r="H278" i="15"/>
  <c r="G278" i="15"/>
  <c r="H277" i="15"/>
  <c r="G277" i="15"/>
  <c r="H276" i="15"/>
  <c r="G276" i="15"/>
  <c r="H275" i="15"/>
  <c r="G275" i="15"/>
  <c r="H274" i="15"/>
  <c r="G274" i="15"/>
  <c r="H273" i="15"/>
  <c r="G273" i="15"/>
  <c r="H272" i="15"/>
  <c r="G272" i="15"/>
  <c r="H271" i="15"/>
  <c r="G271" i="15"/>
  <c r="H270" i="15"/>
  <c r="G270" i="15"/>
  <c r="H269" i="15"/>
  <c r="G269" i="15"/>
  <c r="H268" i="15"/>
  <c r="G268" i="15"/>
  <c r="H267" i="15"/>
  <c r="G267" i="15"/>
  <c r="H266" i="15"/>
  <c r="G266" i="15"/>
  <c r="H265" i="15"/>
  <c r="G265" i="15"/>
  <c r="H264" i="15"/>
  <c r="G264" i="15"/>
  <c r="H263" i="15"/>
  <c r="G263" i="15"/>
  <c r="H262" i="15"/>
  <c r="G262" i="15"/>
  <c r="H261" i="15"/>
  <c r="G261" i="15"/>
  <c r="H260" i="15"/>
  <c r="G260" i="15"/>
  <c r="H259" i="15"/>
  <c r="G259" i="15"/>
  <c r="H258" i="15"/>
  <c r="G258" i="15"/>
  <c r="H257" i="15"/>
  <c r="G257" i="15"/>
  <c r="H256" i="15"/>
  <c r="G256" i="15"/>
  <c r="H255" i="15"/>
  <c r="G255" i="15"/>
  <c r="H254" i="15"/>
  <c r="G254" i="15"/>
  <c r="H253" i="15"/>
  <c r="G253" i="15"/>
  <c r="H252" i="15"/>
  <c r="G252" i="15"/>
  <c r="H251" i="15"/>
  <c r="G251" i="15"/>
  <c r="H250" i="15"/>
  <c r="G250" i="15"/>
  <c r="H249" i="15"/>
  <c r="G249" i="15"/>
  <c r="H248" i="15"/>
  <c r="G248" i="15"/>
  <c r="H247" i="15"/>
  <c r="G247" i="15"/>
  <c r="H246" i="15"/>
  <c r="G246" i="15"/>
  <c r="H245" i="15"/>
  <c r="G245" i="15"/>
  <c r="H244" i="15"/>
  <c r="G244" i="15"/>
  <c r="H243" i="15"/>
  <c r="G243" i="15"/>
  <c r="H242" i="15"/>
  <c r="G242" i="15"/>
  <c r="H241" i="15"/>
  <c r="G241" i="15"/>
  <c r="H240" i="15"/>
  <c r="G240" i="15"/>
  <c r="H239" i="15"/>
  <c r="G239" i="15"/>
  <c r="H238" i="15"/>
  <c r="G238" i="15"/>
  <c r="H237" i="15"/>
  <c r="G237" i="15"/>
  <c r="H236" i="15"/>
  <c r="G236" i="15"/>
  <c r="H235" i="15"/>
  <c r="G235" i="15"/>
  <c r="H234" i="15"/>
  <c r="G234" i="15"/>
  <c r="H233" i="15"/>
  <c r="G233" i="15"/>
  <c r="H232" i="15"/>
  <c r="G232" i="15"/>
  <c r="H231" i="15"/>
  <c r="G231" i="15"/>
  <c r="H230" i="15"/>
  <c r="G230" i="15"/>
  <c r="H229" i="15"/>
  <c r="G229" i="15"/>
  <c r="H228" i="15"/>
  <c r="G228" i="15"/>
  <c r="H227" i="15"/>
  <c r="G227" i="15"/>
  <c r="H226" i="15"/>
  <c r="G226" i="15"/>
  <c r="H225" i="15"/>
  <c r="G225" i="15"/>
  <c r="H224" i="15"/>
  <c r="G224" i="15"/>
  <c r="H223" i="15"/>
  <c r="G223" i="15"/>
  <c r="H222" i="15"/>
  <c r="G222" i="15"/>
  <c r="H221" i="15"/>
  <c r="G221" i="15"/>
  <c r="H220" i="15"/>
  <c r="G220" i="15"/>
  <c r="H219" i="15"/>
  <c r="G219" i="15"/>
  <c r="H218" i="15"/>
  <c r="G218" i="15"/>
  <c r="H217" i="15"/>
  <c r="G217" i="15"/>
  <c r="H216" i="15"/>
  <c r="G216" i="15"/>
  <c r="H215" i="15"/>
  <c r="G215" i="15"/>
  <c r="H214" i="15"/>
  <c r="G214" i="15"/>
  <c r="H213" i="15"/>
  <c r="G213" i="15"/>
  <c r="H212" i="15"/>
  <c r="G212" i="15"/>
  <c r="H211" i="15"/>
  <c r="G211" i="15"/>
  <c r="H210" i="15"/>
  <c r="G210" i="15"/>
  <c r="H209" i="15"/>
  <c r="G209" i="15"/>
  <c r="H208" i="15"/>
  <c r="G208" i="15"/>
  <c r="H207" i="15"/>
  <c r="G207" i="15"/>
  <c r="H206" i="15"/>
  <c r="G206" i="15"/>
  <c r="H205" i="15"/>
  <c r="G205" i="15"/>
  <c r="H204" i="15"/>
  <c r="G204" i="15"/>
  <c r="H203" i="15"/>
  <c r="G203" i="15"/>
  <c r="H202" i="15"/>
  <c r="G202" i="15"/>
  <c r="H201" i="15"/>
  <c r="G201" i="15"/>
  <c r="H200" i="15"/>
  <c r="G200" i="15"/>
  <c r="H199" i="15"/>
  <c r="G199" i="15"/>
  <c r="H198" i="15"/>
  <c r="G198" i="15"/>
  <c r="H197" i="15"/>
  <c r="G197" i="15"/>
  <c r="H196" i="15"/>
  <c r="G196" i="15"/>
  <c r="H195" i="15"/>
  <c r="G195" i="15"/>
  <c r="H194" i="15"/>
  <c r="G194" i="15"/>
  <c r="H193" i="15"/>
  <c r="G193" i="15"/>
  <c r="H192" i="15"/>
  <c r="G192" i="15"/>
  <c r="H191" i="15"/>
  <c r="G191" i="15"/>
  <c r="H190" i="15"/>
  <c r="G190" i="15"/>
  <c r="H189" i="15"/>
  <c r="G189" i="15"/>
  <c r="H188" i="15"/>
  <c r="G188" i="15"/>
  <c r="H187" i="15"/>
  <c r="G187" i="15"/>
  <c r="H186" i="15"/>
  <c r="G186" i="15"/>
  <c r="H185" i="15"/>
  <c r="G185" i="15"/>
  <c r="H184" i="15"/>
  <c r="G184" i="15"/>
  <c r="H183" i="15"/>
  <c r="G183" i="15"/>
  <c r="H182" i="15"/>
  <c r="G182" i="15"/>
  <c r="H181" i="15"/>
  <c r="G181" i="15"/>
  <c r="H180" i="15"/>
  <c r="G180" i="15"/>
  <c r="H179" i="15"/>
  <c r="G179" i="15"/>
  <c r="H178" i="15"/>
  <c r="G178" i="15"/>
  <c r="H177" i="15"/>
  <c r="G177" i="15"/>
  <c r="H176" i="15"/>
  <c r="G176" i="15"/>
  <c r="H175" i="15"/>
  <c r="G175" i="15"/>
  <c r="H174" i="15"/>
  <c r="G174" i="15"/>
  <c r="H173" i="15"/>
  <c r="G173" i="15"/>
  <c r="H172" i="15"/>
  <c r="G172" i="15"/>
  <c r="H171" i="15"/>
  <c r="G171" i="15"/>
  <c r="H170" i="15"/>
  <c r="G170" i="15"/>
  <c r="H169" i="15"/>
  <c r="G169" i="15"/>
  <c r="H168" i="15"/>
  <c r="G168" i="15"/>
  <c r="H167" i="15"/>
  <c r="G167" i="15"/>
  <c r="H166" i="15"/>
  <c r="G166" i="15"/>
  <c r="H165" i="15"/>
  <c r="G165" i="15"/>
  <c r="H164" i="15"/>
  <c r="G164" i="15"/>
  <c r="H163" i="15"/>
  <c r="G163" i="15"/>
  <c r="H162" i="15"/>
  <c r="G162" i="15"/>
  <c r="H161" i="15"/>
  <c r="G161" i="15"/>
  <c r="H160" i="15"/>
  <c r="G160" i="15"/>
  <c r="H159" i="15"/>
  <c r="G159" i="15"/>
  <c r="H158" i="15"/>
  <c r="G158" i="15"/>
  <c r="H157" i="15"/>
  <c r="G157" i="15"/>
  <c r="H156" i="15"/>
  <c r="G156" i="15"/>
  <c r="H155" i="15"/>
  <c r="G155" i="15"/>
  <c r="H154" i="15"/>
  <c r="G154" i="15"/>
  <c r="H153" i="15"/>
  <c r="G153" i="15"/>
  <c r="H152" i="15"/>
  <c r="G152" i="15"/>
  <c r="H151" i="15"/>
  <c r="G151" i="15"/>
  <c r="H150" i="15"/>
  <c r="G150" i="15"/>
  <c r="H149" i="15"/>
  <c r="G149" i="15"/>
  <c r="H148" i="15"/>
  <c r="G148" i="15"/>
  <c r="H147" i="15"/>
  <c r="G147" i="15"/>
  <c r="H146" i="15"/>
  <c r="G146" i="15"/>
  <c r="H145" i="15"/>
  <c r="G145" i="15"/>
  <c r="H144" i="15"/>
  <c r="G144" i="15"/>
  <c r="H143" i="15"/>
  <c r="G143" i="15"/>
  <c r="H142" i="15"/>
  <c r="G142" i="15"/>
  <c r="H141" i="15"/>
  <c r="G141" i="15"/>
  <c r="H140" i="15"/>
  <c r="G140" i="15"/>
  <c r="H139" i="15"/>
  <c r="G139" i="15"/>
  <c r="H138" i="15"/>
  <c r="G138" i="15"/>
  <c r="H137" i="15"/>
  <c r="G137" i="15"/>
  <c r="H136" i="15"/>
  <c r="G136" i="15"/>
  <c r="H135" i="15"/>
  <c r="G135" i="15"/>
  <c r="H134" i="15"/>
  <c r="G134" i="15"/>
  <c r="H133" i="15"/>
  <c r="G133" i="15"/>
  <c r="H132" i="15"/>
  <c r="G132" i="15"/>
  <c r="H131" i="15"/>
  <c r="G131" i="15"/>
  <c r="H130" i="15"/>
  <c r="G130" i="15"/>
  <c r="H129" i="15"/>
  <c r="G129" i="15"/>
  <c r="H128" i="15"/>
  <c r="G128" i="15"/>
  <c r="H127" i="15"/>
  <c r="G127" i="15"/>
  <c r="H126" i="15"/>
  <c r="G126" i="15"/>
  <c r="H125" i="15"/>
  <c r="G125" i="15"/>
  <c r="H124" i="15"/>
  <c r="G124" i="15"/>
  <c r="H123" i="15"/>
  <c r="G123" i="15"/>
  <c r="H122" i="15"/>
  <c r="G122" i="15"/>
  <c r="H121" i="15"/>
  <c r="G121" i="15"/>
  <c r="H120" i="15"/>
  <c r="G120" i="15"/>
  <c r="H119" i="15"/>
  <c r="G119" i="15"/>
  <c r="H118" i="15"/>
  <c r="G118" i="15"/>
  <c r="H117" i="15"/>
  <c r="G117" i="15"/>
  <c r="H116" i="15"/>
  <c r="G116" i="15"/>
  <c r="H115" i="15"/>
  <c r="G115" i="15"/>
  <c r="H114" i="15"/>
  <c r="G114" i="15"/>
  <c r="H113" i="15"/>
  <c r="G113" i="15"/>
  <c r="H112" i="15"/>
  <c r="G112" i="15"/>
  <c r="H111" i="15"/>
  <c r="G111" i="15"/>
  <c r="H110" i="15"/>
  <c r="G110" i="15"/>
  <c r="H109" i="15"/>
  <c r="G109" i="15"/>
  <c r="H108" i="15"/>
  <c r="G108" i="15"/>
  <c r="H107" i="15"/>
  <c r="G107" i="15"/>
  <c r="H106" i="15"/>
  <c r="G106" i="15"/>
  <c r="H105" i="15"/>
  <c r="G105" i="15"/>
  <c r="H104" i="15"/>
  <c r="G104" i="15"/>
  <c r="H103" i="15"/>
  <c r="G103" i="15"/>
  <c r="H102" i="15"/>
  <c r="G102" i="15"/>
  <c r="H101" i="15"/>
  <c r="G101" i="15"/>
  <c r="H100" i="15"/>
  <c r="G100" i="15"/>
  <c r="H99" i="15"/>
  <c r="G99" i="15"/>
  <c r="H98" i="15"/>
  <c r="G98" i="15"/>
  <c r="H97" i="15"/>
  <c r="G97" i="15"/>
  <c r="H96" i="15"/>
  <c r="G96" i="15"/>
  <c r="H95" i="15"/>
  <c r="G95" i="15"/>
  <c r="H93" i="15"/>
  <c r="G93" i="15"/>
  <c r="H92" i="15"/>
  <c r="G92" i="15"/>
  <c r="H91" i="15"/>
  <c r="G91" i="15"/>
  <c r="H90" i="15"/>
  <c r="G90" i="15"/>
  <c r="H89" i="15"/>
  <c r="G89" i="15"/>
  <c r="H88" i="15"/>
  <c r="G88" i="15"/>
  <c r="H87" i="15"/>
  <c r="G87" i="15"/>
  <c r="H86" i="15"/>
  <c r="G86" i="15"/>
  <c r="H85" i="15"/>
  <c r="G85" i="15"/>
  <c r="H84" i="15"/>
  <c r="G84" i="15"/>
  <c r="H83" i="15"/>
  <c r="G83" i="15"/>
  <c r="H82" i="15"/>
  <c r="G82" i="15"/>
  <c r="H81" i="15"/>
  <c r="G81" i="15"/>
  <c r="H80" i="15"/>
  <c r="G80" i="15"/>
  <c r="H79" i="15"/>
  <c r="G79" i="15"/>
  <c r="H78" i="15"/>
  <c r="G78" i="15"/>
  <c r="H77" i="15"/>
  <c r="G77" i="15"/>
  <c r="H76" i="15"/>
  <c r="G76" i="15"/>
  <c r="H75" i="15"/>
  <c r="G75" i="15"/>
  <c r="H74" i="15"/>
  <c r="G74" i="15"/>
  <c r="H73" i="15"/>
  <c r="G73" i="15"/>
  <c r="H72" i="15"/>
  <c r="G72" i="15"/>
  <c r="H71" i="15"/>
  <c r="G71" i="15"/>
  <c r="H70" i="15"/>
  <c r="G70" i="15"/>
  <c r="H69" i="15"/>
  <c r="G69" i="15"/>
  <c r="H68" i="15"/>
  <c r="G68" i="15"/>
  <c r="H67" i="15"/>
  <c r="G67" i="15"/>
  <c r="H66" i="15"/>
  <c r="G66" i="15"/>
  <c r="H65" i="15"/>
  <c r="G65" i="15"/>
  <c r="H64" i="15"/>
  <c r="G64" i="15"/>
  <c r="H63" i="15"/>
  <c r="G63" i="15"/>
  <c r="H62" i="15"/>
  <c r="G62" i="15"/>
  <c r="H61" i="15"/>
  <c r="G61" i="15"/>
  <c r="H60" i="15"/>
  <c r="G60" i="15"/>
  <c r="H59" i="15"/>
  <c r="G59" i="15"/>
  <c r="H58" i="15"/>
  <c r="G58" i="15"/>
  <c r="H57" i="15"/>
  <c r="G57" i="15"/>
  <c r="H56" i="15"/>
  <c r="G56" i="15"/>
  <c r="H55" i="15"/>
  <c r="G55" i="15"/>
  <c r="H54" i="15"/>
  <c r="G54" i="15"/>
  <c r="H53" i="15"/>
  <c r="G53" i="15"/>
  <c r="H52" i="15"/>
  <c r="G52" i="15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H26" i="15"/>
  <c r="G26" i="15"/>
  <c r="H25" i="15"/>
  <c r="G25" i="15"/>
  <c r="H24" i="15"/>
  <c r="G24" i="15"/>
  <c r="H23" i="15"/>
  <c r="G23" i="15"/>
  <c r="H22" i="15"/>
  <c r="G22" i="15"/>
  <c r="H21" i="15"/>
  <c r="G21" i="15"/>
  <c r="H11" i="15"/>
  <c r="G11" i="15"/>
  <c r="I68" i="6" l="1"/>
  <c r="H11" i="8"/>
  <c r="H66" i="1"/>
  <c r="I11" i="8"/>
  <c r="I80" i="7"/>
  <c r="I62" i="7"/>
  <c r="H86" i="1"/>
  <c r="I80" i="8"/>
  <c r="I62" i="8"/>
  <c r="I47" i="8"/>
  <c r="H80" i="6"/>
  <c r="I86" i="1"/>
  <c r="I80" i="6"/>
  <c r="H11" i="6"/>
  <c r="H90" i="7"/>
  <c r="H80" i="7"/>
  <c r="H62" i="7"/>
  <c r="H48" i="1"/>
  <c r="H62" i="8"/>
  <c r="I62" i="6"/>
  <c r="I80" i="1"/>
  <c r="I74" i="7"/>
  <c r="I92" i="6"/>
  <c r="I74" i="6"/>
  <c r="H74" i="7"/>
  <c r="I92" i="1"/>
  <c r="I74" i="1"/>
  <c r="I92" i="8"/>
  <c r="H92" i="6"/>
  <c r="H74" i="6"/>
  <c r="H92" i="1"/>
  <c r="H74" i="1"/>
  <c r="H44" i="1"/>
  <c r="H11" i="1"/>
  <c r="I56" i="7"/>
  <c r="H90" i="1"/>
  <c r="BS32" i="7"/>
  <c r="BS32" i="8"/>
  <c r="BS32" i="6"/>
  <c r="BS32" i="1"/>
  <c r="BT98" i="1"/>
  <c r="BT98" i="8"/>
  <c r="BT98" i="7"/>
  <c r="BT98" i="6"/>
  <c r="BS30" i="7"/>
  <c r="BS30" i="8"/>
  <c r="BS30" i="6"/>
  <c r="BS30" i="1"/>
  <c r="BT81" i="1"/>
  <c r="BT81" i="8"/>
  <c r="BT81" i="6"/>
  <c r="BT81" i="7"/>
  <c r="BS34" i="1"/>
  <c r="BS34" i="7"/>
  <c r="BS34" i="8"/>
  <c r="BS34" i="6"/>
  <c r="BT51" i="6"/>
  <c r="BT51" i="7"/>
  <c r="BT51" i="8"/>
  <c r="BT51" i="1"/>
  <c r="BS68" i="1"/>
  <c r="BS68" i="8"/>
  <c r="BS68" i="6"/>
  <c r="BS68" i="7"/>
  <c r="BT85" i="1"/>
  <c r="BT85" i="8"/>
  <c r="BT85" i="7"/>
  <c r="BT85" i="6"/>
  <c r="BT34" i="1"/>
  <c r="BT34" i="8"/>
  <c r="BT34" i="6"/>
  <c r="BT34" i="7"/>
  <c r="BT37" i="1"/>
  <c r="BT37" i="8"/>
  <c r="BT37" i="6"/>
  <c r="BT37" i="7"/>
  <c r="BS41" i="1"/>
  <c r="BS41" i="8"/>
  <c r="BS41" i="6"/>
  <c r="BS41" i="7"/>
  <c r="BT44" i="6"/>
  <c r="BT44" i="7"/>
  <c r="BT44" i="8"/>
  <c r="BT44" i="1"/>
  <c r="BT58" i="1"/>
  <c r="BT58" i="8"/>
  <c r="BT58" i="6"/>
  <c r="BT58" i="7"/>
  <c r="BT61" i="1"/>
  <c r="BT61" i="8"/>
  <c r="BT61" i="7"/>
  <c r="BT61" i="6"/>
  <c r="BT68" i="1"/>
  <c r="BT68" i="8"/>
  <c r="BT68" i="7"/>
  <c r="BT68" i="6"/>
  <c r="BT71" i="6"/>
  <c r="BT71" i="7"/>
  <c r="BT71" i="8"/>
  <c r="BT71" i="1"/>
  <c r="BS75" i="1"/>
  <c r="BS75" i="7"/>
  <c r="BS75" i="8"/>
  <c r="BS75" i="6"/>
  <c r="BT78" i="6"/>
  <c r="BT78" i="7"/>
  <c r="BT78" i="8"/>
  <c r="BT78" i="1"/>
  <c r="BT92" i="6"/>
  <c r="BT92" i="7"/>
  <c r="BT92" i="8"/>
  <c r="BT92" i="1"/>
  <c r="BT96" i="6"/>
  <c r="BT96" i="7"/>
  <c r="BT96" i="8"/>
  <c r="BT96" i="1"/>
  <c r="I76" i="7"/>
  <c r="I98" i="1"/>
  <c r="I73" i="1"/>
  <c r="I79" i="8"/>
  <c r="I67" i="8"/>
  <c r="H67" i="6"/>
  <c r="BS51" i="6"/>
  <c r="BS51" i="7"/>
  <c r="BS51" i="1"/>
  <c r="BS51" i="8"/>
  <c r="BS64" i="1"/>
  <c r="BS64" i="8"/>
  <c r="BS64" i="6"/>
  <c r="BS64" i="7"/>
  <c r="BT27" i="6"/>
  <c r="BT27" i="7"/>
  <c r="BT27" i="1"/>
  <c r="BT27" i="8"/>
  <c r="BS44" i="7"/>
  <c r="BS44" i="8"/>
  <c r="BS44" i="6"/>
  <c r="BS44" i="1"/>
  <c r="BS61" i="1"/>
  <c r="BS61" i="8"/>
  <c r="BS61" i="6"/>
  <c r="BS61" i="7"/>
  <c r="BS78" i="6"/>
  <c r="BS78" i="7"/>
  <c r="BS78" i="1"/>
  <c r="BS78" i="8"/>
  <c r="BS96" i="8"/>
  <c r="BS96" i="6"/>
  <c r="BS96" i="1"/>
  <c r="BS96" i="7"/>
  <c r="I67" i="6"/>
  <c r="BS21" i="1"/>
  <c r="BS21" i="8"/>
  <c r="BS21" i="6"/>
  <c r="BS21" i="7"/>
  <c r="BT41" i="1"/>
  <c r="BT41" i="8"/>
  <c r="BT41" i="6"/>
  <c r="BT41" i="7"/>
  <c r="BS48" i="7"/>
  <c r="BS48" i="8"/>
  <c r="BS48" i="6"/>
  <c r="BS48" i="1"/>
  <c r="BT75" i="6"/>
  <c r="BT75" i="7"/>
  <c r="BT75" i="1"/>
  <c r="BT75" i="8"/>
  <c r="BS79" i="7"/>
  <c r="BS79" i="8"/>
  <c r="BS79" i="6"/>
  <c r="BS79" i="1"/>
  <c r="BS82" i="6"/>
  <c r="BS82" i="7"/>
  <c r="BS82" i="1"/>
  <c r="BS82" i="8"/>
  <c r="H98" i="1"/>
  <c r="H73" i="1"/>
  <c r="I91" i="8"/>
  <c r="H79" i="8"/>
  <c r="H67" i="8"/>
  <c r="I98" i="6"/>
  <c r="I52" i="6"/>
  <c r="BT42" i="1"/>
  <c r="BT42" i="8"/>
  <c r="BT42" i="7"/>
  <c r="BT42" i="6"/>
  <c r="BS66" i="6"/>
  <c r="BS66" i="7"/>
  <c r="BS66" i="1"/>
  <c r="BS66" i="8"/>
  <c r="BT23" i="6"/>
  <c r="BT23" i="7"/>
  <c r="BT23" i="1"/>
  <c r="BT23" i="8"/>
  <c r="BS54" i="7"/>
  <c r="BS54" i="8"/>
  <c r="BS54" i="6"/>
  <c r="BS54" i="1"/>
  <c r="BS88" i="1"/>
  <c r="BS88" i="8"/>
  <c r="BS88" i="6"/>
  <c r="BS88" i="7"/>
  <c r="BS58" i="1"/>
  <c r="BS58" i="7"/>
  <c r="BS58" i="8"/>
  <c r="BS58" i="6"/>
  <c r="BS24" i="7"/>
  <c r="BS24" i="8"/>
  <c r="BS24" i="1"/>
  <c r="BS24" i="6"/>
  <c r="BS45" i="1"/>
  <c r="BS45" i="8"/>
  <c r="BS45" i="6"/>
  <c r="BS45" i="7"/>
  <c r="BT21" i="1"/>
  <c r="BT21" i="8"/>
  <c r="BT21" i="7"/>
  <c r="BT21" i="6"/>
  <c r="BT24" i="6"/>
  <c r="BT24" i="7"/>
  <c r="BT24" i="8"/>
  <c r="BT24" i="1"/>
  <c r="BS28" i="1"/>
  <c r="BS28" i="7"/>
  <c r="BS28" i="8"/>
  <c r="BS28" i="6"/>
  <c r="BS31" i="6"/>
  <c r="BS31" i="7"/>
  <c r="BS31" i="1"/>
  <c r="BS31" i="8"/>
  <c r="BS38" i="8"/>
  <c r="BS38" i="7"/>
  <c r="BS38" i="6"/>
  <c r="BS38" i="1"/>
  <c r="BT45" i="1"/>
  <c r="BT45" i="8"/>
  <c r="BT45" i="7"/>
  <c r="BT45" i="6"/>
  <c r="BT48" i="6"/>
  <c r="BT48" i="7"/>
  <c r="BT48" i="1"/>
  <c r="BT48" i="8"/>
  <c r="BS52" i="1"/>
  <c r="BS52" i="7"/>
  <c r="BS52" i="8"/>
  <c r="BS52" i="6"/>
  <c r="BS55" i="6"/>
  <c r="BS55" i="7"/>
  <c r="BS55" i="1"/>
  <c r="BS55" i="8"/>
  <c r="BS62" i="6"/>
  <c r="BS62" i="7"/>
  <c r="BS62" i="1"/>
  <c r="BS62" i="8"/>
  <c r="BS65" i="7"/>
  <c r="BS65" i="8"/>
  <c r="BS65" i="6"/>
  <c r="BS65" i="1"/>
  <c r="BS72" i="1"/>
  <c r="BS72" i="8"/>
  <c r="BS72" i="6"/>
  <c r="BS72" i="7"/>
  <c r="BT79" i="6"/>
  <c r="BT79" i="7"/>
  <c r="BT79" i="8"/>
  <c r="BT79" i="1"/>
  <c r="BT82" i="6"/>
  <c r="BT82" i="7"/>
  <c r="BT82" i="8"/>
  <c r="BT82" i="1"/>
  <c r="BS86" i="6"/>
  <c r="BS86" i="7"/>
  <c r="BS86" i="1"/>
  <c r="BS86" i="8"/>
  <c r="BS89" i="7"/>
  <c r="BS89" i="8"/>
  <c r="BS89" i="6"/>
  <c r="BS89" i="1"/>
  <c r="BS97" i="1"/>
  <c r="BS97" i="8"/>
  <c r="BS97" i="6"/>
  <c r="BS97" i="7"/>
  <c r="I85" i="7"/>
  <c r="I52" i="7"/>
  <c r="I28" i="7"/>
  <c r="I85" i="1"/>
  <c r="I46" i="1"/>
  <c r="I22" i="1"/>
  <c r="H91" i="8"/>
  <c r="I52" i="8"/>
  <c r="I28" i="8"/>
  <c r="H98" i="6"/>
  <c r="I85" i="6"/>
  <c r="I40" i="6"/>
  <c r="BS22" i="1"/>
  <c r="BS22" i="7"/>
  <c r="BS22" i="8"/>
  <c r="BS22" i="6"/>
  <c r="BS49" i="1"/>
  <c r="BS49" i="8"/>
  <c r="BS49" i="6"/>
  <c r="BS49" i="7"/>
  <c r="BT76" i="1"/>
  <c r="BT76" i="8"/>
  <c r="BT76" i="6"/>
  <c r="BT76" i="7"/>
  <c r="I79" i="7"/>
  <c r="BT30" i="1"/>
  <c r="BT30" i="8"/>
  <c r="BT30" i="7"/>
  <c r="BT30" i="6"/>
  <c r="BT64" i="1"/>
  <c r="BT64" i="8"/>
  <c r="BT64" i="6"/>
  <c r="BT64" i="7"/>
  <c r="BS92" i="6"/>
  <c r="BS92" i="7"/>
  <c r="BS92" i="1"/>
  <c r="BS92" i="8"/>
  <c r="BT28" i="6"/>
  <c r="BT28" i="7"/>
  <c r="BT28" i="1"/>
  <c r="BT28" i="8"/>
  <c r="BT31" i="6"/>
  <c r="BT31" i="7"/>
  <c r="BT31" i="8"/>
  <c r="BT31" i="1"/>
  <c r="BS35" i="6"/>
  <c r="BS35" i="7"/>
  <c r="BS35" i="1"/>
  <c r="BS35" i="8"/>
  <c r="BT38" i="1"/>
  <c r="BT38" i="8"/>
  <c r="BT38" i="7"/>
  <c r="BT38" i="6"/>
  <c r="BT52" i="6"/>
  <c r="BT52" i="7"/>
  <c r="BT52" i="1"/>
  <c r="BT52" i="8"/>
  <c r="BT55" i="6"/>
  <c r="BT55" i="7"/>
  <c r="BT55" i="8"/>
  <c r="BT55" i="1"/>
  <c r="BS59" i="6"/>
  <c r="BS59" i="7"/>
  <c r="BS59" i="1"/>
  <c r="BS59" i="8"/>
  <c r="BT62" i="6"/>
  <c r="BT62" i="7"/>
  <c r="BT62" i="8"/>
  <c r="BT62" i="1"/>
  <c r="BT65" i="1"/>
  <c r="BT65" i="8"/>
  <c r="BT65" i="7"/>
  <c r="BT65" i="6"/>
  <c r="BS69" i="1"/>
  <c r="BS69" i="7"/>
  <c r="BS69" i="8"/>
  <c r="BS69" i="6"/>
  <c r="BT72" i="1"/>
  <c r="BT72" i="8"/>
  <c r="BT72" i="7"/>
  <c r="BT72" i="6"/>
  <c r="BT86" i="6"/>
  <c r="BT86" i="7"/>
  <c r="BT86" i="8"/>
  <c r="BT86" i="1"/>
  <c r="BT89" i="1"/>
  <c r="BT89" i="8"/>
  <c r="BT89" i="7"/>
  <c r="BT89" i="6"/>
  <c r="BS93" i="1"/>
  <c r="BS93" i="8"/>
  <c r="BS93" i="6"/>
  <c r="BS93" i="7"/>
  <c r="BT97" i="1"/>
  <c r="BT97" i="8"/>
  <c r="BT97" i="7"/>
  <c r="BT97" i="6"/>
  <c r="H85" i="7"/>
  <c r="H85" i="1"/>
  <c r="I58" i="1"/>
  <c r="I34" i="1"/>
  <c r="I40" i="8"/>
  <c r="H85" i="6"/>
  <c r="I73" i="6"/>
  <c r="I28" i="6"/>
  <c r="BS27" i="6"/>
  <c r="BS27" i="7"/>
  <c r="BS27" i="1"/>
  <c r="BS27" i="8"/>
  <c r="BS85" i="7"/>
  <c r="BS85" i="8"/>
  <c r="BS85" i="6"/>
  <c r="BS85" i="1"/>
  <c r="BS37" i="1"/>
  <c r="BS37" i="8"/>
  <c r="BS37" i="6"/>
  <c r="BS37" i="7"/>
  <c r="BT54" i="1"/>
  <c r="BT54" i="8"/>
  <c r="BT54" i="7"/>
  <c r="BT54" i="6"/>
  <c r="BS71" i="7"/>
  <c r="BS71" i="8"/>
  <c r="BS71" i="6"/>
  <c r="BS71" i="1"/>
  <c r="BT88" i="1"/>
  <c r="BT88" i="8"/>
  <c r="BT88" i="6"/>
  <c r="BT88" i="7"/>
  <c r="BT35" i="6"/>
  <c r="BT35" i="7"/>
  <c r="BT35" i="1"/>
  <c r="BT35" i="8"/>
  <c r="BS39" i="6"/>
  <c r="BS39" i="7"/>
  <c r="BS39" i="1"/>
  <c r="BS39" i="8"/>
  <c r="BS42" i="7"/>
  <c r="BS42" i="8"/>
  <c r="BS42" i="6"/>
  <c r="BS42" i="1"/>
  <c r="BT59" i="6"/>
  <c r="BT59" i="7"/>
  <c r="BT59" i="1"/>
  <c r="BT59" i="8"/>
  <c r="BT69" i="1"/>
  <c r="BT69" i="8"/>
  <c r="BT69" i="6"/>
  <c r="BT69" i="7"/>
  <c r="BS73" i="7"/>
  <c r="BS73" i="8"/>
  <c r="BS73" i="6"/>
  <c r="BS73" i="1"/>
  <c r="BS76" i="1"/>
  <c r="BS76" i="8"/>
  <c r="BS76" i="6"/>
  <c r="BS76" i="7"/>
  <c r="BT93" i="1"/>
  <c r="BT93" i="8"/>
  <c r="BT93" i="7"/>
  <c r="BT93" i="6"/>
  <c r="BS98" i="6"/>
  <c r="BS98" i="7"/>
  <c r="BS98" i="8"/>
  <c r="BS98" i="1"/>
  <c r="I91" i="7"/>
  <c r="I73" i="7"/>
  <c r="I58" i="7"/>
  <c r="H73" i="6"/>
  <c r="BT39" i="6"/>
  <c r="BT39" i="7"/>
  <c r="BT39" i="8"/>
  <c r="BT39" i="1"/>
  <c r="BT73" i="1"/>
  <c r="BT73" i="8"/>
  <c r="BT73" i="7"/>
  <c r="BT73" i="6"/>
  <c r="BT25" i="1"/>
  <c r="BT25" i="8"/>
  <c r="BT25" i="7"/>
  <c r="BT25" i="6"/>
  <c r="BT32" i="6"/>
  <c r="BT32" i="7"/>
  <c r="BT32" i="8"/>
  <c r="BT32" i="1"/>
  <c r="BT46" i="1"/>
  <c r="BT46" i="8"/>
  <c r="BT46" i="6"/>
  <c r="BT46" i="7"/>
  <c r="BT66" i="6"/>
  <c r="BT66" i="7"/>
  <c r="BT66" i="8"/>
  <c r="BT66" i="1"/>
  <c r="BT90" i="6"/>
  <c r="BT90" i="7"/>
  <c r="BT90" i="8"/>
  <c r="BT90" i="1"/>
  <c r="BT22" i="1"/>
  <c r="BT22" i="8"/>
  <c r="BT22" i="6"/>
  <c r="BT22" i="7"/>
  <c r="BT49" i="1"/>
  <c r="BT49" i="8"/>
  <c r="BT49" i="7"/>
  <c r="BT49" i="6"/>
  <c r="BS63" i="1"/>
  <c r="BS63" i="7"/>
  <c r="BS63" i="8"/>
  <c r="BS63" i="6"/>
  <c r="BT83" i="6"/>
  <c r="BT83" i="7"/>
  <c r="BT83" i="8"/>
  <c r="BT83" i="1"/>
  <c r="I49" i="7"/>
  <c r="H91" i="1"/>
  <c r="I79" i="1"/>
  <c r="H67" i="1"/>
  <c r="H98" i="8"/>
  <c r="I73" i="8"/>
  <c r="BS46" i="1"/>
  <c r="BS46" i="7"/>
  <c r="BS46" i="8"/>
  <c r="BS46" i="6"/>
  <c r="BS90" i="6"/>
  <c r="BS90" i="7"/>
  <c r="BS90" i="1"/>
  <c r="BS90" i="8"/>
  <c r="BT80" i="1"/>
  <c r="BT80" i="8"/>
  <c r="BT80" i="7"/>
  <c r="BT80" i="6"/>
  <c r="I91" i="1"/>
  <c r="I67" i="1"/>
  <c r="BT29" i="1"/>
  <c r="BT29" i="8"/>
  <c r="BT29" i="6"/>
  <c r="BT29" i="7"/>
  <c r="BS36" i="7"/>
  <c r="BS36" i="8"/>
  <c r="BS36" i="1"/>
  <c r="BS36" i="6"/>
  <c r="BS57" i="1"/>
  <c r="BS57" i="8"/>
  <c r="BS57" i="6"/>
  <c r="BS57" i="7"/>
  <c r="BT63" i="6"/>
  <c r="BT63" i="7"/>
  <c r="BT63" i="1"/>
  <c r="BT63" i="8"/>
  <c r="BS70" i="6"/>
  <c r="BS70" i="7"/>
  <c r="BS70" i="1"/>
  <c r="BS70" i="8"/>
  <c r="BT87" i="6"/>
  <c r="BT87" i="7"/>
  <c r="BT87" i="1"/>
  <c r="BT87" i="8"/>
  <c r="BS95" i="6"/>
  <c r="BS95" i="7"/>
  <c r="BS95" i="1"/>
  <c r="BS95" i="8"/>
  <c r="BS26" i="7"/>
  <c r="BS26" i="8"/>
  <c r="BS26" i="6"/>
  <c r="BS26" i="1"/>
  <c r="BT33" i="1"/>
  <c r="BT33" i="8"/>
  <c r="BT33" i="7"/>
  <c r="BT33" i="6"/>
  <c r="BT36" i="6"/>
  <c r="BT36" i="7"/>
  <c r="BT36" i="8"/>
  <c r="BT36" i="1"/>
  <c r="BS40" i="1"/>
  <c r="BS40" i="7"/>
  <c r="BS40" i="8"/>
  <c r="BS40" i="6"/>
  <c r="BS43" i="6"/>
  <c r="BS43" i="7"/>
  <c r="BS43" i="1"/>
  <c r="BS43" i="8"/>
  <c r="BS50" i="7"/>
  <c r="BS50" i="8"/>
  <c r="BS50" i="6"/>
  <c r="BS50" i="1"/>
  <c r="BT57" i="1"/>
  <c r="BT57" i="8"/>
  <c r="BT57" i="7"/>
  <c r="BT57" i="6"/>
  <c r="BT60" i="6"/>
  <c r="BT60" i="7"/>
  <c r="BT60" i="8"/>
  <c r="BT60" i="1"/>
  <c r="BT67" i="6"/>
  <c r="BT67" i="7"/>
  <c r="BT67" i="8"/>
  <c r="BT67" i="1"/>
  <c r="BT70" i="6"/>
  <c r="BT70" i="7"/>
  <c r="BT70" i="8"/>
  <c r="BT70" i="1"/>
  <c r="BS74" i="6"/>
  <c r="BS74" i="7"/>
  <c r="BS74" i="1"/>
  <c r="BS74" i="8"/>
  <c r="BS77" i="7"/>
  <c r="BS77" i="8"/>
  <c r="BS77" i="6"/>
  <c r="BS77" i="1"/>
  <c r="BS84" i="1"/>
  <c r="BS84" i="8"/>
  <c r="BS84" i="6"/>
  <c r="BS84" i="7"/>
  <c r="BT91" i="1"/>
  <c r="BT91" i="8"/>
  <c r="BT91" i="7"/>
  <c r="BT91" i="6"/>
  <c r="BT95" i="6"/>
  <c r="BT95" i="7"/>
  <c r="BT95" i="1"/>
  <c r="BT95" i="8"/>
  <c r="I98" i="7"/>
  <c r="I22" i="7"/>
  <c r="H79" i="1"/>
  <c r="I46" i="8"/>
  <c r="I34" i="8"/>
  <c r="I34" i="6"/>
  <c r="BS25" i="1"/>
  <c r="BS25" i="8"/>
  <c r="BS25" i="6"/>
  <c r="BS25" i="7"/>
  <c r="BS56" i="7"/>
  <c r="BS56" i="8"/>
  <c r="BS56" i="6"/>
  <c r="BS56" i="1"/>
  <c r="BS80" i="1"/>
  <c r="BS80" i="8"/>
  <c r="BS80" i="6"/>
  <c r="BS80" i="7"/>
  <c r="BS29" i="1"/>
  <c r="BS29" i="8"/>
  <c r="BS29" i="6"/>
  <c r="BS29" i="7"/>
  <c r="BS53" i="1"/>
  <c r="BS53" i="8"/>
  <c r="BS53" i="6"/>
  <c r="BS53" i="7"/>
  <c r="BT56" i="6"/>
  <c r="BT56" i="7"/>
  <c r="BT56" i="8"/>
  <c r="BT56" i="1"/>
  <c r="BS87" i="1"/>
  <c r="BS87" i="7"/>
  <c r="BS87" i="8"/>
  <c r="BS87" i="6"/>
  <c r="BS33" i="1"/>
  <c r="BS33" i="8"/>
  <c r="BS33" i="6"/>
  <c r="BS33" i="7"/>
  <c r="BT53" i="1"/>
  <c r="BT53" i="8"/>
  <c r="BT53" i="6"/>
  <c r="BT53" i="7"/>
  <c r="BS60" i="7"/>
  <c r="BS60" i="8"/>
  <c r="BS60" i="6"/>
  <c r="BS60" i="1"/>
  <c r="BS67" i="7"/>
  <c r="BS67" i="8"/>
  <c r="BS67" i="6"/>
  <c r="BS67" i="1"/>
  <c r="BS91" i="1"/>
  <c r="BS91" i="8"/>
  <c r="BS91" i="6"/>
  <c r="BS91" i="7"/>
  <c r="BS11" i="7"/>
  <c r="BS11" i="1"/>
  <c r="BS11" i="6"/>
  <c r="BS11" i="8"/>
  <c r="BS23" i="6"/>
  <c r="BS23" i="7"/>
  <c r="BS23" i="1"/>
  <c r="BS23" i="8"/>
  <c r="BT26" i="1"/>
  <c r="BT26" i="8"/>
  <c r="BT26" i="7"/>
  <c r="BT26" i="6"/>
  <c r="BT40" i="6"/>
  <c r="BT40" i="7"/>
  <c r="BT40" i="1"/>
  <c r="BT40" i="8"/>
  <c r="BT43" i="6"/>
  <c r="BT43" i="7"/>
  <c r="BT43" i="8"/>
  <c r="BT43" i="1"/>
  <c r="BS47" i="6"/>
  <c r="BS47" i="7"/>
  <c r="BS47" i="1"/>
  <c r="BS47" i="8"/>
  <c r="BT50" i="1"/>
  <c r="BT50" i="8"/>
  <c r="BT50" i="7"/>
  <c r="BT50" i="6"/>
  <c r="BT74" i="6"/>
  <c r="BT74" i="7"/>
  <c r="BT74" i="8"/>
  <c r="BT74" i="1"/>
  <c r="BT77" i="1"/>
  <c r="BT77" i="8"/>
  <c r="BT77" i="7"/>
  <c r="BT77" i="6"/>
  <c r="BS81" i="1"/>
  <c r="BS81" i="7"/>
  <c r="BS81" i="8"/>
  <c r="BS81" i="6"/>
  <c r="BT84" i="1"/>
  <c r="BT84" i="8"/>
  <c r="BT84" i="7"/>
  <c r="BT84" i="6"/>
  <c r="I91" i="6"/>
  <c r="BS83" i="7"/>
  <c r="BS83" i="8"/>
  <c r="BS83" i="6"/>
  <c r="BS83" i="1"/>
  <c r="BT11" i="7"/>
  <c r="BT11" i="1"/>
  <c r="BT11" i="8"/>
  <c r="BT11" i="6"/>
  <c r="BT47" i="6"/>
  <c r="BT47" i="7"/>
  <c r="BT47" i="1"/>
  <c r="BT47" i="8"/>
  <c r="H97" i="7"/>
  <c r="I26" i="7"/>
  <c r="I97" i="1"/>
  <c r="I72" i="1"/>
  <c r="I50" i="1"/>
  <c r="I26" i="1"/>
  <c r="H78" i="6"/>
  <c r="H56" i="6"/>
  <c r="H32" i="6"/>
  <c r="I96" i="6"/>
  <c r="I96" i="8"/>
  <c r="I89" i="6"/>
  <c r="I89" i="8"/>
  <c r="I83" i="6"/>
  <c r="I83" i="8"/>
  <c r="I77" i="6"/>
  <c r="I77" i="8"/>
  <c r="I71" i="6"/>
  <c r="I71" i="8"/>
  <c r="I65" i="6"/>
  <c r="I65" i="8"/>
  <c r="I61" i="6"/>
  <c r="I61" i="8"/>
  <c r="I55" i="6"/>
  <c r="I55" i="8"/>
  <c r="I49" i="6"/>
  <c r="I49" i="8"/>
  <c r="I43" i="6"/>
  <c r="I43" i="8"/>
  <c r="I37" i="6"/>
  <c r="I37" i="8"/>
  <c r="I31" i="6"/>
  <c r="I31" i="8"/>
  <c r="I25" i="6"/>
  <c r="I25" i="8"/>
  <c r="H26" i="7"/>
  <c r="H97" i="1"/>
  <c r="H50" i="1"/>
  <c r="H83" i="6"/>
  <c r="H83" i="1"/>
  <c r="H77" i="6"/>
  <c r="H77" i="1"/>
  <c r="H71" i="6"/>
  <c r="H71" i="1"/>
  <c r="H55" i="6"/>
  <c r="H55" i="1"/>
  <c r="H49" i="6"/>
  <c r="H49" i="1"/>
  <c r="H43" i="6"/>
  <c r="H43" i="1"/>
  <c r="H37" i="6"/>
  <c r="H37" i="1"/>
  <c r="H31" i="6"/>
  <c r="H31" i="1"/>
  <c r="H25" i="6"/>
  <c r="H25" i="1"/>
  <c r="I66" i="7"/>
  <c r="I61" i="7"/>
  <c r="I32" i="7"/>
  <c r="I25" i="7"/>
  <c r="I96" i="1"/>
  <c r="I71" i="1"/>
  <c r="I49" i="1"/>
  <c r="I25" i="1"/>
  <c r="I95" i="8"/>
  <c r="I95" i="1"/>
  <c r="I88" i="8"/>
  <c r="I88" i="1"/>
  <c r="I82" i="8"/>
  <c r="I82" i="1"/>
  <c r="I76" i="8"/>
  <c r="I76" i="1"/>
  <c r="I70" i="8"/>
  <c r="I70" i="1"/>
  <c r="I64" i="8"/>
  <c r="I64" i="1"/>
  <c r="I60" i="8"/>
  <c r="I60" i="1"/>
  <c r="I54" i="8"/>
  <c r="I54" i="1"/>
  <c r="I48" i="8"/>
  <c r="I48" i="1"/>
  <c r="I42" i="8"/>
  <c r="I42" i="1"/>
  <c r="I36" i="8"/>
  <c r="I36" i="1"/>
  <c r="I30" i="8"/>
  <c r="I30" i="1"/>
  <c r="I97" i="7"/>
  <c r="I44" i="8"/>
  <c r="H32" i="7"/>
  <c r="H25" i="7"/>
  <c r="I78" i="1"/>
  <c r="I56" i="1"/>
  <c r="I32" i="1"/>
  <c r="I50" i="8"/>
  <c r="I32" i="8"/>
  <c r="H84" i="6"/>
  <c r="H38" i="6"/>
  <c r="H95" i="8"/>
  <c r="H95" i="7"/>
  <c r="H88" i="8"/>
  <c r="H88" i="7"/>
  <c r="H82" i="8"/>
  <c r="H82" i="7"/>
  <c r="H76" i="8"/>
  <c r="H76" i="7"/>
  <c r="H70" i="8"/>
  <c r="H70" i="7"/>
  <c r="H64" i="8"/>
  <c r="H64" i="7"/>
  <c r="H60" i="8"/>
  <c r="H60" i="7"/>
  <c r="H54" i="8"/>
  <c r="H54" i="7"/>
  <c r="H48" i="8"/>
  <c r="H48" i="7"/>
  <c r="H42" i="8"/>
  <c r="H42" i="7"/>
  <c r="H36" i="8"/>
  <c r="H36" i="7"/>
  <c r="H30" i="8"/>
  <c r="H30" i="7"/>
  <c r="H24" i="8"/>
  <c r="H24" i="7"/>
  <c r="H96" i="6"/>
  <c r="H96" i="1"/>
  <c r="H66" i="7"/>
  <c r="I72" i="7"/>
  <c r="I65" i="7"/>
  <c r="I38" i="7"/>
  <c r="I31" i="7"/>
  <c r="H78" i="1"/>
  <c r="H56" i="1"/>
  <c r="H32" i="1"/>
  <c r="H83" i="8"/>
  <c r="H49" i="8"/>
  <c r="H31" i="8"/>
  <c r="I87" i="1"/>
  <c r="I87" i="7"/>
  <c r="I81" i="1"/>
  <c r="I81" i="7"/>
  <c r="I75" i="1"/>
  <c r="I75" i="7"/>
  <c r="I69" i="1"/>
  <c r="I69" i="7"/>
  <c r="I63" i="1"/>
  <c r="I63" i="7"/>
  <c r="I59" i="1"/>
  <c r="I59" i="7"/>
  <c r="I53" i="1"/>
  <c r="I53" i="7"/>
  <c r="I47" i="1"/>
  <c r="I47" i="7"/>
  <c r="I41" i="1"/>
  <c r="I41" i="7"/>
  <c r="I35" i="1"/>
  <c r="I35" i="7"/>
  <c r="I29" i="1"/>
  <c r="I29" i="7"/>
  <c r="I23" i="1"/>
  <c r="I23" i="7"/>
  <c r="H72" i="1"/>
  <c r="H65" i="6"/>
  <c r="H65" i="1"/>
  <c r="I66" i="8"/>
  <c r="H65" i="7"/>
  <c r="I77" i="1"/>
  <c r="H60" i="6"/>
  <c r="I78" i="7"/>
  <c r="I71" i="7"/>
  <c r="I64" i="7"/>
  <c r="I44" i="7"/>
  <c r="I37" i="7"/>
  <c r="I30" i="7"/>
  <c r="I84" i="1"/>
  <c r="H76" i="1"/>
  <c r="H54" i="1"/>
  <c r="I38" i="1"/>
  <c r="H30" i="1"/>
  <c r="H90" i="6"/>
  <c r="I81" i="6"/>
  <c r="H66" i="6"/>
  <c r="I59" i="6"/>
  <c r="H44" i="6"/>
  <c r="I35" i="6"/>
  <c r="H89" i="6"/>
  <c r="H89" i="1"/>
  <c r="H31" i="7"/>
  <c r="I31" i="1"/>
  <c r="H78" i="7"/>
  <c r="H71" i="7"/>
  <c r="H44" i="7"/>
  <c r="H37" i="7"/>
  <c r="H84" i="1"/>
  <c r="H38" i="1"/>
  <c r="I90" i="8"/>
  <c r="I72" i="8"/>
  <c r="I56" i="8"/>
  <c r="I38" i="8"/>
  <c r="I88" i="6"/>
  <c r="I64" i="6"/>
  <c r="I42" i="6"/>
  <c r="I84" i="8"/>
  <c r="I84" i="7"/>
  <c r="I77" i="7"/>
  <c r="I70" i="7"/>
  <c r="I50" i="7"/>
  <c r="I43" i="7"/>
  <c r="I36" i="7"/>
  <c r="I83" i="1"/>
  <c r="I61" i="1"/>
  <c r="I37" i="1"/>
  <c r="H89" i="8"/>
  <c r="H71" i="8"/>
  <c r="H55" i="8"/>
  <c r="H37" i="8"/>
  <c r="H88" i="6"/>
  <c r="H64" i="6"/>
  <c r="H42" i="6"/>
  <c r="I97" i="8"/>
  <c r="I78" i="8"/>
  <c r="I26" i="8"/>
  <c r="H26" i="1"/>
  <c r="H61" i="6"/>
  <c r="H61" i="1"/>
  <c r="H72" i="7"/>
  <c r="H38" i="7"/>
  <c r="I55" i="1"/>
  <c r="H82" i="6"/>
  <c r="H36" i="6"/>
  <c r="H84" i="7"/>
  <c r="H77" i="7"/>
  <c r="H50" i="7"/>
  <c r="H43" i="7"/>
  <c r="I90" i="1"/>
  <c r="H82" i="1"/>
  <c r="I66" i="1"/>
  <c r="H60" i="1"/>
  <c r="I44" i="1"/>
  <c r="H36" i="1"/>
  <c r="I87" i="8"/>
  <c r="I69" i="8"/>
  <c r="I53" i="8"/>
  <c r="I35" i="8"/>
  <c r="H97" i="6"/>
  <c r="I87" i="6"/>
  <c r="H72" i="6"/>
  <c r="I63" i="6"/>
  <c r="H50" i="6"/>
  <c r="I41" i="6"/>
  <c r="H26" i="6"/>
  <c r="I24" i="1"/>
  <c r="AL48" i="1"/>
  <c r="AM48" i="1"/>
  <c r="AL49" i="1"/>
  <c r="AM49" i="1"/>
  <c r="AL48" i="6"/>
  <c r="AM48" i="6"/>
  <c r="AL49" i="6"/>
  <c r="AM49" i="6"/>
  <c r="AL48" i="8"/>
  <c r="AM48" i="8"/>
  <c r="AL49" i="8"/>
  <c r="AM49" i="8"/>
  <c r="AL48" i="7"/>
  <c r="AM48" i="7"/>
  <c r="AL49" i="7"/>
  <c r="AM49" i="7"/>
  <c r="AK49" i="8"/>
  <c r="AK48" i="8"/>
  <c r="AK49" i="6"/>
  <c r="AK48" i="6"/>
  <c r="AK49" i="1"/>
  <c r="AK48" i="1"/>
  <c r="AK48" i="7"/>
  <c r="AK49" i="7"/>
  <c r="AK97" i="8"/>
  <c r="AL97" i="8"/>
  <c r="AM97" i="8"/>
  <c r="AK98" i="8"/>
  <c r="AL98" i="8"/>
  <c r="AM98" i="8"/>
  <c r="AL96" i="8"/>
  <c r="AM96" i="8"/>
  <c r="AK96" i="8"/>
  <c r="AK97" i="6"/>
  <c r="AL97" i="6"/>
  <c r="AM97" i="6"/>
  <c r="AK98" i="6"/>
  <c r="AL98" i="6"/>
  <c r="AM98" i="6"/>
  <c r="AL96" i="6"/>
  <c r="AM96" i="6"/>
  <c r="AK96" i="6"/>
  <c r="AK97" i="1"/>
  <c r="AL97" i="1"/>
  <c r="AM97" i="1"/>
  <c r="AK98" i="1"/>
  <c r="AL98" i="1"/>
  <c r="AM98" i="1"/>
  <c r="AL96" i="1"/>
  <c r="AM96" i="1"/>
  <c r="AK96" i="1"/>
  <c r="AK97" i="7"/>
  <c r="AL97" i="7"/>
  <c r="AM97" i="7"/>
  <c r="AK98" i="7"/>
  <c r="AL98" i="7"/>
  <c r="AM98" i="7"/>
  <c r="AL96" i="7"/>
  <c r="AM96" i="7"/>
  <c r="AK96" i="7"/>
  <c r="BU96" i="1" l="1"/>
  <c r="BW96" i="1"/>
  <c r="BV96" i="1"/>
  <c r="BW98" i="6"/>
  <c r="BU98" i="6"/>
  <c r="BV98" i="6"/>
  <c r="BU97" i="8"/>
  <c r="BV97" i="8"/>
  <c r="BW97" i="8"/>
  <c r="BU48" i="7"/>
  <c r="BW48" i="7"/>
  <c r="BV48" i="7"/>
  <c r="BU98" i="1"/>
  <c r="BW98" i="1"/>
  <c r="BV98" i="1"/>
  <c r="BU97" i="6"/>
  <c r="BV97" i="6"/>
  <c r="BW97" i="6"/>
  <c r="BU48" i="1"/>
  <c r="BV48" i="1"/>
  <c r="BW48" i="1"/>
  <c r="BU49" i="7"/>
  <c r="BV49" i="7"/>
  <c r="BW49" i="7"/>
  <c r="BU48" i="6"/>
  <c r="BV48" i="6"/>
  <c r="BW48" i="6"/>
  <c r="BU96" i="7"/>
  <c r="BV96" i="7"/>
  <c r="BW96" i="7"/>
  <c r="BW96" i="8"/>
  <c r="BU96" i="8"/>
  <c r="BV96" i="8"/>
  <c r="BU49" i="1"/>
  <c r="BV49" i="1"/>
  <c r="BW49" i="1"/>
  <c r="BU49" i="6"/>
  <c r="BV49" i="6"/>
  <c r="BW49" i="6"/>
  <c r="BV98" i="7"/>
  <c r="BW98" i="7"/>
  <c r="BU98" i="7"/>
  <c r="BV96" i="6"/>
  <c r="BW96" i="6"/>
  <c r="BU96" i="6"/>
  <c r="BU48" i="8"/>
  <c r="BV48" i="8"/>
  <c r="BW48" i="8"/>
  <c r="BU49" i="8"/>
  <c r="BW49" i="8"/>
  <c r="BV49" i="8"/>
  <c r="BU97" i="1"/>
  <c r="BV97" i="1"/>
  <c r="BW97" i="1"/>
  <c r="BV97" i="7"/>
  <c r="BW97" i="7"/>
  <c r="BU97" i="7"/>
  <c r="BV98" i="8"/>
  <c r="BW98" i="8"/>
  <c r="BU98" i="8"/>
  <c r="R98" i="1"/>
  <c r="S98" i="1" s="1"/>
  <c r="AE98" i="1"/>
  <c r="M98" i="1"/>
  <c r="L98" i="1"/>
  <c r="O97" i="1"/>
  <c r="AE97" i="1"/>
  <c r="M97" i="1"/>
  <c r="L97" i="1"/>
  <c r="R96" i="1"/>
  <c r="S96" i="1" s="1"/>
  <c r="AE96" i="1"/>
  <c r="O96" i="1"/>
  <c r="M96" i="1"/>
  <c r="L96" i="1"/>
  <c r="AE98" i="6"/>
  <c r="M98" i="6"/>
  <c r="L98" i="6"/>
  <c r="AE97" i="6"/>
  <c r="M97" i="6"/>
  <c r="L97" i="6"/>
  <c r="R96" i="6"/>
  <c r="S96" i="6" s="1"/>
  <c r="AE96" i="6"/>
  <c r="M96" i="6"/>
  <c r="L96" i="6"/>
  <c r="P98" i="8"/>
  <c r="AE98" i="8"/>
  <c r="M98" i="8"/>
  <c r="L98" i="8"/>
  <c r="O97" i="8"/>
  <c r="AE97" i="8"/>
  <c r="M97" i="8"/>
  <c r="L97" i="8"/>
  <c r="R96" i="8"/>
  <c r="S96" i="8" s="1"/>
  <c r="AE96" i="8"/>
  <c r="M96" i="8"/>
  <c r="L96" i="8"/>
  <c r="AE98" i="7"/>
  <c r="M98" i="7"/>
  <c r="L98" i="7"/>
  <c r="AE97" i="7"/>
  <c r="M97" i="7"/>
  <c r="L97" i="7"/>
  <c r="Q96" i="7"/>
  <c r="AE96" i="7"/>
  <c r="M96" i="7"/>
  <c r="L96" i="7"/>
  <c r="O61" i="7"/>
  <c r="P61" i="7"/>
  <c r="Q61" i="7"/>
  <c r="R61" i="7"/>
  <c r="S61" i="7" s="1"/>
  <c r="O90" i="7"/>
  <c r="P90" i="7"/>
  <c r="Q90" i="7"/>
  <c r="R90" i="7"/>
  <c r="S90" i="7" s="1"/>
  <c r="O91" i="7"/>
  <c r="P91" i="7"/>
  <c r="Q91" i="7"/>
  <c r="R91" i="7"/>
  <c r="S91" i="7" s="1"/>
  <c r="O92" i="7"/>
  <c r="P92" i="7"/>
  <c r="Q92" i="7"/>
  <c r="R92" i="7"/>
  <c r="S92" i="7" s="1"/>
  <c r="O93" i="7"/>
  <c r="P93" i="7"/>
  <c r="Q93" i="7"/>
  <c r="R93" i="7"/>
  <c r="S93" i="7" s="1"/>
  <c r="O61" i="1"/>
  <c r="P61" i="1"/>
  <c r="Q61" i="1"/>
  <c r="R61" i="1"/>
  <c r="S61" i="1" s="1"/>
  <c r="O90" i="1"/>
  <c r="P90" i="1"/>
  <c r="Q90" i="1"/>
  <c r="R90" i="1"/>
  <c r="S90" i="1" s="1"/>
  <c r="O91" i="1"/>
  <c r="P91" i="1"/>
  <c r="Q91" i="1"/>
  <c r="R91" i="1"/>
  <c r="S91" i="1" s="1"/>
  <c r="O92" i="1"/>
  <c r="P92" i="1"/>
  <c r="Q92" i="1"/>
  <c r="R92" i="1"/>
  <c r="S92" i="1" s="1"/>
  <c r="O93" i="1"/>
  <c r="P93" i="1"/>
  <c r="Q93" i="1"/>
  <c r="R93" i="1"/>
  <c r="S93" i="1" s="1"/>
  <c r="O61" i="6"/>
  <c r="P61" i="6"/>
  <c r="Q61" i="6"/>
  <c r="R61" i="6"/>
  <c r="S61" i="6" s="1"/>
  <c r="O90" i="6"/>
  <c r="P90" i="6"/>
  <c r="Q90" i="6"/>
  <c r="R90" i="6"/>
  <c r="S90" i="6" s="1"/>
  <c r="O91" i="6"/>
  <c r="P91" i="6"/>
  <c r="Q91" i="6"/>
  <c r="R91" i="6"/>
  <c r="S91" i="6" s="1"/>
  <c r="O92" i="6"/>
  <c r="P92" i="6"/>
  <c r="Q92" i="6"/>
  <c r="R92" i="6"/>
  <c r="S92" i="6" s="1"/>
  <c r="O93" i="6"/>
  <c r="P93" i="6"/>
  <c r="Q93" i="6"/>
  <c r="R93" i="6"/>
  <c r="S93" i="6" s="1"/>
  <c r="O61" i="8"/>
  <c r="P61" i="8"/>
  <c r="Q61" i="8"/>
  <c r="R61" i="8"/>
  <c r="S61" i="8" s="1"/>
  <c r="O90" i="8"/>
  <c r="P90" i="8"/>
  <c r="Q90" i="8"/>
  <c r="R90" i="8"/>
  <c r="S90" i="8" s="1"/>
  <c r="O91" i="8"/>
  <c r="P91" i="8"/>
  <c r="Q91" i="8"/>
  <c r="R91" i="8"/>
  <c r="S91" i="8" s="1"/>
  <c r="O92" i="8"/>
  <c r="P92" i="8"/>
  <c r="Q92" i="8"/>
  <c r="R92" i="8"/>
  <c r="S92" i="8" s="1"/>
  <c r="O93" i="8"/>
  <c r="P93" i="8"/>
  <c r="Q93" i="8"/>
  <c r="R93" i="8"/>
  <c r="S93" i="8" s="1"/>
  <c r="AC96" i="1" l="1"/>
  <c r="O96" i="6"/>
  <c r="Q96" i="1"/>
  <c r="Z96" i="1" s="1"/>
  <c r="R97" i="7"/>
  <c r="Q97" i="8"/>
  <c r="AB97" i="8" s="1"/>
  <c r="O98" i="1"/>
  <c r="P96" i="6"/>
  <c r="Q96" i="6"/>
  <c r="AB96" i="6" s="1"/>
  <c r="P97" i="8"/>
  <c r="BX97" i="8" s="1"/>
  <c r="P96" i="1"/>
  <c r="BX96" i="1" s="1"/>
  <c r="O96" i="7"/>
  <c r="R97" i="8"/>
  <c r="P96" i="7"/>
  <c r="P96" i="8"/>
  <c r="O98" i="8"/>
  <c r="BX98" i="8" s="1"/>
  <c r="O98" i="6"/>
  <c r="P98" i="1"/>
  <c r="O97" i="7"/>
  <c r="P98" i="6"/>
  <c r="Q98" i="1"/>
  <c r="W98" i="1" s="1"/>
  <c r="P97" i="7"/>
  <c r="O96" i="8"/>
  <c r="Q97" i="7"/>
  <c r="Q96" i="8"/>
  <c r="W96" i="8" s="1"/>
  <c r="Q98" i="6"/>
  <c r="R98" i="6"/>
  <c r="S98" i="6" s="1"/>
  <c r="T96" i="7"/>
  <c r="U96" i="7" s="1"/>
  <c r="AC98" i="1"/>
  <c r="P97" i="1"/>
  <c r="BX97" i="1" s="1"/>
  <c r="O98" i="7"/>
  <c r="Q98" i="7"/>
  <c r="T98" i="7" s="1"/>
  <c r="U98" i="7" s="1"/>
  <c r="R98" i="8"/>
  <c r="S98" i="8" s="1"/>
  <c r="P97" i="6"/>
  <c r="Q97" i="1"/>
  <c r="AB96" i="7"/>
  <c r="R98" i="7"/>
  <c r="S98" i="7" s="1"/>
  <c r="Q97" i="6"/>
  <c r="R97" i="1"/>
  <c r="S97" i="1" s="1"/>
  <c r="R97" i="6"/>
  <c r="S97" i="6" s="1"/>
  <c r="P98" i="7"/>
  <c r="Q98" i="8"/>
  <c r="T98" i="8" s="1"/>
  <c r="U98" i="8" s="1"/>
  <c r="O97" i="6"/>
  <c r="R96" i="7"/>
  <c r="AN81" i="7"/>
  <c r="AN82" i="7"/>
  <c r="AN83" i="7"/>
  <c r="AN84" i="7"/>
  <c r="AN85" i="7"/>
  <c r="AN81" i="1"/>
  <c r="AN82" i="1"/>
  <c r="AN83" i="1"/>
  <c r="AN84" i="1"/>
  <c r="AN85" i="1"/>
  <c r="AN81" i="6"/>
  <c r="AN82" i="6"/>
  <c r="AN83" i="6"/>
  <c r="AN84" i="6"/>
  <c r="AN85" i="6"/>
  <c r="AN81" i="8"/>
  <c r="AN82" i="8"/>
  <c r="AN83" i="8"/>
  <c r="AN84" i="8"/>
  <c r="AN85" i="8"/>
  <c r="AN80" i="8"/>
  <c r="AN80" i="6"/>
  <c r="AN80" i="1"/>
  <c r="AN80" i="7"/>
  <c r="BX96" i="7" l="1"/>
  <c r="BX97" i="7"/>
  <c r="BX97" i="6"/>
  <c r="BX98" i="6"/>
  <c r="BX96" i="6"/>
  <c r="BX96" i="8"/>
  <c r="BX98" i="7"/>
  <c r="BX98" i="1"/>
  <c r="W97" i="8"/>
  <c r="S97" i="8"/>
  <c r="AC97" i="8" s="1"/>
  <c r="S97" i="7"/>
  <c r="AC97" i="7" s="1"/>
  <c r="T97" i="8"/>
  <c r="U97" i="8" s="1"/>
  <c r="W96" i="7"/>
  <c r="S96" i="7"/>
  <c r="AC96" i="7" s="1"/>
  <c r="AB96" i="1"/>
  <c r="AA96" i="8"/>
  <c r="W96" i="6"/>
  <c r="AA97" i="7"/>
  <c r="W98" i="7"/>
  <c r="V98" i="8"/>
  <c r="T96" i="6"/>
  <c r="U96" i="6" s="1"/>
  <c r="AA98" i="1"/>
  <c r="V97" i="8"/>
  <c r="AA97" i="8"/>
  <c r="W97" i="6"/>
  <c r="V98" i="6"/>
  <c r="V96" i="6"/>
  <c r="AA96" i="6"/>
  <c r="T96" i="1"/>
  <c r="U96" i="1" s="1"/>
  <c r="W96" i="1"/>
  <c r="V96" i="1"/>
  <c r="AA96" i="1"/>
  <c r="W97" i="7"/>
  <c r="T97" i="7"/>
  <c r="U97" i="7" s="1"/>
  <c r="V97" i="7"/>
  <c r="Z96" i="7"/>
  <c r="Z97" i="8"/>
  <c r="Z96" i="6"/>
  <c r="AB98" i="1"/>
  <c r="T96" i="8"/>
  <c r="U96" i="8" s="1"/>
  <c r="T98" i="1"/>
  <c r="U98" i="1" s="1"/>
  <c r="AB97" i="7"/>
  <c r="T98" i="6"/>
  <c r="U98" i="6" s="1"/>
  <c r="AB98" i="6"/>
  <c r="W98" i="6"/>
  <c r="Z97" i="7"/>
  <c r="AA98" i="6"/>
  <c r="Z96" i="8"/>
  <c r="V98" i="1"/>
  <c r="X98" i="1" s="1"/>
  <c r="Y98" i="1" s="1"/>
  <c r="Z98" i="1"/>
  <c r="V96" i="8"/>
  <c r="X96" i="8" s="1"/>
  <c r="Z98" i="6"/>
  <c r="AB96" i="8"/>
  <c r="AC96" i="6"/>
  <c r="AC98" i="6"/>
  <c r="AC96" i="8"/>
  <c r="V96" i="7"/>
  <c r="AB97" i="6"/>
  <c r="AA97" i="6"/>
  <c r="Z97" i="6"/>
  <c r="V97" i="6"/>
  <c r="W98" i="8"/>
  <c r="AB98" i="8"/>
  <c r="AA98" i="8"/>
  <c r="Z98" i="8"/>
  <c r="AC98" i="8"/>
  <c r="AB97" i="1"/>
  <c r="AA97" i="1"/>
  <c r="Z97" i="1"/>
  <c r="W97" i="1"/>
  <c r="T97" i="1"/>
  <c r="U97" i="1" s="1"/>
  <c r="AB98" i="7"/>
  <c r="AA98" i="7"/>
  <c r="Z98" i="7"/>
  <c r="V97" i="1"/>
  <c r="AA96" i="7"/>
  <c r="T97" i="6"/>
  <c r="U97" i="6" s="1"/>
  <c r="V98" i="7"/>
  <c r="X96" i="7" l="1"/>
  <c r="Y96" i="7" s="1"/>
  <c r="X97" i="8"/>
  <c r="Y97" i="8" s="1"/>
  <c r="X96" i="6"/>
  <c r="Y96" i="6" s="1"/>
  <c r="X98" i="8"/>
  <c r="Y98" i="8" s="1"/>
  <c r="X98" i="6"/>
  <c r="Y98" i="6" s="1"/>
  <c r="X96" i="1"/>
  <c r="Y96" i="1" s="1"/>
  <c r="X97" i="7"/>
  <c r="Y97" i="7" s="1"/>
  <c r="Y96" i="8"/>
  <c r="X98" i="7"/>
  <c r="AC98" i="7"/>
  <c r="X97" i="1"/>
  <c r="AC97" i="1"/>
  <c r="X97" i="6"/>
  <c r="AC97" i="6"/>
  <c r="AN39" i="6"/>
  <c r="AN40" i="6"/>
  <c r="AN39" i="8"/>
  <c r="AN40" i="8"/>
  <c r="AN39" i="1"/>
  <c r="AN40" i="1"/>
  <c r="AN40" i="7"/>
  <c r="Y98" i="7" l="1"/>
  <c r="Y97" i="1"/>
  <c r="Y97" i="6"/>
  <c r="AL95" i="8"/>
  <c r="AM95" i="8"/>
  <c r="AK95" i="8"/>
  <c r="AL95" i="6"/>
  <c r="AM95" i="6"/>
  <c r="AK95" i="6"/>
  <c r="AL95" i="1"/>
  <c r="AM95" i="1"/>
  <c r="AK95" i="1"/>
  <c r="AL95" i="7"/>
  <c r="AM95" i="7"/>
  <c r="AK95" i="7"/>
  <c r="AK79" i="8"/>
  <c r="AL79" i="8"/>
  <c r="AM79" i="8"/>
  <c r="AK79" i="6"/>
  <c r="AL79" i="6"/>
  <c r="AM79" i="6"/>
  <c r="AK79" i="1"/>
  <c r="AL79" i="1"/>
  <c r="AM79" i="1"/>
  <c r="AK79" i="7"/>
  <c r="AL79" i="7"/>
  <c r="AM79" i="7"/>
  <c r="AE95" i="7"/>
  <c r="M95" i="7"/>
  <c r="L95" i="7"/>
  <c r="AE95" i="1"/>
  <c r="M95" i="1"/>
  <c r="L95" i="1"/>
  <c r="AE95" i="6"/>
  <c r="M95" i="6"/>
  <c r="L95" i="6"/>
  <c r="AE95" i="8"/>
  <c r="M95" i="8"/>
  <c r="L95" i="8"/>
  <c r="AN24" i="6"/>
  <c r="AL24" i="6"/>
  <c r="AM24" i="6"/>
  <c r="AK24" i="7"/>
  <c r="AN34" i="7"/>
  <c r="L90" i="8"/>
  <c r="M90" i="8"/>
  <c r="W90" i="8" s="1"/>
  <c r="BX90" i="8" l="1"/>
  <c r="T90" i="8"/>
  <c r="U90" i="8" s="1"/>
  <c r="V90" i="8"/>
  <c r="X90" i="8" s="1"/>
  <c r="Y90" i="8" s="1"/>
  <c r="BU95" i="1"/>
  <c r="BV95" i="1"/>
  <c r="BW95" i="1"/>
  <c r="BU79" i="1"/>
  <c r="BV79" i="1"/>
  <c r="BW79" i="1"/>
  <c r="BU95" i="6"/>
  <c r="BV95" i="6"/>
  <c r="BW95" i="6"/>
  <c r="BV79" i="6"/>
  <c r="BU79" i="6"/>
  <c r="BW79" i="6"/>
  <c r="BU95" i="8"/>
  <c r="BV95" i="8"/>
  <c r="BW95" i="8"/>
  <c r="BU95" i="7"/>
  <c r="BV95" i="7"/>
  <c r="BW95" i="7"/>
  <c r="BU79" i="8"/>
  <c r="BV79" i="8"/>
  <c r="BW79" i="8"/>
  <c r="BU79" i="7"/>
  <c r="BV79" i="7"/>
  <c r="BW79" i="7"/>
  <c r="R48" i="1"/>
  <c r="S48" i="1" s="1"/>
  <c r="Q48" i="1"/>
  <c r="P48" i="1"/>
  <c r="O48" i="1"/>
  <c r="O79" i="6"/>
  <c r="P79" i="6"/>
  <c r="Q79" i="6"/>
  <c r="R79" i="6"/>
  <c r="S79" i="6" s="1"/>
  <c r="O49" i="8"/>
  <c r="Q49" i="8"/>
  <c r="R49" i="8"/>
  <c r="S49" i="8" s="1"/>
  <c r="P49" i="8"/>
  <c r="O48" i="8"/>
  <c r="R48" i="8"/>
  <c r="S48" i="8" s="1"/>
  <c r="P48" i="8"/>
  <c r="Q48" i="8"/>
  <c r="P95" i="6"/>
  <c r="Q95" i="6"/>
  <c r="T95" i="6" s="1"/>
  <c r="U95" i="6" s="1"/>
  <c r="O95" i="6"/>
  <c r="R95" i="6"/>
  <c r="S95" i="6" s="1"/>
  <c r="O79" i="8"/>
  <c r="R79" i="8"/>
  <c r="S79" i="8" s="1"/>
  <c r="Q79" i="8"/>
  <c r="P79" i="8"/>
  <c r="R49" i="6"/>
  <c r="S49" i="6" s="1"/>
  <c r="O49" i="6"/>
  <c r="Q49" i="6"/>
  <c r="P49" i="6"/>
  <c r="P48" i="6"/>
  <c r="Q48" i="6"/>
  <c r="R48" i="6"/>
  <c r="S48" i="6" s="1"/>
  <c r="O48" i="6"/>
  <c r="R79" i="1"/>
  <c r="S79" i="1" s="1"/>
  <c r="Q79" i="1"/>
  <c r="P79" i="1"/>
  <c r="O79" i="1"/>
  <c r="O95" i="8"/>
  <c r="Q95" i="8"/>
  <c r="R95" i="8"/>
  <c r="S95" i="8" s="1"/>
  <c r="P95" i="8"/>
  <c r="O49" i="1"/>
  <c r="R49" i="1"/>
  <c r="S49" i="1" s="1"/>
  <c r="Q49" i="1"/>
  <c r="P49" i="1"/>
  <c r="R95" i="1"/>
  <c r="Q95" i="1"/>
  <c r="P95" i="1"/>
  <c r="O95" i="1"/>
  <c r="O79" i="7"/>
  <c r="P79" i="7"/>
  <c r="Q79" i="7"/>
  <c r="R79" i="7"/>
  <c r="S79" i="7" s="1"/>
  <c r="O95" i="7"/>
  <c r="P95" i="7"/>
  <c r="Q95" i="7"/>
  <c r="T95" i="7" s="1"/>
  <c r="U95" i="7" s="1"/>
  <c r="R95" i="7"/>
  <c r="O48" i="7"/>
  <c r="P48" i="7"/>
  <c r="Q48" i="7"/>
  <c r="R48" i="7"/>
  <c r="S48" i="7" s="1"/>
  <c r="Q49" i="7"/>
  <c r="R49" i="7"/>
  <c r="S49" i="7" s="1"/>
  <c r="O49" i="7"/>
  <c r="P49" i="7"/>
  <c r="AK62" i="7"/>
  <c r="AL62" i="7"/>
  <c r="AM62" i="7"/>
  <c r="AK62" i="8"/>
  <c r="AL62" i="8"/>
  <c r="AM62" i="8"/>
  <c r="AK62" i="6"/>
  <c r="AL62" i="6"/>
  <c r="AM62" i="6"/>
  <c r="AK62" i="1"/>
  <c r="AL62" i="1"/>
  <c r="AM62" i="1"/>
  <c r="BX95" i="8" l="1"/>
  <c r="BU62" i="7"/>
  <c r="BV62" i="7"/>
  <c r="BW62" i="7"/>
  <c r="BX95" i="7"/>
  <c r="BW62" i="1"/>
  <c r="BU62" i="1"/>
  <c r="BV62" i="1"/>
  <c r="BX95" i="1"/>
  <c r="BV62" i="8"/>
  <c r="BW62" i="8"/>
  <c r="BU62" i="8"/>
  <c r="BW62" i="6"/>
  <c r="BV62" i="6"/>
  <c r="BU62" i="6"/>
  <c r="BX95" i="6"/>
  <c r="AC95" i="6"/>
  <c r="S95" i="7"/>
  <c r="AC95" i="7" s="1"/>
  <c r="AC95" i="8"/>
  <c r="S95" i="1"/>
  <c r="AC95" i="1" s="1"/>
  <c r="AB95" i="6"/>
  <c r="V95" i="1"/>
  <c r="Z95" i="8"/>
  <c r="Z95" i="1"/>
  <c r="AA95" i="6"/>
  <c r="AA95" i="1"/>
  <c r="T95" i="1"/>
  <c r="U95" i="1" s="1"/>
  <c r="W95" i="1"/>
  <c r="T95" i="8"/>
  <c r="U95" i="8" s="1"/>
  <c r="Z95" i="6"/>
  <c r="V95" i="6"/>
  <c r="W95" i="8"/>
  <c r="P62" i="6"/>
  <c r="Q62" i="6"/>
  <c r="R62" i="6"/>
  <c r="S62" i="6" s="1"/>
  <c r="O62" i="6"/>
  <c r="V95" i="8"/>
  <c r="O62" i="8"/>
  <c r="Q62" i="8"/>
  <c r="R62" i="8"/>
  <c r="S62" i="8" s="1"/>
  <c r="P62" i="8"/>
  <c r="W95" i="6"/>
  <c r="Q62" i="1"/>
  <c r="O62" i="1"/>
  <c r="P62" i="1"/>
  <c r="R62" i="1"/>
  <c r="S62" i="1" s="1"/>
  <c r="P62" i="7"/>
  <c r="Q62" i="7"/>
  <c r="O62" i="7"/>
  <c r="R62" i="7"/>
  <c r="S62" i="7" s="1"/>
  <c r="V95" i="7"/>
  <c r="W95" i="7"/>
  <c r="AB95" i="1"/>
  <c r="AA95" i="8"/>
  <c r="AB95" i="8"/>
  <c r="AB95" i="7"/>
  <c r="Z95" i="7"/>
  <c r="AA95" i="7"/>
  <c r="AL21" i="6"/>
  <c r="AM21" i="6"/>
  <c r="AL22" i="6"/>
  <c r="AM22" i="6"/>
  <c r="AL23" i="6"/>
  <c r="AM23" i="6"/>
  <c r="AL25" i="6"/>
  <c r="AM25" i="6"/>
  <c r="AL26" i="6"/>
  <c r="AM26" i="6"/>
  <c r="AL27" i="6"/>
  <c r="AM27" i="6"/>
  <c r="AL28" i="6"/>
  <c r="AM28" i="6"/>
  <c r="AL29" i="6"/>
  <c r="AM29" i="6"/>
  <c r="AL30" i="6"/>
  <c r="AM30" i="6"/>
  <c r="AL31" i="6"/>
  <c r="AM31" i="6"/>
  <c r="AL32" i="6"/>
  <c r="AM32" i="6"/>
  <c r="AL33" i="6"/>
  <c r="AM33" i="6"/>
  <c r="AL34" i="6"/>
  <c r="AM34" i="6"/>
  <c r="AL35" i="6"/>
  <c r="AM35" i="6"/>
  <c r="AL36" i="6"/>
  <c r="AM36" i="6"/>
  <c r="AL37" i="6"/>
  <c r="AM37" i="6"/>
  <c r="AL38" i="6"/>
  <c r="AM38" i="6"/>
  <c r="AL39" i="6"/>
  <c r="AM39" i="6"/>
  <c r="AL40" i="6"/>
  <c r="AM40" i="6"/>
  <c r="AL41" i="6"/>
  <c r="AM41" i="6"/>
  <c r="AL42" i="6"/>
  <c r="AM42" i="6"/>
  <c r="AL43" i="6"/>
  <c r="AM43" i="6"/>
  <c r="AL44" i="6"/>
  <c r="AM44" i="6"/>
  <c r="AL45" i="6"/>
  <c r="AM45" i="6"/>
  <c r="AL46" i="6"/>
  <c r="AM46" i="6"/>
  <c r="AL47" i="6"/>
  <c r="AM47" i="6"/>
  <c r="AL50" i="6"/>
  <c r="AM50" i="6"/>
  <c r="AL21" i="8"/>
  <c r="AM21" i="8"/>
  <c r="AL22" i="8"/>
  <c r="AM22" i="8"/>
  <c r="AM23" i="8"/>
  <c r="AL24" i="8"/>
  <c r="AM24" i="8"/>
  <c r="AL25" i="8"/>
  <c r="AM25" i="8"/>
  <c r="AL26" i="8"/>
  <c r="AM26" i="8"/>
  <c r="AL27" i="8"/>
  <c r="AM27" i="8"/>
  <c r="AL28" i="8"/>
  <c r="AM28" i="8"/>
  <c r="AL29" i="8"/>
  <c r="AM29" i="8"/>
  <c r="AL30" i="8"/>
  <c r="AM30" i="8"/>
  <c r="AL31" i="8"/>
  <c r="AM31" i="8"/>
  <c r="AL32" i="8"/>
  <c r="AM32" i="8"/>
  <c r="AL33" i="8"/>
  <c r="AM33" i="8"/>
  <c r="AL34" i="8"/>
  <c r="AM34" i="8"/>
  <c r="AL35" i="8"/>
  <c r="AM35" i="8"/>
  <c r="AL36" i="8"/>
  <c r="AM36" i="8"/>
  <c r="AL37" i="8"/>
  <c r="AM37" i="8"/>
  <c r="AL38" i="8"/>
  <c r="AM38" i="8"/>
  <c r="AL39" i="8"/>
  <c r="AM39" i="8"/>
  <c r="AL40" i="8"/>
  <c r="AM40" i="8"/>
  <c r="AL41" i="8"/>
  <c r="AM41" i="8"/>
  <c r="AL42" i="8"/>
  <c r="AM42" i="8"/>
  <c r="AL43" i="8"/>
  <c r="AM43" i="8"/>
  <c r="AL44" i="8"/>
  <c r="AM44" i="8"/>
  <c r="AL45" i="8"/>
  <c r="AM45" i="8"/>
  <c r="AL46" i="8"/>
  <c r="AM46" i="8"/>
  <c r="AL47" i="8"/>
  <c r="AM47" i="8"/>
  <c r="AL50" i="8"/>
  <c r="AM50" i="8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50" i="1"/>
  <c r="AM50" i="1"/>
  <c r="X95" i="6" l="1"/>
  <c r="Y95" i="6" s="1"/>
  <c r="X95" i="7"/>
  <c r="Y95" i="7" s="1"/>
  <c r="X95" i="8"/>
  <c r="Y95" i="8" s="1"/>
  <c r="X95" i="1"/>
  <c r="Y95" i="1" s="1"/>
  <c r="AL22" i="7"/>
  <c r="AM22" i="7"/>
  <c r="AL23" i="7"/>
  <c r="AM23" i="7"/>
  <c r="AL24" i="7"/>
  <c r="AM24" i="7"/>
  <c r="AL25" i="7"/>
  <c r="AM25" i="7"/>
  <c r="AL26" i="7"/>
  <c r="AM26" i="7"/>
  <c r="AL27" i="7"/>
  <c r="AM27" i="7"/>
  <c r="AL28" i="7"/>
  <c r="AM28" i="7"/>
  <c r="AL29" i="7"/>
  <c r="AM29" i="7"/>
  <c r="AL30" i="7"/>
  <c r="AM30" i="7"/>
  <c r="AL31" i="7"/>
  <c r="AM31" i="7"/>
  <c r="AL32" i="7"/>
  <c r="AM32" i="7"/>
  <c r="AL33" i="7"/>
  <c r="AM33" i="7"/>
  <c r="AL34" i="7"/>
  <c r="AM34" i="7"/>
  <c r="AL35" i="7"/>
  <c r="AM35" i="7"/>
  <c r="AL36" i="7"/>
  <c r="AM36" i="7"/>
  <c r="AL37" i="7"/>
  <c r="AM37" i="7"/>
  <c r="AL38" i="7"/>
  <c r="AM38" i="7"/>
  <c r="AL39" i="7"/>
  <c r="AL40" i="7"/>
  <c r="AM40" i="7"/>
  <c r="AK28" i="7"/>
  <c r="AK27" i="7"/>
  <c r="AK26" i="7"/>
  <c r="AK25" i="7"/>
  <c r="AK28" i="8"/>
  <c r="AK27" i="8"/>
  <c r="AK26" i="8"/>
  <c r="AK25" i="8"/>
  <c r="AK28" i="6"/>
  <c r="AK27" i="6"/>
  <c r="AK26" i="6"/>
  <c r="AK25" i="6"/>
  <c r="AK28" i="1"/>
  <c r="AK27" i="1"/>
  <c r="AK26" i="1"/>
  <c r="AK25" i="1"/>
  <c r="AL47" i="7"/>
  <c r="AM47" i="7"/>
  <c r="AL50" i="7"/>
  <c r="AM50" i="7"/>
  <c r="AL51" i="7"/>
  <c r="AM51" i="7"/>
  <c r="AK38" i="7"/>
  <c r="AK38" i="6"/>
  <c r="AN38" i="8"/>
  <c r="AK38" i="8"/>
  <c r="AN28" i="7"/>
  <c r="AN28" i="6"/>
  <c r="AN27" i="6"/>
  <c r="AN26" i="6"/>
  <c r="AN25" i="6"/>
  <c r="AN28" i="8"/>
  <c r="AN27" i="8"/>
  <c r="AN26" i="8"/>
  <c r="AN25" i="8"/>
  <c r="AN28" i="1"/>
  <c r="AN27" i="1"/>
  <c r="AN26" i="1"/>
  <c r="AN25" i="1"/>
  <c r="AN27" i="7"/>
  <c r="AN26" i="7"/>
  <c r="AN25" i="7"/>
  <c r="AL78" i="8"/>
  <c r="AM78" i="8"/>
  <c r="AK78" i="8"/>
  <c r="AL78" i="1"/>
  <c r="AM78" i="1"/>
  <c r="AL78" i="6"/>
  <c r="AM78" i="6"/>
  <c r="AK78" i="6"/>
  <c r="AK78" i="1"/>
  <c r="AL78" i="7"/>
  <c r="AM78" i="7"/>
  <c r="AK78" i="7"/>
  <c r="AE78" i="1"/>
  <c r="M78" i="1"/>
  <c r="L78" i="1"/>
  <c r="AE78" i="6"/>
  <c r="M78" i="6"/>
  <c r="L78" i="6"/>
  <c r="AE78" i="7"/>
  <c r="M78" i="7"/>
  <c r="L78" i="7"/>
  <c r="AN11" i="8"/>
  <c r="AN11" i="6"/>
  <c r="AN11" i="1"/>
  <c r="AN11" i="7"/>
  <c r="AL11" i="6"/>
  <c r="AM11" i="6"/>
  <c r="AK11" i="6"/>
  <c r="AL11" i="1"/>
  <c r="AM11" i="1"/>
  <c r="AK11" i="1"/>
  <c r="AL11" i="7"/>
  <c r="AM11" i="7"/>
  <c r="AK11" i="7"/>
  <c r="AL11" i="8"/>
  <c r="AM11" i="8"/>
  <c r="AK11" i="8"/>
  <c r="AE78" i="8"/>
  <c r="M78" i="8"/>
  <c r="L78" i="8"/>
  <c r="AN37" i="8"/>
  <c r="AN36" i="8"/>
  <c r="AN35" i="8"/>
  <c r="AN34" i="8"/>
  <c r="AN33" i="8"/>
  <c r="AN32" i="8"/>
  <c r="AN31" i="8"/>
  <c r="AN30" i="8"/>
  <c r="AN29" i="8"/>
  <c r="AN24" i="8"/>
  <c r="AN23" i="8"/>
  <c r="AN22" i="8"/>
  <c r="AN21" i="8"/>
  <c r="AN38" i="6"/>
  <c r="AN37" i="6"/>
  <c r="AN36" i="6"/>
  <c r="AN35" i="6"/>
  <c r="AN34" i="6"/>
  <c r="AN33" i="6"/>
  <c r="AN32" i="6"/>
  <c r="AN31" i="6"/>
  <c r="AN30" i="6"/>
  <c r="AN29" i="6"/>
  <c r="AN23" i="6"/>
  <c r="AN22" i="6"/>
  <c r="AN21" i="6"/>
  <c r="AN38" i="1"/>
  <c r="AN37" i="1"/>
  <c r="AN36" i="1"/>
  <c r="AN35" i="1"/>
  <c r="AN34" i="1"/>
  <c r="AN33" i="1"/>
  <c r="AN32" i="1"/>
  <c r="AN31" i="1"/>
  <c r="AN30" i="1"/>
  <c r="AN29" i="1"/>
  <c r="AN24" i="1"/>
  <c r="AN23" i="1"/>
  <c r="AN22" i="1"/>
  <c r="AN21" i="1"/>
  <c r="AN36" i="7"/>
  <c r="AN35" i="7"/>
  <c r="AN33" i="7"/>
  <c r="AN24" i="7"/>
  <c r="AN23" i="7"/>
  <c r="AN22" i="7"/>
  <c r="AN21" i="7"/>
  <c r="AN30" i="7"/>
  <c r="AN31" i="7"/>
  <c r="AN32" i="7"/>
  <c r="AN29" i="7"/>
  <c r="AN38" i="7"/>
  <c r="AN37" i="7"/>
  <c r="BU11" i="8" l="1"/>
  <c r="BW11" i="8"/>
  <c r="BV11" i="8"/>
  <c r="BU78" i="7"/>
  <c r="BW78" i="7"/>
  <c r="BV78" i="7"/>
  <c r="BW27" i="1"/>
  <c r="BV27" i="1"/>
  <c r="BU27" i="1"/>
  <c r="BU27" i="7"/>
  <c r="BV27" i="7"/>
  <c r="BW27" i="7"/>
  <c r="BU26" i="1"/>
  <c r="BV26" i="1"/>
  <c r="BW26" i="1"/>
  <c r="BU28" i="1"/>
  <c r="BV28" i="1"/>
  <c r="BW28" i="1"/>
  <c r="BV28" i="7"/>
  <c r="BW28" i="7"/>
  <c r="BU28" i="7"/>
  <c r="BW26" i="7"/>
  <c r="BU26" i="7"/>
  <c r="BV26" i="7"/>
  <c r="BU11" i="7"/>
  <c r="BW11" i="7"/>
  <c r="BV11" i="7"/>
  <c r="BU25" i="6"/>
  <c r="BV25" i="6"/>
  <c r="BW25" i="6"/>
  <c r="BW24" i="7"/>
  <c r="BU24" i="7"/>
  <c r="BV24" i="7"/>
  <c r="BW78" i="1"/>
  <c r="BU78" i="1"/>
  <c r="BV78" i="1"/>
  <c r="BW38" i="7"/>
  <c r="BU38" i="7"/>
  <c r="BV38" i="7"/>
  <c r="BU26" i="6"/>
  <c r="BV26" i="6"/>
  <c r="BW26" i="6"/>
  <c r="BV78" i="6"/>
  <c r="BU78" i="6"/>
  <c r="BW78" i="6"/>
  <c r="BW27" i="6"/>
  <c r="BU27" i="6"/>
  <c r="BV27" i="6"/>
  <c r="BW11" i="1"/>
  <c r="BU11" i="1"/>
  <c r="BV11" i="1"/>
  <c r="BW28" i="6"/>
  <c r="BU28" i="6"/>
  <c r="BV28" i="6"/>
  <c r="BU25" i="8"/>
  <c r="BW25" i="8"/>
  <c r="BV25" i="8"/>
  <c r="BW26" i="8"/>
  <c r="BV26" i="8"/>
  <c r="BU26" i="8"/>
  <c r="BW11" i="6"/>
  <c r="BV11" i="6"/>
  <c r="BU11" i="6"/>
  <c r="BV38" i="8"/>
  <c r="BW38" i="8"/>
  <c r="BU38" i="8"/>
  <c r="BV27" i="8"/>
  <c r="BW27" i="8"/>
  <c r="BU27" i="8"/>
  <c r="BW78" i="8"/>
  <c r="BU78" i="8"/>
  <c r="BV78" i="8"/>
  <c r="BV28" i="8"/>
  <c r="BW28" i="8"/>
  <c r="BU28" i="8"/>
  <c r="BU38" i="6"/>
  <c r="BV38" i="6"/>
  <c r="BW38" i="6"/>
  <c r="BU25" i="1"/>
  <c r="BW25" i="1"/>
  <c r="BV25" i="1"/>
  <c r="BW25" i="7"/>
  <c r="BU25" i="7"/>
  <c r="BV25" i="7"/>
  <c r="R26" i="1"/>
  <c r="S26" i="1" s="1"/>
  <c r="Q26" i="1"/>
  <c r="O26" i="1"/>
  <c r="P26" i="1"/>
  <c r="P26" i="8"/>
  <c r="Q26" i="8"/>
  <c r="O26" i="8"/>
  <c r="R26" i="8"/>
  <c r="S26" i="8" s="1"/>
  <c r="O24" i="7"/>
  <c r="R24" i="7"/>
  <c r="S24" i="7" s="1"/>
  <c r="Q24" i="7"/>
  <c r="P24" i="7"/>
  <c r="O78" i="8"/>
  <c r="P78" i="8"/>
  <c r="R78" i="8"/>
  <c r="Q78" i="8"/>
  <c r="T78" i="8" s="1"/>
  <c r="U78" i="8" s="1"/>
  <c r="P28" i="1"/>
  <c r="Q28" i="1"/>
  <c r="O28" i="1"/>
  <c r="R28" i="1"/>
  <c r="S28" i="1" s="1"/>
  <c r="Q28" i="8"/>
  <c r="R28" i="8"/>
  <c r="S28" i="8" s="1"/>
  <c r="O28" i="8"/>
  <c r="P28" i="8"/>
  <c r="P38" i="6"/>
  <c r="Q38" i="6"/>
  <c r="O38" i="6"/>
  <c r="R38" i="6"/>
  <c r="S38" i="6" s="1"/>
  <c r="Q25" i="6"/>
  <c r="R25" i="6"/>
  <c r="S25" i="6" s="1"/>
  <c r="O25" i="6"/>
  <c r="P25" i="6"/>
  <c r="O25" i="7"/>
  <c r="P25" i="7"/>
  <c r="Q25" i="7"/>
  <c r="R25" i="7"/>
  <c r="S25" i="7" s="1"/>
  <c r="O38" i="8"/>
  <c r="Q38" i="8"/>
  <c r="R38" i="8"/>
  <c r="S38" i="8" s="1"/>
  <c r="P38" i="8"/>
  <c r="O27" i="1"/>
  <c r="P27" i="1"/>
  <c r="Q27" i="1"/>
  <c r="R27" i="1"/>
  <c r="S27" i="1" s="1"/>
  <c r="O27" i="8"/>
  <c r="P27" i="8"/>
  <c r="Q27" i="8"/>
  <c r="R27" i="8"/>
  <c r="S27" i="8" s="1"/>
  <c r="O78" i="1"/>
  <c r="P78" i="1"/>
  <c r="R78" i="1"/>
  <c r="Q78" i="1"/>
  <c r="O26" i="6"/>
  <c r="P26" i="6"/>
  <c r="Q26" i="6"/>
  <c r="R26" i="6"/>
  <c r="S26" i="6" s="1"/>
  <c r="P26" i="7"/>
  <c r="Q26" i="7"/>
  <c r="O26" i="7"/>
  <c r="R26" i="7"/>
  <c r="S26" i="7" s="1"/>
  <c r="Q78" i="6"/>
  <c r="R78" i="6"/>
  <c r="O78" i="6"/>
  <c r="P78" i="6"/>
  <c r="R27" i="6"/>
  <c r="S27" i="6" s="1"/>
  <c r="Q27" i="6"/>
  <c r="O27" i="6"/>
  <c r="P27" i="6"/>
  <c r="Q27" i="7"/>
  <c r="R27" i="7"/>
  <c r="S27" i="7" s="1"/>
  <c r="O27" i="7"/>
  <c r="P27" i="7"/>
  <c r="O28" i="6"/>
  <c r="P28" i="6"/>
  <c r="Q28" i="6"/>
  <c r="R28" i="6"/>
  <c r="S28" i="6" s="1"/>
  <c r="O28" i="7"/>
  <c r="P28" i="7"/>
  <c r="Q28" i="7"/>
  <c r="R28" i="7"/>
  <c r="S28" i="7" s="1"/>
  <c r="Q25" i="1"/>
  <c r="R25" i="1"/>
  <c r="S25" i="1" s="1"/>
  <c r="P25" i="1"/>
  <c r="O25" i="1"/>
  <c r="Q25" i="8"/>
  <c r="R25" i="8"/>
  <c r="S25" i="8" s="1"/>
  <c r="P25" i="8"/>
  <c r="O25" i="8"/>
  <c r="O78" i="7"/>
  <c r="P78" i="7"/>
  <c r="Q78" i="7"/>
  <c r="T78" i="7" s="1"/>
  <c r="U78" i="7" s="1"/>
  <c r="R78" i="7"/>
  <c r="S78" i="7" s="1"/>
  <c r="P38" i="7"/>
  <c r="Q38" i="7"/>
  <c r="R38" i="7"/>
  <c r="S38" i="7" s="1"/>
  <c r="O38" i="7"/>
  <c r="Q11" i="1"/>
  <c r="P11" i="1"/>
  <c r="O11" i="1"/>
  <c r="P11" i="8"/>
  <c r="R11" i="8"/>
  <c r="Q11" i="8"/>
  <c r="T11" i="8" s="1"/>
  <c r="O11" i="8"/>
  <c r="Q11" i="6"/>
  <c r="P11" i="6"/>
  <c r="O11" i="6"/>
  <c r="Q11" i="7"/>
  <c r="R11" i="7"/>
  <c r="P11" i="7"/>
  <c r="O11" i="7"/>
  <c r="R11" i="6"/>
  <c r="R11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K89" i="1"/>
  <c r="AK88" i="1"/>
  <c r="AK87" i="1"/>
  <c r="AK86" i="1"/>
  <c r="AK85" i="1"/>
  <c r="AK84" i="1"/>
  <c r="AK83" i="1"/>
  <c r="AK82" i="1"/>
  <c r="AK81" i="1"/>
  <c r="AK80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0" i="1"/>
  <c r="AK59" i="1"/>
  <c r="AK58" i="1"/>
  <c r="AK57" i="1"/>
  <c r="AK56" i="1"/>
  <c r="AK55" i="1"/>
  <c r="AK54" i="1"/>
  <c r="AK53" i="1"/>
  <c r="AK52" i="1"/>
  <c r="AK51" i="1"/>
  <c r="AK50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4" i="1"/>
  <c r="AK23" i="1"/>
  <c r="AK22" i="1"/>
  <c r="AK21" i="1"/>
  <c r="AL21" i="7"/>
  <c r="AM21" i="7"/>
  <c r="AL41" i="7"/>
  <c r="AM41" i="7"/>
  <c r="AL42" i="7"/>
  <c r="AM42" i="7"/>
  <c r="AL43" i="7"/>
  <c r="AM43" i="7"/>
  <c r="AL44" i="7"/>
  <c r="AM44" i="7"/>
  <c r="AL45" i="7"/>
  <c r="AM45" i="7"/>
  <c r="AL46" i="7"/>
  <c r="AM46" i="7"/>
  <c r="AL52" i="7"/>
  <c r="AM52" i="7"/>
  <c r="AL53" i="7"/>
  <c r="AM53" i="7"/>
  <c r="AL54" i="7"/>
  <c r="AM54" i="7"/>
  <c r="AL55" i="7"/>
  <c r="AM55" i="7"/>
  <c r="AL56" i="7"/>
  <c r="AM56" i="7"/>
  <c r="AL57" i="7"/>
  <c r="AM57" i="7"/>
  <c r="AL58" i="7"/>
  <c r="AM58" i="7"/>
  <c r="AL59" i="7"/>
  <c r="AM59" i="7"/>
  <c r="AL60" i="7"/>
  <c r="AM60" i="7"/>
  <c r="AL63" i="7"/>
  <c r="AM63" i="7"/>
  <c r="AL64" i="7"/>
  <c r="AM64" i="7"/>
  <c r="AL65" i="7"/>
  <c r="AM65" i="7"/>
  <c r="AL66" i="7"/>
  <c r="AM66" i="7"/>
  <c r="AL67" i="7"/>
  <c r="AM67" i="7"/>
  <c r="AL68" i="7"/>
  <c r="AM68" i="7"/>
  <c r="AL69" i="7"/>
  <c r="AM69" i="7"/>
  <c r="AL70" i="7"/>
  <c r="AM70" i="7"/>
  <c r="AL71" i="7"/>
  <c r="AM71" i="7"/>
  <c r="AL72" i="7"/>
  <c r="AM72" i="7"/>
  <c r="AL73" i="7"/>
  <c r="AM73" i="7"/>
  <c r="AL74" i="7"/>
  <c r="AM74" i="7"/>
  <c r="AL75" i="7"/>
  <c r="AM75" i="7"/>
  <c r="AL76" i="7"/>
  <c r="AM76" i="7"/>
  <c r="AL77" i="7"/>
  <c r="AM77" i="7"/>
  <c r="AL80" i="7"/>
  <c r="AM80" i="7"/>
  <c r="AL81" i="7"/>
  <c r="AM81" i="7"/>
  <c r="AL82" i="7"/>
  <c r="AM82" i="7"/>
  <c r="AL83" i="7"/>
  <c r="AM83" i="7"/>
  <c r="AL84" i="7"/>
  <c r="AM84" i="7"/>
  <c r="AL85" i="7"/>
  <c r="AM85" i="7"/>
  <c r="AL86" i="7"/>
  <c r="AM86" i="7"/>
  <c r="AL87" i="7"/>
  <c r="AM87" i="7"/>
  <c r="AL88" i="7"/>
  <c r="AM88" i="7"/>
  <c r="AL89" i="7"/>
  <c r="AM89" i="7"/>
  <c r="AK89" i="7"/>
  <c r="AK88" i="7"/>
  <c r="AK87" i="7"/>
  <c r="AK86" i="7"/>
  <c r="AK85" i="7"/>
  <c r="AK84" i="7"/>
  <c r="AK83" i="7"/>
  <c r="AK82" i="7"/>
  <c r="AK81" i="7"/>
  <c r="AK80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60" i="7"/>
  <c r="AK59" i="7"/>
  <c r="AK58" i="7"/>
  <c r="AK57" i="7"/>
  <c r="AK56" i="7"/>
  <c r="AK55" i="7"/>
  <c r="AK54" i="7"/>
  <c r="AK53" i="7"/>
  <c r="AK52" i="7"/>
  <c r="AK51" i="7"/>
  <c r="AK50" i="7"/>
  <c r="AK47" i="7"/>
  <c r="AK46" i="7"/>
  <c r="AK45" i="7"/>
  <c r="AK44" i="7"/>
  <c r="AK43" i="7"/>
  <c r="AK42" i="7"/>
  <c r="AK41" i="7"/>
  <c r="AK40" i="7"/>
  <c r="AK39" i="7"/>
  <c r="AK37" i="7"/>
  <c r="AK36" i="7"/>
  <c r="AK35" i="7"/>
  <c r="AK34" i="7"/>
  <c r="AK33" i="7"/>
  <c r="AK32" i="7"/>
  <c r="AK31" i="7"/>
  <c r="AK30" i="7"/>
  <c r="AK29" i="7"/>
  <c r="AK23" i="7"/>
  <c r="AK22" i="7"/>
  <c r="AK21" i="7"/>
  <c r="BX78" i="1" l="1"/>
  <c r="BX78" i="8"/>
  <c r="BU40" i="7"/>
  <c r="BW40" i="7"/>
  <c r="BV40" i="7"/>
  <c r="BU57" i="1"/>
  <c r="BV57" i="1"/>
  <c r="BW57" i="1"/>
  <c r="BU29" i="7"/>
  <c r="BV29" i="7"/>
  <c r="BW29" i="7"/>
  <c r="BW42" i="7"/>
  <c r="BU42" i="7"/>
  <c r="BV42" i="7"/>
  <c r="BU56" i="7"/>
  <c r="BW56" i="7"/>
  <c r="BV56" i="7"/>
  <c r="BU70" i="7"/>
  <c r="BW70" i="7"/>
  <c r="BV70" i="7"/>
  <c r="BV84" i="7"/>
  <c r="BW84" i="7"/>
  <c r="BU84" i="7"/>
  <c r="BU33" i="1"/>
  <c r="BV33" i="1"/>
  <c r="BW33" i="1"/>
  <c r="BU45" i="1"/>
  <c r="BW45" i="1"/>
  <c r="BV45" i="1"/>
  <c r="BW59" i="1"/>
  <c r="BV59" i="1"/>
  <c r="BU59" i="1"/>
  <c r="BU73" i="1"/>
  <c r="BV73" i="1"/>
  <c r="BW73" i="1"/>
  <c r="BV87" i="1"/>
  <c r="BW87" i="1"/>
  <c r="BU87" i="1"/>
  <c r="BX78" i="7"/>
  <c r="BW68" i="7"/>
  <c r="BU68" i="7"/>
  <c r="BV68" i="7"/>
  <c r="BW55" i="7"/>
  <c r="BU55" i="7"/>
  <c r="BV55" i="7"/>
  <c r="BU32" i="1"/>
  <c r="BV32" i="1"/>
  <c r="BW32" i="1"/>
  <c r="BW58" i="1"/>
  <c r="BU58" i="1"/>
  <c r="BV58" i="1"/>
  <c r="BU86" i="1"/>
  <c r="BV86" i="1"/>
  <c r="BW86" i="1"/>
  <c r="BW30" i="7"/>
  <c r="BU30" i="7"/>
  <c r="BV30" i="7"/>
  <c r="BU57" i="7"/>
  <c r="BV57" i="7"/>
  <c r="BW57" i="7"/>
  <c r="BW85" i="7"/>
  <c r="BU85" i="7"/>
  <c r="BV85" i="7"/>
  <c r="BW46" i="1"/>
  <c r="BV46" i="1"/>
  <c r="BU46" i="1"/>
  <c r="BV74" i="1"/>
  <c r="BW74" i="1"/>
  <c r="BU74" i="1"/>
  <c r="BV88" i="1"/>
  <c r="BU88" i="1"/>
  <c r="BW88" i="1"/>
  <c r="BU31" i="7"/>
  <c r="BV31" i="7"/>
  <c r="BW31" i="7"/>
  <c r="BW58" i="7"/>
  <c r="BU58" i="7"/>
  <c r="BV58" i="7"/>
  <c r="BV72" i="7"/>
  <c r="BW72" i="7"/>
  <c r="BU72" i="7"/>
  <c r="BX78" i="6"/>
  <c r="BU23" i="7"/>
  <c r="BV23" i="7"/>
  <c r="BW23" i="7"/>
  <c r="BU69" i="7"/>
  <c r="BW69" i="7"/>
  <c r="BV69" i="7"/>
  <c r="BV44" i="7"/>
  <c r="BW44" i="7"/>
  <c r="BU44" i="7"/>
  <c r="BW35" i="1"/>
  <c r="BU35" i="1"/>
  <c r="BV35" i="1"/>
  <c r="BW47" i="1"/>
  <c r="BV47" i="1"/>
  <c r="BU47" i="1"/>
  <c r="BV63" i="1"/>
  <c r="BW63" i="1"/>
  <c r="BU63" i="1"/>
  <c r="BV75" i="1"/>
  <c r="BW75" i="1"/>
  <c r="BU75" i="1"/>
  <c r="BU89" i="1"/>
  <c r="BV89" i="1"/>
  <c r="BW89" i="1"/>
  <c r="BV32" i="7"/>
  <c r="BW32" i="7"/>
  <c r="BU32" i="7"/>
  <c r="BU45" i="7"/>
  <c r="BV45" i="7"/>
  <c r="BW45" i="7"/>
  <c r="BU59" i="7"/>
  <c r="BW59" i="7"/>
  <c r="BV59" i="7"/>
  <c r="BU73" i="7"/>
  <c r="BV73" i="7"/>
  <c r="BW73" i="7"/>
  <c r="BU87" i="7"/>
  <c r="BV87" i="7"/>
  <c r="BW87" i="7"/>
  <c r="BU36" i="1"/>
  <c r="BV36" i="1"/>
  <c r="BW36" i="1"/>
  <c r="BU50" i="1"/>
  <c r="BV50" i="1"/>
  <c r="BW50" i="1"/>
  <c r="BV64" i="1"/>
  <c r="BW64" i="1"/>
  <c r="BU64" i="1"/>
  <c r="BV76" i="1"/>
  <c r="BU76" i="1"/>
  <c r="BW76" i="1"/>
  <c r="BU43" i="1"/>
  <c r="BV43" i="1"/>
  <c r="BW43" i="1"/>
  <c r="BU71" i="1"/>
  <c r="BV71" i="1"/>
  <c r="BW71" i="1"/>
  <c r="BU85" i="1"/>
  <c r="BV85" i="1"/>
  <c r="BW85" i="1"/>
  <c r="BU41" i="7"/>
  <c r="BV41" i="7"/>
  <c r="BW41" i="7"/>
  <c r="BU83" i="7"/>
  <c r="BV83" i="7"/>
  <c r="BW83" i="7"/>
  <c r="BU44" i="1"/>
  <c r="BV44" i="1"/>
  <c r="BW44" i="1"/>
  <c r="BU72" i="1"/>
  <c r="BV72" i="1"/>
  <c r="BW72" i="1"/>
  <c r="BU43" i="7"/>
  <c r="BV43" i="7"/>
  <c r="BW43" i="7"/>
  <c r="BU71" i="7"/>
  <c r="BV71" i="7"/>
  <c r="BW71" i="7"/>
  <c r="BW34" i="1"/>
  <c r="BU34" i="1"/>
  <c r="BV34" i="1"/>
  <c r="BU60" i="1"/>
  <c r="BV60" i="1"/>
  <c r="BW60" i="1"/>
  <c r="BU86" i="7"/>
  <c r="BV86" i="7"/>
  <c r="BW86" i="7"/>
  <c r="BU33" i="7"/>
  <c r="BV33" i="7"/>
  <c r="BW33" i="7"/>
  <c r="BW46" i="7"/>
  <c r="BU46" i="7"/>
  <c r="BV46" i="7"/>
  <c r="BU60" i="7"/>
  <c r="BV60" i="7"/>
  <c r="BW60" i="7"/>
  <c r="BU74" i="7"/>
  <c r="BV74" i="7"/>
  <c r="BW74" i="7"/>
  <c r="BV88" i="7"/>
  <c r="BW88" i="7"/>
  <c r="BU88" i="7"/>
  <c r="BU21" i="1"/>
  <c r="BV21" i="1"/>
  <c r="BW21" i="1"/>
  <c r="BU37" i="1"/>
  <c r="BV37" i="1"/>
  <c r="BW37" i="1"/>
  <c r="BU51" i="1"/>
  <c r="BV51" i="1"/>
  <c r="BW51" i="1"/>
  <c r="BU65" i="1"/>
  <c r="BV65" i="1"/>
  <c r="BW65" i="1"/>
  <c r="BU77" i="1"/>
  <c r="BV77" i="1"/>
  <c r="BW77" i="1"/>
  <c r="BU34" i="7"/>
  <c r="BV34" i="7"/>
  <c r="BW34" i="7"/>
  <c r="BU38" i="1"/>
  <c r="BV38" i="1"/>
  <c r="BW38" i="1"/>
  <c r="BU35" i="7"/>
  <c r="BV35" i="7"/>
  <c r="BW35" i="7"/>
  <c r="BV76" i="7"/>
  <c r="BW76" i="7"/>
  <c r="BU76" i="7"/>
  <c r="BW23" i="1"/>
  <c r="BU23" i="1"/>
  <c r="BV23" i="1"/>
  <c r="BU67" i="1"/>
  <c r="BV67" i="1"/>
  <c r="BW67" i="1"/>
  <c r="BW81" i="1"/>
  <c r="BU81" i="1"/>
  <c r="BV81" i="1"/>
  <c r="BU22" i="7"/>
  <c r="BV22" i="7"/>
  <c r="BW22" i="7"/>
  <c r="BV54" i="7"/>
  <c r="BW54" i="7"/>
  <c r="BU54" i="7"/>
  <c r="BU82" i="7"/>
  <c r="BW82" i="7"/>
  <c r="BV82" i="7"/>
  <c r="BU31" i="1"/>
  <c r="BV31" i="1"/>
  <c r="BW31" i="1"/>
  <c r="BU47" i="7"/>
  <c r="BW47" i="7"/>
  <c r="BV47" i="7"/>
  <c r="BW89" i="7"/>
  <c r="BU89" i="7"/>
  <c r="BV89" i="7"/>
  <c r="BU66" i="1"/>
  <c r="BV66" i="1"/>
  <c r="BW66" i="1"/>
  <c r="BV50" i="7"/>
  <c r="BW50" i="7"/>
  <c r="BU50" i="7"/>
  <c r="BV39" i="1"/>
  <c r="BU39" i="1"/>
  <c r="BW39" i="1"/>
  <c r="BW65" i="7"/>
  <c r="BU65" i="7"/>
  <c r="BV65" i="7"/>
  <c r="BU24" i="1"/>
  <c r="BV24" i="1"/>
  <c r="BW24" i="1"/>
  <c r="BV40" i="1"/>
  <c r="BW40" i="1"/>
  <c r="BU40" i="1"/>
  <c r="BV54" i="1"/>
  <c r="BW54" i="1"/>
  <c r="BU54" i="1"/>
  <c r="BW68" i="1"/>
  <c r="BU68" i="1"/>
  <c r="BV68" i="1"/>
  <c r="BU82" i="1"/>
  <c r="BV82" i="1"/>
  <c r="BW82" i="1"/>
  <c r="BV63" i="7"/>
  <c r="BW63" i="7"/>
  <c r="BU63" i="7"/>
  <c r="BU52" i="1"/>
  <c r="BV52" i="1"/>
  <c r="BW52" i="1"/>
  <c r="BV64" i="7"/>
  <c r="BW64" i="7"/>
  <c r="BU64" i="7"/>
  <c r="BV53" i="1"/>
  <c r="BW53" i="1"/>
  <c r="BU53" i="1"/>
  <c r="BW36" i="7"/>
  <c r="BV36" i="7"/>
  <c r="BU36" i="7"/>
  <c r="BU51" i="7"/>
  <c r="BV51" i="7"/>
  <c r="BW51" i="7"/>
  <c r="BW77" i="7"/>
  <c r="BU77" i="7"/>
  <c r="BV77" i="7"/>
  <c r="BW37" i="7"/>
  <c r="BU37" i="7"/>
  <c r="BV37" i="7"/>
  <c r="BU52" i="7"/>
  <c r="BV52" i="7"/>
  <c r="BW52" i="7"/>
  <c r="BU66" i="7"/>
  <c r="BW66" i="7"/>
  <c r="BV66" i="7"/>
  <c r="BW80" i="7"/>
  <c r="BU80" i="7"/>
  <c r="BV80" i="7"/>
  <c r="BV29" i="1"/>
  <c r="BW29" i="1"/>
  <c r="BU29" i="1"/>
  <c r="BV41" i="1"/>
  <c r="BW41" i="1"/>
  <c r="BU41" i="1"/>
  <c r="BU55" i="1"/>
  <c r="BV55" i="1"/>
  <c r="BW55" i="1"/>
  <c r="BW69" i="1"/>
  <c r="BU69" i="1"/>
  <c r="BV69" i="1"/>
  <c r="BU83" i="1"/>
  <c r="BW83" i="1"/>
  <c r="BV83" i="1"/>
  <c r="BV75" i="7"/>
  <c r="BW75" i="7"/>
  <c r="BU75" i="7"/>
  <c r="BW22" i="1"/>
  <c r="BU22" i="1"/>
  <c r="BV22" i="1"/>
  <c r="BW80" i="1"/>
  <c r="BV80" i="1"/>
  <c r="BU80" i="1"/>
  <c r="BU21" i="7"/>
  <c r="BV21" i="7"/>
  <c r="BW21" i="7"/>
  <c r="BU39" i="7"/>
  <c r="BV39" i="7"/>
  <c r="BW39" i="7"/>
  <c r="BV53" i="7"/>
  <c r="BU53" i="7"/>
  <c r="BW53" i="7"/>
  <c r="BU67" i="7"/>
  <c r="BV67" i="7"/>
  <c r="BW67" i="7"/>
  <c r="BU81" i="7"/>
  <c r="BW81" i="7"/>
  <c r="BV81" i="7"/>
  <c r="BV30" i="1"/>
  <c r="BW30" i="1"/>
  <c r="BU30" i="1"/>
  <c r="BV42" i="1"/>
  <c r="BU42" i="1"/>
  <c r="BW42" i="1"/>
  <c r="BV56" i="1"/>
  <c r="BU56" i="1"/>
  <c r="BW56" i="1"/>
  <c r="BU70" i="1"/>
  <c r="BV70" i="1"/>
  <c r="BW70" i="1"/>
  <c r="BU84" i="1"/>
  <c r="BV84" i="1"/>
  <c r="BW84" i="1"/>
  <c r="AC78" i="7"/>
  <c r="S78" i="1"/>
  <c r="AC78" i="1" s="1"/>
  <c r="S78" i="8"/>
  <c r="AC78" i="8" s="1"/>
  <c r="S78" i="6"/>
  <c r="AC78" i="6" s="1"/>
  <c r="V78" i="1"/>
  <c r="W78" i="6"/>
  <c r="V78" i="6"/>
  <c r="W78" i="7"/>
  <c r="AB78" i="1"/>
  <c r="T78" i="6"/>
  <c r="U78" i="6" s="1"/>
  <c r="W78" i="1"/>
  <c r="V78" i="7"/>
  <c r="T78" i="1"/>
  <c r="U78" i="1" s="1"/>
  <c r="O21" i="7"/>
  <c r="P21" i="7"/>
  <c r="Q21" i="7"/>
  <c r="R21" i="7"/>
  <c r="S21" i="7" s="1"/>
  <c r="Q38" i="1"/>
  <c r="R38" i="1"/>
  <c r="S38" i="1" s="1"/>
  <c r="P38" i="1"/>
  <c r="O38" i="1"/>
  <c r="O74" i="1"/>
  <c r="P74" i="1"/>
  <c r="Q74" i="1"/>
  <c r="R74" i="1"/>
  <c r="S74" i="1" s="1"/>
  <c r="O23" i="7"/>
  <c r="P23" i="7"/>
  <c r="Q23" i="7"/>
  <c r="R23" i="7"/>
  <c r="S23" i="7" s="1"/>
  <c r="O22" i="1"/>
  <c r="P22" i="1"/>
  <c r="Q22" i="1"/>
  <c r="R22" i="1"/>
  <c r="S22" i="1" s="1"/>
  <c r="O42" i="1"/>
  <c r="P42" i="1"/>
  <c r="Q42" i="1"/>
  <c r="R42" i="1"/>
  <c r="S42" i="1" s="1"/>
  <c r="P60" i="1"/>
  <c r="Q60" i="1"/>
  <c r="O60" i="1"/>
  <c r="R60" i="1"/>
  <c r="S60" i="1" s="1"/>
  <c r="O80" i="1"/>
  <c r="R80" i="1"/>
  <c r="S80" i="1" s="1"/>
  <c r="P80" i="1"/>
  <c r="Q80" i="1"/>
  <c r="P87" i="7"/>
  <c r="Q87" i="7"/>
  <c r="O87" i="7"/>
  <c r="R87" i="7"/>
  <c r="S87" i="7" s="1"/>
  <c r="P24" i="1"/>
  <c r="Q24" i="1"/>
  <c r="R24" i="1"/>
  <c r="S24" i="1" s="1"/>
  <c r="O24" i="1"/>
  <c r="R36" i="1"/>
  <c r="S36" i="1" s="1"/>
  <c r="Q36" i="1"/>
  <c r="O36" i="1"/>
  <c r="P36" i="1"/>
  <c r="O44" i="1"/>
  <c r="P44" i="1"/>
  <c r="R44" i="1"/>
  <c r="S44" i="1" s="1"/>
  <c r="Q44" i="1"/>
  <c r="O54" i="1"/>
  <c r="P54" i="1"/>
  <c r="Q54" i="1"/>
  <c r="R54" i="1"/>
  <c r="S54" i="1" s="1"/>
  <c r="O64" i="1"/>
  <c r="P64" i="1"/>
  <c r="Q64" i="1"/>
  <c r="R64" i="1"/>
  <c r="S64" i="1" s="1"/>
  <c r="Q72" i="1"/>
  <c r="R72" i="1"/>
  <c r="S72" i="1" s="1"/>
  <c r="P72" i="1"/>
  <c r="O72" i="1"/>
  <c r="Q82" i="1"/>
  <c r="R82" i="1"/>
  <c r="S82" i="1" s="1"/>
  <c r="P82" i="1"/>
  <c r="O82" i="1"/>
  <c r="W78" i="8"/>
  <c r="R33" i="7"/>
  <c r="S33" i="7" s="1"/>
  <c r="P33" i="7"/>
  <c r="Q33" i="7"/>
  <c r="O33" i="7"/>
  <c r="R88" i="7"/>
  <c r="S88" i="7" s="1"/>
  <c r="Q88" i="7"/>
  <c r="O88" i="7"/>
  <c r="P88" i="7"/>
  <c r="R45" i="1"/>
  <c r="S45" i="1" s="1"/>
  <c r="Q45" i="1"/>
  <c r="O45" i="1"/>
  <c r="P45" i="1"/>
  <c r="O65" i="1"/>
  <c r="P65" i="1"/>
  <c r="Q65" i="1"/>
  <c r="R65" i="1"/>
  <c r="S65" i="1" s="1"/>
  <c r="Q83" i="1"/>
  <c r="O83" i="1"/>
  <c r="P83" i="1"/>
  <c r="R83" i="1"/>
  <c r="S83" i="1" s="1"/>
  <c r="Q29" i="1"/>
  <c r="R29" i="1"/>
  <c r="S29" i="1" s="1"/>
  <c r="P29" i="1"/>
  <c r="O29" i="1"/>
  <c r="O55" i="1"/>
  <c r="Q55" i="1"/>
  <c r="R55" i="1"/>
  <c r="S55" i="1" s="1"/>
  <c r="P55" i="1"/>
  <c r="R73" i="1"/>
  <c r="S73" i="1" s="1"/>
  <c r="O73" i="1"/>
  <c r="P73" i="1"/>
  <c r="Q73" i="1"/>
  <c r="Q34" i="7"/>
  <c r="R34" i="7"/>
  <c r="S34" i="7" s="1"/>
  <c r="O34" i="7"/>
  <c r="P34" i="7"/>
  <c r="P63" i="7"/>
  <c r="Q63" i="7"/>
  <c r="R63" i="7"/>
  <c r="S63" i="7" s="1"/>
  <c r="O63" i="7"/>
  <c r="O89" i="7"/>
  <c r="P89" i="7"/>
  <c r="Q89" i="7"/>
  <c r="R89" i="7"/>
  <c r="S89" i="7" s="1"/>
  <c r="P56" i="1"/>
  <c r="O56" i="1"/>
  <c r="R56" i="1"/>
  <c r="S56" i="1" s="1"/>
  <c r="Q56" i="1"/>
  <c r="P84" i="1"/>
  <c r="Q84" i="1"/>
  <c r="O84" i="1"/>
  <c r="R84" i="1"/>
  <c r="S84" i="1" s="1"/>
  <c r="O22" i="7"/>
  <c r="Q22" i="7"/>
  <c r="P22" i="7"/>
  <c r="R22" i="7"/>
  <c r="S22" i="7" s="1"/>
  <c r="P35" i="7"/>
  <c r="Q35" i="7"/>
  <c r="O35" i="7"/>
  <c r="R35" i="7"/>
  <c r="S35" i="7" s="1"/>
  <c r="O72" i="7"/>
  <c r="P72" i="7"/>
  <c r="Q72" i="7"/>
  <c r="R72" i="7"/>
  <c r="S72" i="7" s="1"/>
  <c r="Q31" i="1"/>
  <c r="R31" i="1"/>
  <c r="S31" i="1" s="1"/>
  <c r="P31" i="1"/>
  <c r="O31" i="1"/>
  <c r="R39" i="1"/>
  <c r="S39" i="1" s="1"/>
  <c r="O39" i="1"/>
  <c r="P39" i="1"/>
  <c r="Q39" i="1"/>
  <c r="O47" i="1"/>
  <c r="P47" i="1"/>
  <c r="Q47" i="1"/>
  <c r="R47" i="1"/>
  <c r="S47" i="1" s="1"/>
  <c r="P57" i="1"/>
  <c r="Q57" i="1"/>
  <c r="O57" i="1"/>
  <c r="R57" i="1"/>
  <c r="S57" i="1" s="1"/>
  <c r="Q67" i="1"/>
  <c r="R67" i="1"/>
  <c r="S67" i="1" s="1"/>
  <c r="P67" i="1"/>
  <c r="O67" i="1"/>
  <c r="P75" i="1"/>
  <c r="Q75" i="1"/>
  <c r="O75" i="1"/>
  <c r="R75" i="1"/>
  <c r="S75" i="1" s="1"/>
  <c r="Q85" i="1"/>
  <c r="R85" i="1"/>
  <c r="S85" i="1" s="1"/>
  <c r="P85" i="1"/>
  <c r="O85" i="1"/>
  <c r="O37" i="1"/>
  <c r="P37" i="1"/>
  <c r="Q37" i="1"/>
  <c r="R37" i="1"/>
  <c r="S37" i="1" s="1"/>
  <c r="P32" i="1"/>
  <c r="Q32" i="1"/>
  <c r="O32" i="1"/>
  <c r="R32" i="1"/>
  <c r="S32" i="1" s="1"/>
  <c r="O40" i="1"/>
  <c r="R40" i="1"/>
  <c r="S40" i="1" s="1"/>
  <c r="P40" i="1"/>
  <c r="Q40" i="1"/>
  <c r="Q50" i="1"/>
  <c r="R50" i="1"/>
  <c r="S50" i="1" s="1"/>
  <c r="P50" i="1"/>
  <c r="O50" i="1"/>
  <c r="R58" i="1"/>
  <c r="S58" i="1" s="1"/>
  <c r="Q58" i="1"/>
  <c r="P58" i="1"/>
  <c r="O58" i="1"/>
  <c r="R68" i="1"/>
  <c r="S68" i="1" s="1"/>
  <c r="Q68" i="1"/>
  <c r="O68" i="1"/>
  <c r="P68" i="1"/>
  <c r="O76" i="1"/>
  <c r="P76" i="1"/>
  <c r="Q76" i="1"/>
  <c r="R76" i="1"/>
  <c r="S76" i="1" s="1"/>
  <c r="Q86" i="1"/>
  <c r="R86" i="1"/>
  <c r="S86" i="1" s="1"/>
  <c r="O86" i="1"/>
  <c r="P86" i="1"/>
  <c r="P30" i="1"/>
  <c r="Q30" i="1"/>
  <c r="O30" i="1"/>
  <c r="R30" i="1"/>
  <c r="S30" i="1" s="1"/>
  <c r="P66" i="1"/>
  <c r="Q66" i="1"/>
  <c r="R66" i="1"/>
  <c r="S66" i="1" s="1"/>
  <c r="O66" i="1"/>
  <c r="R21" i="1"/>
  <c r="S21" i="1" s="1"/>
  <c r="O21" i="1"/>
  <c r="P21" i="1"/>
  <c r="Q21" i="1"/>
  <c r="R33" i="1"/>
  <c r="S33" i="1" s="1"/>
  <c r="P33" i="1"/>
  <c r="Q33" i="1"/>
  <c r="O33" i="1"/>
  <c r="P41" i="1"/>
  <c r="Q41" i="1"/>
  <c r="O41" i="1"/>
  <c r="R41" i="1"/>
  <c r="S41" i="1" s="1"/>
  <c r="R51" i="1"/>
  <c r="S51" i="1" s="1"/>
  <c r="O51" i="1"/>
  <c r="P51" i="1"/>
  <c r="Q51" i="1"/>
  <c r="Q59" i="1"/>
  <c r="R59" i="1"/>
  <c r="S59" i="1" s="1"/>
  <c r="O59" i="1"/>
  <c r="P59" i="1"/>
  <c r="O69" i="1"/>
  <c r="P69" i="1"/>
  <c r="Q69" i="1"/>
  <c r="R69" i="1"/>
  <c r="S69" i="1" s="1"/>
  <c r="P77" i="1"/>
  <c r="Q77" i="1"/>
  <c r="O77" i="1"/>
  <c r="R77" i="1"/>
  <c r="S77" i="1" s="1"/>
  <c r="O87" i="1"/>
  <c r="R87" i="1"/>
  <c r="S87" i="1" s="1"/>
  <c r="P87" i="1"/>
  <c r="Q87" i="1"/>
  <c r="O88" i="1"/>
  <c r="P88" i="1"/>
  <c r="Q88" i="1"/>
  <c r="R88" i="1"/>
  <c r="S88" i="1" s="1"/>
  <c r="R46" i="1"/>
  <c r="S46" i="1" s="1"/>
  <c r="O46" i="1"/>
  <c r="P46" i="1"/>
  <c r="Q46" i="1"/>
  <c r="O36" i="7"/>
  <c r="P36" i="7"/>
  <c r="Q36" i="7"/>
  <c r="R36" i="7"/>
  <c r="S36" i="7" s="1"/>
  <c r="Q73" i="7"/>
  <c r="R73" i="7"/>
  <c r="S73" i="7" s="1"/>
  <c r="P73" i="7"/>
  <c r="O73" i="7"/>
  <c r="P34" i="1"/>
  <c r="Q34" i="1"/>
  <c r="R34" i="1"/>
  <c r="S34" i="1" s="1"/>
  <c r="O34" i="1"/>
  <c r="O52" i="1"/>
  <c r="P52" i="1"/>
  <c r="Q52" i="1"/>
  <c r="R52" i="1"/>
  <c r="S52" i="1" s="1"/>
  <c r="R70" i="1"/>
  <c r="S70" i="1" s="1"/>
  <c r="Q70" i="1"/>
  <c r="P70" i="1"/>
  <c r="O70" i="1"/>
  <c r="Q86" i="7"/>
  <c r="R86" i="7"/>
  <c r="S86" i="7" s="1"/>
  <c r="O86" i="7"/>
  <c r="P86" i="7"/>
  <c r="R23" i="1"/>
  <c r="S23" i="1" s="1"/>
  <c r="Q23" i="1"/>
  <c r="O23" i="1"/>
  <c r="P23" i="1"/>
  <c r="P35" i="1"/>
  <c r="Q35" i="1"/>
  <c r="O35" i="1"/>
  <c r="R35" i="1"/>
  <c r="S35" i="1" s="1"/>
  <c r="P43" i="1"/>
  <c r="Q43" i="1"/>
  <c r="O43" i="1"/>
  <c r="R43" i="1"/>
  <c r="S43" i="1" s="1"/>
  <c r="O53" i="1"/>
  <c r="P53" i="1"/>
  <c r="Q53" i="1"/>
  <c r="R53" i="1"/>
  <c r="S53" i="1" s="1"/>
  <c r="O63" i="1"/>
  <c r="P63" i="1"/>
  <c r="Q63" i="1"/>
  <c r="R63" i="1"/>
  <c r="S63" i="1" s="1"/>
  <c r="O71" i="1"/>
  <c r="R71" i="1"/>
  <c r="S71" i="1" s="1"/>
  <c r="Q71" i="1"/>
  <c r="P71" i="1"/>
  <c r="Q81" i="1"/>
  <c r="R81" i="1"/>
  <c r="S81" i="1" s="1"/>
  <c r="O81" i="1"/>
  <c r="P81" i="1"/>
  <c r="R89" i="1"/>
  <c r="S89" i="1" s="1"/>
  <c r="Q89" i="1"/>
  <c r="O89" i="1"/>
  <c r="P89" i="1"/>
  <c r="V78" i="8"/>
  <c r="O68" i="7"/>
  <c r="P68" i="7"/>
  <c r="Q68" i="7"/>
  <c r="R68" i="7"/>
  <c r="S68" i="7" s="1"/>
  <c r="O29" i="7"/>
  <c r="P29" i="7"/>
  <c r="Q29" i="7"/>
  <c r="R29" i="7"/>
  <c r="S29" i="7" s="1"/>
  <c r="O31" i="7"/>
  <c r="P31" i="7"/>
  <c r="Q31" i="7"/>
  <c r="R31" i="7"/>
  <c r="S31" i="7" s="1"/>
  <c r="O70" i="7"/>
  <c r="P70" i="7"/>
  <c r="Q70" i="7"/>
  <c r="R70" i="7"/>
  <c r="S70" i="7" s="1"/>
  <c r="Q32" i="7"/>
  <c r="R32" i="7"/>
  <c r="S32" i="7" s="1"/>
  <c r="P32" i="7"/>
  <c r="O32" i="7"/>
  <c r="O69" i="7"/>
  <c r="P69" i="7"/>
  <c r="Q69" i="7"/>
  <c r="R69" i="7"/>
  <c r="S69" i="7" s="1"/>
  <c r="P71" i="7"/>
  <c r="Q71" i="7"/>
  <c r="R71" i="7"/>
  <c r="S71" i="7" s="1"/>
  <c r="O71" i="7"/>
  <c r="P30" i="7"/>
  <c r="Q30" i="7"/>
  <c r="R30" i="7"/>
  <c r="S30" i="7" s="1"/>
  <c r="O30" i="7"/>
  <c r="O74" i="7"/>
  <c r="P74" i="7"/>
  <c r="Q74" i="7"/>
  <c r="R74" i="7"/>
  <c r="S74" i="7" s="1"/>
  <c r="R66" i="7"/>
  <c r="S66" i="7" s="1"/>
  <c r="O66" i="7"/>
  <c r="P66" i="7"/>
  <c r="Q66" i="7"/>
  <c r="O75" i="7"/>
  <c r="P75" i="7"/>
  <c r="Q75" i="7"/>
  <c r="R75" i="7"/>
  <c r="S75" i="7" s="1"/>
  <c r="O76" i="7"/>
  <c r="P76" i="7"/>
  <c r="Q76" i="7"/>
  <c r="R76" i="7"/>
  <c r="S76" i="7" s="1"/>
  <c r="O77" i="7"/>
  <c r="P77" i="7"/>
  <c r="Q77" i="7"/>
  <c r="R77" i="7"/>
  <c r="S77" i="7" s="1"/>
  <c r="O67" i="7"/>
  <c r="P67" i="7"/>
  <c r="Q67" i="7"/>
  <c r="R67" i="7"/>
  <c r="S67" i="7" s="1"/>
  <c r="O82" i="7"/>
  <c r="P82" i="7"/>
  <c r="Q82" i="7"/>
  <c r="R82" i="7"/>
  <c r="S82" i="7" s="1"/>
  <c r="O53" i="7"/>
  <c r="P53" i="7"/>
  <c r="Q53" i="7"/>
  <c r="R53" i="7"/>
  <c r="S53" i="7" s="1"/>
  <c r="Q80" i="7"/>
  <c r="R80" i="7"/>
  <c r="S80" i="7" s="1"/>
  <c r="O80" i="7"/>
  <c r="P80" i="7"/>
  <c r="O81" i="7"/>
  <c r="P81" i="7"/>
  <c r="Q81" i="7"/>
  <c r="R81" i="7"/>
  <c r="S81" i="7" s="1"/>
  <c r="Q41" i="7"/>
  <c r="R41" i="7"/>
  <c r="S41" i="7" s="1"/>
  <c r="P41" i="7"/>
  <c r="O41" i="7"/>
  <c r="P56" i="7"/>
  <c r="R56" i="7"/>
  <c r="S56" i="7" s="1"/>
  <c r="Q56" i="7"/>
  <c r="O56" i="7"/>
  <c r="O84" i="7"/>
  <c r="P84" i="7"/>
  <c r="Q84" i="7"/>
  <c r="R84" i="7"/>
  <c r="S84" i="7" s="1"/>
  <c r="R54" i="7"/>
  <c r="S54" i="7" s="1"/>
  <c r="O54" i="7"/>
  <c r="P54" i="7"/>
  <c r="Q54" i="7"/>
  <c r="O55" i="7"/>
  <c r="P55" i="7"/>
  <c r="Q55" i="7"/>
  <c r="R55" i="7"/>
  <c r="S55" i="7" s="1"/>
  <c r="Q83" i="7"/>
  <c r="R83" i="7"/>
  <c r="S83" i="7" s="1"/>
  <c r="O83" i="7"/>
  <c r="P83" i="7"/>
  <c r="O42" i="7"/>
  <c r="P42" i="7"/>
  <c r="Q42" i="7"/>
  <c r="R42" i="7"/>
  <c r="S42" i="7" s="1"/>
  <c r="Q43" i="7"/>
  <c r="R43" i="7"/>
  <c r="S43" i="7" s="1"/>
  <c r="O43" i="7"/>
  <c r="P43" i="7"/>
  <c r="O57" i="7"/>
  <c r="P57" i="7"/>
  <c r="Q57" i="7"/>
  <c r="R57" i="7"/>
  <c r="S57" i="7" s="1"/>
  <c r="R85" i="7"/>
  <c r="S85" i="7" s="1"/>
  <c r="O85" i="7"/>
  <c r="P85" i="7"/>
  <c r="Q85" i="7"/>
  <c r="O50" i="7"/>
  <c r="P50" i="7"/>
  <c r="Q50" i="7"/>
  <c r="R50" i="7"/>
  <c r="S50" i="7" s="1"/>
  <c r="P58" i="7"/>
  <c r="Q58" i="7"/>
  <c r="O58" i="7"/>
  <c r="R58" i="7"/>
  <c r="S58" i="7" s="1"/>
  <c r="O47" i="7"/>
  <c r="P47" i="7"/>
  <c r="Q47" i="7"/>
  <c r="R47" i="7"/>
  <c r="S47" i="7" s="1"/>
  <c r="O64" i="7"/>
  <c r="P64" i="7"/>
  <c r="Q64" i="7"/>
  <c r="R64" i="7"/>
  <c r="S64" i="7" s="1"/>
  <c r="Q65" i="7"/>
  <c r="R65" i="7"/>
  <c r="S65" i="7" s="1"/>
  <c r="O65" i="7"/>
  <c r="P65" i="7"/>
  <c r="P52" i="7"/>
  <c r="Q52" i="7"/>
  <c r="R52" i="7"/>
  <c r="S52" i="7" s="1"/>
  <c r="O52" i="7"/>
  <c r="R40" i="7"/>
  <c r="S40" i="7" s="1"/>
  <c r="O40" i="7"/>
  <c r="P40" i="7"/>
  <c r="Q40" i="7"/>
  <c r="R59" i="7"/>
  <c r="S59" i="7" s="1"/>
  <c r="O59" i="7"/>
  <c r="P59" i="7"/>
  <c r="Q59" i="7"/>
  <c r="O51" i="7"/>
  <c r="P51" i="7"/>
  <c r="R51" i="7"/>
  <c r="S51" i="7" s="1"/>
  <c r="Q51" i="7"/>
  <c r="O37" i="7"/>
  <c r="P37" i="7"/>
  <c r="Q37" i="7"/>
  <c r="R37" i="7"/>
  <c r="S37" i="7" s="1"/>
  <c r="O39" i="7"/>
  <c r="P39" i="7"/>
  <c r="Q39" i="7"/>
  <c r="R39" i="7"/>
  <c r="S39" i="7" s="1"/>
  <c r="O44" i="7"/>
  <c r="P44" i="7"/>
  <c r="Q44" i="7"/>
  <c r="R44" i="7"/>
  <c r="S44" i="7" s="1"/>
  <c r="R45" i="7"/>
  <c r="S45" i="7" s="1"/>
  <c r="O45" i="7"/>
  <c r="Q45" i="7"/>
  <c r="P45" i="7"/>
  <c r="R46" i="7"/>
  <c r="S46" i="7" s="1"/>
  <c r="O46" i="7"/>
  <c r="P46" i="7"/>
  <c r="Q46" i="7"/>
  <c r="O60" i="7"/>
  <c r="P60" i="7"/>
  <c r="Q60" i="7"/>
  <c r="R60" i="7"/>
  <c r="S60" i="7" s="1"/>
  <c r="AA78" i="1"/>
  <c r="Z78" i="1"/>
  <c r="AA78" i="7"/>
  <c r="AB78" i="7"/>
  <c r="Z78" i="7"/>
  <c r="AB78" i="6"/>
  <c r="AA78" i="6"/>
  <c r="Z78" i="6"/>
  <c r="AA78" i="8"/>
  <c r="Z78" i="8"/>
  <c r="AB78" i="8"/>
  <c r="AM51" i="6"/>
  <c r="AM52" i="6"/>
  <c r="AM53" i="6"/>
  <c r="AM54" i="6"/>
  <c r="AM55" i="6"/>
  <c r="AM56" i="6"/>
  <c r="AM57" i="6"/>
  <c r="AM58" i="6"/>
  <c r="AM59" i="6"/>
  <c r="AM60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80" i="6"/>
  <c r="AM81" i="6"/>
  <c r="AM82" i="6"/>
  <c r="AM83" i="6"/>
  <c r="AM84" i="6"/>
  <c r="AM85" i="6"/>
  <c r="AM86" i="6"/>
  <c r="AM87" i="6"/>
  <c r="AM88" i="6"/>
  <c r="AM89" i="6"/>
  <c r="AM51" i="8"/>
  <c r="AM52" i="8"/>
  <c r="AM53" i="8"/>
  <c r="AM54" i="8"/>
  <c r="AM55" i="8"/>
  <c r="AM56" i="8"/>
  <c r="AM57" i="8"/>
  <c r="AM58" i="8"/>
  <c r="AM59" i="8"/>
  <c r="AM60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80" i="8"/>
  <c r="AM81" i="8"/>
  <c r="AM82" i="8"/>
  <c r="AM83" i="8"/>
  <c r="AM84" i="8"/>
  <c r="AM85" i="8"/>
  <c r="AM86" i="8"/>
  <c r="AM87" i="8"/>
  <c r="AM88" i="8"/>
  <c r="AM89" i="8"/>
  <c r="X78" i="6" l="1"/>
  <c r="Y78" i="6" s="1"/>
  <c r="X78" i="7"/>
  <c r="Y78" i="7" s="1"/>
  <c r="X78" i="8"/>
  <c r="Y78" i="8" s="1"/>
  <c r="X78" i="1"/>
  <c r="Y78" i="1" s="1"/>
  <c r="AK36" i="8"/>
  <c r="AK35" i="8"/>
  <c r="AK34" i="8"/>
  <c r="AK33" i="8"/>
  <c r="AK32" i="8"/>
  <c r="AK31" i="8"/>
  <c r="AK30" i="8"/>
  <c r="AK29" i="8"/>
  <c r="AK24" i="8"/>
  <c r="AK23" i="8"/>
  <c r="AK22" i="8"/>
  <c r="AK21" i="8"/>
  <c r="AK36" i="6"/>
  <c r="AK35" i="6"/>
  <c r="AK34" i="6"/>
  <c r="AK33" i="6"/>
  <c r="AK32" i="6"/>
  <c r="AK31" i="6"/>
  <c r="AK30" i="6"/>
  <c r="AK29" i="6"/>
  <c r="AK24" i="6"/>
  <c r="AK23" i="6"/>
  <c r="AK22" i="6"/>
  <c r="AK21" i="6"/>
  <c r="BU29" i="6" l="1"/>
  <c r="BV29" i="6"/>
  <c r="BW29" i="6"/>
  <c r="BV35" i="6"/>
  <c r="BU35" i="6"/>
  <c r="BW35" i="6"/>
  <c r="BU35" i="8"/>
  <c r="BW35" i="8"/>
  <c r="BV35" i="8"/>
  <c r="BU36" i="6"/>
  <c r="BV36" i="6"/>
  <c r="BW36" i="6"/>
  <c r="BU36" i="8"/>
  <c r="BV36" i="8"/>
  <c r="BW36" i="8"/>
  <c r="BW21" i="6"/>
  <c r="BU21" i="6"/>
  <c r="BV21" i="6"/>
  <c r="BW21" i="8"/>
  <c r="BV21" i="8"/>
  <c r="BU21" i="8"/>
  <c r="BV22" i="6"/>
  <c r="BW22" i="6"/>
  <c r="BU22" i="6"/>
  <c r="BU22" i="8"/>
  <c r="BV22" i="8"/>
  <c r="BW22" i="8"/>
  <c r="BV23" i="6"/>
  <c r="BW23" i="6"/>
  <c r="BU23" i="6"/>
  <c r="BU23" i="8"/>
  <c r="BV23" i="8"/>
  <c r="BW23" i="8"/>
  <c r="BU24" i="6"/>
  <c r="BV24" i="6"/>
  <c r="BW24" i="6"/>
  <c r="BU30" i="6"/>
  <c r="BV30" i="6"/>
  <c r="BW30" i="6"/>
  <c r="BU31" i="6"/>
  <c r="BV31" i="6"/>
  <c r="BW31" i="6"/>
  <c r="BU24" i="8"/>
  <c r="BV24" i="8"/>
  <c r="BW24" i="8"/>
  <c r="BU31" i="8"/>
  <c r="BV31" i="8"/>
  <c r="BW31" i="8"/>
  <c r="BV32" i="6"/>
  <c r="BW32" i="6"/>
  <c r="BU32" i="6"/>
  <c r="BV33" i="6"/>
  <c r="BU33" i="6"/>
  <c r="BW33" i="6"/>
  <c r="BU29" i="8"/>
  <c r="BV29" i="8"/>
  <c r="BW29" i="8"/>
  <c r="BU30" i="8"/>
  <c r="BV30" i="8"/>
  <c r="BW30" i="8"/>
  <c r="BW32" i="8"/>
  <c r="BU32" i="8"/>
  <c r="BV32" i="8"/>
  <c r="BW33" i="8"/>
  <c r="BU33" i="8"/>
  <c r="BV33" i="8"/>
  <c r="BV34" i="6"/>
  <c r="BW34" i="6"/>
  <c r="BU34" i="6"/>
  <c r="BU34" i="8"/>
  <c r="BV34" i="8"/>
  <c r="BW34" i="8"/>
  <c r="Q31" i="8"/>
  <c r="R31" i="8"/>
  <c r="S31" i="8" s="1"/>
  <c r="O31" i="8"/>
  <c r="P31" i="8"/>
  <c r="R34" i="6"/>
  <c r="S34" i="6" s="1"/>
  <c r="Q34" i="6"/>
  <c r="O34" i="6"/>
  <c r="P34" i="6"/>
  <c r="R23" i="6"/>
  <c r="S23" i="6" s="1"/>
  <c r="O23" i="6"/>
  <c r="P23" i="6"/>
  <c r="Q23" i="6"/>
  <c r="O35" i="6"/>
  <c r="P35" i="6"/>
  <c r="Q35" i="6"/>
  <c r="R35" i="6"/>
  <c r="S35" i="6" s="1"/>
  <c r="R24" i="6"/>
  <c r="S24" i="6" s="1"/>
  <c r="O24" i="6"/>
  <c r="P24" i="6"/>
  <c r="Q24" i="6"/>
  <c r="P36" i="6"/>
  <c r="Q36" i="6"/>
  <c r="O36" i="6"/>
  <c r="R36" i="6"/>
  <c r="S36" i="6" s="1"/>
  <c r="P32" i="8"/>
  <c r="Q32" i="8"/>
  <c r="O32" i="8"/>
  <c r="R32" i="8"/>
  <c r="S32" i="8" s="1"/>
  <c r="P30" i="8"/>
  <c r="Q30" i="8"/>
  <c r="R30" i="8"/>
  <c r="S30" i="8" s="1"/>
  <c r="O30" i="8"/>
  <c r="O29" i="6"/>
  <c r="P29" i="6"/>
  <c r="R29" i="6"/>
  <c r="S29" i="6" s="1"/>
  <c r="Q29" i="6"/>
  <c r="O30" i="6"/>
  <c r="P30" i="6"/>
  <c r="Q30" i="6"/>
  <c r="R30" i="6"/>
  <c r="S30" i="6" s="1"/>
  <c r="O22" i="8"/>
  <c r="P22" i="8"/>
  <c r="Q22" i="8"/>
  <c r="R22" i="8"/>
  <c r="S22" i="8" s="1"/>
  <c r="O34" i="8"/>
  <c r="P34" i="8"/>
  <c r="R34" i="8"/>
  <c r="S34" i="8" s="1"/>
  <c r="Q34" i="8"/>
  <c r="O21" i="8"/>
  <c r="P21" i="8"/>
  <c r="Q21" i="8"/>
  <c r="R21" i="8"/>
  <c r="S21" i="8" s="1"/>
  <c r="Q31" i="6"/>
  <c r="R31" i="6"/>
  <c r="S31" i="6" s="1"/>
  <c r="P31" i="6"/>
  <c r="O31" i="6"/>
  <c r="O23" i="8"/>
  <c r="P23" i="8"/>
  <c r="Q23" i="8"/>
  <c r="R23" i="8"/>
  <c r="S23" i="8" s="1"/>
  <c r="O35" i="8"/>
  <c r="R35" i="8"/>
  <c r="S35" i="8" s="1"/>
  <c r="Q35" i="8"/>
  <c r="P35" i="8"/>
  <c r="P22" i="6"/>
  <c r="Q22" i="6"/>
  <c r="O22" i="6"/>
  <c r="R22" i="6"/>
  <c r="S22" i="6" s="1"/>
  <c r="O33" i="8"/>
  <c r="P33" i="8"/>
  <c r="Q33" i="8"/>
  <c r="R33" i="8"/>
  <c r="S33" i="8" s="1"/>
  <c r="O24" i="8"/>
  <c r="Q24" i="8"/>
  <c r="R24" i="8"/>
  <c r="S24" i="8" s="1"/>
  <c r="P24" i="8"/>
  <c r="P32" i="6"/>
  <c r="Q32" i="6"/>
  <c r="R32" i="6"/>
  <c r="S32" i="6" s="1"/>
  <c r="O32" i="6"/>
  <c r="O36" i="8"/>
  <c r="Q36" i="8"/>
  <c r="R36" i="8"/>
  <c r="S36" i="8" s="1"/>
  <c r="P36" i="8"/>
  <c r="Q21" i="6"/>
  <c r="R21" i="6"/>
  <c r="S21" i="6" s="1"/>
  <c r="P21" i="6"/>
  <c r="O21" i="6"/>
  <c r="O33" i="6"/>
  <c r="P33" i="6"/>
  <c r="Q33" i="6"/>
  <c r="R33" i="6"/>
  <c r="S33" i="6" s="1"/>
  <c r="O29" i="8"/>
  <c r="P29" i="8"/>
  <c r="R29" i="8"/>
  <c r="S29" i="8" s="1"/>
  <c r="Q29" i="8"/>
  <c r="AK69" i="6"/>
  <c r="AK87" i="8" l="1"/>
  <c r="AK88" i="8"/>
  <c r="AK89" i="8"/>
  <c r="AL89" i="6" l="1"/>
  <c r="AL88" i="6"/>
  <c r="AL87" i="6"/>
  <c r="AL86" i="6"/>
  <c r="AL85" i="6"/>
  <c r="AL84" i="6"/>
  <c r="AL83" i="6"/>
  <c r="AL82" i="6"/>
  <c r="AL81" i="6"/>
  <c r="AL80" i="6"/>
  <c r="AL77" i="6"/>
  <c r="AL76" i="6"/>
  <c r="AL75" i="6"/>
  <c r="AL74" i="6"/>
  <c r="AL73" i="6"/>
  <c r="AL72" i="6"/>
  <c r="AL71" i="6"/>
  <c r="AL70" i="6"/>
  <c r="AL69" i="6"/>
  <c r="AL68" i="6"/>
  <c r="AL67" i="6"/>
  <c r="AL66" i="6"/>
  <c r="AL65" i="6"/>
  <c r="AL64" i="6"/>
  <c r="AL63" i="6"/>
  <c r="AL60" i="6"/>
  <c r="AL59" i="6"/>
  <c r="AL58" i="6"/>
  <c r="AL57" i="6"/>
  <c r="AL56" i="6"/>
  <c r="AL55" i="6"/>
  <c r="AL54" i="6"/>
  <c r="AL53" i="6"/>
  <c r="AL52" i="6"/>
  <c r="AL51" i="6"/>
  <c r="AL89" i="8"/>
  <c r="P89" i="8" s="1"/>
  <c r="AL88" i="8"/>
  <c r="O88" i="8" s="1"/>
  <c r="AL87" i="8"/>
  <c r="R87" i="8" s="1"/>
  <c r="S87" i="8" s="1"/>
  <c r="AL86" i="8"/>
  <c r="AL85" i="8"/>
  <c r="AL84" i="8"/>
  <c r="AL83" i="8"/>
  <c r="AL82" i="8"/>
  <c r="AL81" i="8"/>
  <c r="AL80" i="8"/>
  <c r="AL77" i="8"/>
  <c r="AL76" i="8"/>
  <c r="AL75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0" i="8"/>
  <c r="AL59" i="8"/>
  <c r="AL58" i="8"/>
  <c r="AL57" i="8"/>
  <c r="AL56" i="8"/>
  <c r="AL55" i="8"/>
  <c r="AL54" i="8"/>
  <c r="AL53" i="8"/>
  <c r="AL52" i="8"/>
  <c r="AL51" i="8"/>
  <c r="AK86" i="8"/>
  <c r="AK85" i="8"/>
  <c r="AK84" i="8"/>
  <c r="AK83" i="8"/>
  <c r="AK82" i="8"/>
  <c r="AK81" i="8"/>
  <c r="AK80" i="8"/>
  <c r="AK77" i="8"/>
  <c r="AK76" i="8"/>
  <c r="AK75" i="8"/>
  <c r="AK74" i="8"/>
  <c r="AK73" i="8"/>
  <c r="AK72" i="8"/>
  <c r="AK71" i="8"/>
  <c r="AK70" i="8"/>
  <c r="AK69" i="8"/>
  <c r="AK68" i="8"/>
  <c r="AK67" i="8"/>
  <c r="AK66" i="8"/>
  <c r="AK65" i="8"/>
  <c r="AK64" i="8"/>
  <c r="AK63" i="8"/>
  <c r="AK60" i="8"/>
  <c r="AK59" i="8"/>
  <c r="AK58" i="8"/>
  <c r="AK57" i="8"/>
  <c r="AK56" i="8"/>
  <c r="AK55" i="8"/>
  <c r="AK54" i="8"/>
  <c r="AK53" i="8"/>
  <c r="AK52" i="8"/>
  <c r="AK51" i="8"/>
  <c r="AK50" i="8"/>
  <c r="AK47" i="8"/>
  <c r="AK46" i="8"/>
  <c r="AK45" i="8"/>
  <c r="AK44" i="8"/>
  <c r="AK43" i="8"/>
  <c r="AK42" i="8"/>
  <c r="AK41" i="8"/>
  <c r="AK40" i="8"/>
  <c r="AK39" i="8"/>
  <c r="AK37" i="8"/>
  <c r="AK89" i="6"/>
  <c r="AK88" i="6"/>
  <c r="AK87" i="6"/>
  <c r="AK86" i="6"/>
  <c r="AK85" i="6"/>
  <c r="AK84" i="6"/>
  <c r="AK83" i="6"/>
  <c r="AK82" i="6"/>
  <c r="AK81" i="6"/>
  <c r="AK80" i="6"/>
  <c r="AK77" i="6"/>
  <c r="AK76" i="6"/>
  <c r="AK75" i="6"/>
  <c r="AK74" i="6"/>
  <c r="AK73" i="6"/>
  <c r="AK72" i="6"/>
  <c r="AK71" i="6"/>
  <c r="AK70" i="6"/>
  <c r="AK68" i="6"/>
  <c r="AK67" i="6"/>
  <c r="AK66" i="6"/>
  <c r="AK65" i="6"/>
  <c r="AK64" i="6"/>
  <c r="AK63" i="6"/>
  <c r="AK60" i="6"/>
  <c r="AK59" i="6"/>
  <c r="AK58" i="6"/>
  <c r="AK57" i="6"/>
  <c r="AK56" i="6"/>
  <c r="AK55" i="6"/>
  <c r="AK54" i="6"/>
  <c r="AK53" i="6"/>
  <c r="AK52" i="6"/>
  <c r="AK51" i="6"/>
  <c r="AK50" i="6"/>
  <c r="AK47" i="6"/>
  <c r="AK46" i="6"/>
  <c r="AK45" i="6"/>
  <c r="AK44" i="6"/>
  <c r="AK43" i="6"/>
  <c r="AK42" i="6"/>
  <c r="AK41" i="6"/>
  <c r="AK40" i="6"/>
  <c r="AK39" i="6"/>
  <c r="AK37" i="6"/>
  <c r="BW66" i="6" l="1"/>
  <c r="BU66" i="6"/>
  <c r="BV66" i="6"/>
  <c r="BU41" i="8"/>
  <c r="BV41" i="8"/>
  <c r="BW41" i="8"/>
  <c r="BW39" i="6"/>
  <c r="BV39" i="6"/>
  <c r="BU39" i="6"/>
  <c r="BU82" i="6"/>
  <c r="BV82" i="6"/>
  <c r="BW82" i="6"/>
  <c r="BW42" i="8"/>
  <c r="BU42" i="8"/>
  <c r="BV42" i="8"/>
  <c r="BW56" i="8"/>
  <c r="BU56" i="8"/>
  <c r="BV56" i="8"/>
  <c r="BU70" i="8"/>
  <c r="BV70" i="8"/>
  <c r="BW70" i="8"/>
  <c r="BU84" i="8"/>
  <c r="BW84" i="8"/>
  <c r="BV84" i="8"/>
  <c r="BV68" i="6"/>
  <c r="BW68" i="6"/>
  <c r="BU68" i="6"/>
  <c r="BU55" i="6"/>
  <c r="BV55" i="6"/>
  <c r="BW55" i="6"/>
  <c r="BW44" i="8"/>
  <c r="BV44" i="8"/>
  <c r="BU44" i="8"/>
  <c r="BV86" i="8"/>
  <c r="BU86" i="8"/>
  <c r="BW86" i="8"/>
  <c r="BW88" i="8"/>
  <c r="BU42" i="6"/>
  <c r="BV42" i="6"/>
  <c r="BW42" i="6"/>
  <c r="BU56" i="6"/>
  <c r="BV56" i="6"/>
  <c r="BW56" i="6"/>
  <c r="BU71" i="6"/>
  <c r="BV71" i="6"/>
  <c r="BW71" i="6"/>
  <c r="BW85" i="6"/>
  <c r="BV85" i="6"/>
  <c r="BU85" i="6"/>
  <c r="BW45" i="8"/>
  <c r="BU45" i="8"/>
  <c r="BV45" i="8"/>
  <c r="BU59" i="8"/>
  <c r="BW59" i="8"/>
  <c r="BV59" i="8"/>
  <c r="BV73" i="8"/>
  <c r="BW73" i="8"/>
  <c r="BU73" i="8"/>
  <c r="BU88" i="8"/>
  <c r="BU43" i="6"/>
  <c r="BV43" i="6"/>
  <c r="BW43" i="6"/>
  <c r="BW57" i="6"/>
  <c r="BU57" i="6"/>
  <c r="BV57" i="6"/>
  <c r="BU72" i="6"/>
  <c r="BV72" i="6"/>
  <c r="BW72" i="6"/>
  <c r="BW86" i="6"/>
  <c r="BU86" i="6"/>
  <c r="BV86" i="6"/>
  <c r="BU46" i="8"/>
  <c r="BV46" i="8"/>
  <c r="BW46" i="8"/>
  <c r="BU60" i="8"/>
  <c r="BV60" i="8"/>
  <c r="BW60" i="8"/>
  <c r="BU74" i="8"/>
  <c r="BV74" i="8"/>
  <c r="BW74" i="8"/>
  <c r="BV88" i="8"/>
  <c r="BW37" i="6"/>
  <c r="BU37" i="6"/>
  <c r="BV37" i="6"/>
  <c r="BW52" i="6"/>
  <c r="BV52" i="6"/>
  <c r="BU52" i="6"/>
  <c r="BU55" i="8"/>
  <c r="BW55" i="8"/>
  <c r="BV55" i="8"/>
  <c r="BU69" i="8"/>
  <c r="BW69" i="8"/>
  <c r="BV69" i="8"/>
  <c r="BU83" i="8"/>
  <c r="BV83" i="8"/>
  <c r="BW83" i="8"/>
  <c r="BU67" i="6"/>
  <c r="BW67" i="6"/>
  <c r="BV67" i="6"/>
  <c r="BW40" i="6"/>
  <c r="BU40" i="6"/>
  <c r="BV40" i="6"/>
  <c r="BU54" i="6"/>
  <c r="BW54" i="6"/>
  <c r="BV54" i="6"/>
  <c r="BU83" i="6"/>
  <c r="BW83" i="6"/>
  <c r="BV83" i="6"/>
  <c r="BU43" i="8"/>
  <c r="BW43" i="8"/>
  <c r="BV43" i="8"/>
  <c r="BW57" i="8"/>
  <c r="BU57" i="8"/>
  <c r="BV57" i="8"/>
  <c r="BW71" i="8"/>
  <c r="BU71" i="8"/>
  <c r="BV71" i="8"/>
  <c r="BV85" i="8"/>
  <c r="BW85" i="8"/>
  <c r="BU85" i="8"/>
  <c r="BV58" i="6"/>
  <c r="BW58" i="6"/>
  <c r="BU58" i="6"/>
  <c r="BU87" i="6"/>
  <c r="BV87" i="6"/>
  <c r="BW87" i="6"/>
  <c r="BU63" i="8"/>
  <c r="BV63" i="8"/>
  <c r="BW63" i="8"/>
  <c r="BU75" i="8"/>
  <c r="BV75" i="8"/>
  <c r="BW75" i="8"/>
  <c r="BU88" i="6"/>
  <c r="BW88" i="6"/>
  <c r="BV88" i="6"/>
  <c r="BU64" i="8"/>
  <c r="BW64" i="8"/>
  <c r="BV64" i="8"/>
  <c r="BU75" i="6"/>
  <c r="BV75" i="6"/>
  <c r="BW75" i="6"/>
  <c r="BU65" i="8"/>
  <c r="BV65" i="8"/>
  <c r="BW65" i="8"/>
  <c r="BV89" i="8"/>
  <c r="BU53" i="6"/>
  <c r="BV53" i="6"/>
  <c r="BW53" i="6"/>
  <c r="BU70" i="6"/>
  <c r="BV70" i="6"/>
  <c r="BW70" i="6"/>
  <c r="BU72" i="8"/>
  <c r="BW72" i="8"/>
  <c r="BV72" i="8"/>
  <c r="BU44" i="6"/>
  <c r="BV44" i="6"/>
  <c r="BW44" i="6"/>
  <c r="BU47" i="8"/>
  <c r="BW47" i="8"/>
  <c r="BV47" i="8"/>
  <c r="BU89" i="8"/>
  <c r="BU45" i="6"/>
  <c r="BW45" i="6"/>
  <c r="BV45" i="6"/>
  <c r="BW74" i="6"/>
  <c r="BU74" i="6"/>
  <c r="BV74" i="6"/>
  <c r="BU50" i="8"/>
  <c r="BV50" i="8"/>
  <c r="BW50" i="8"/>
  <c r="BU89" i="6"/>
  <c r="BV89" i="6"/>
  <c r="BW89" i="6"/>
  <c r="BU77" i="8"/>
  <c r="BW77" i="8"/>
  <c r="BV77" i="8"/>
  <c r="BV47" i="6"/>
  <c r="BU47" i="6"/>
  <c r="BW47" i="6"/>
  <c r="BU63" i="6"/>
  <c r="BV63" i="6"/>
  <c r="BW63" i="6"/>
  <c r="BU76" i="6"/>
  <c r="BV76" i="6"/>
  <c r="BW76" i="6"/>
  <c r="BU37" i="8"/>
  <c r="BV37" i="8"/>
  <c r="BW37" i="8"/>
  <c r="BV52" i="8"/>
  <c r="BU52" i="8"/>
  <c r="BW52" i="8"/>
  <c r="BW66" i="8"/>
  <c r="BU66" i="8"/>
  <c r="BV66" i="8"/>
  <c r="BU80" i="8"/>
  <c r="BV80" i="8"/>
  <c r="BW80" i="8"/>
  <c r="BW87" i="8"/>
  <c r="BV81" i="6"/>
  <c r="BU81" i="6"/>
  <c r="BW81" i="6"/>
  <c r="BU84" i="6"/>
  <c r="BW84" i="6"/>
  <c r="BV84" i="6"/>
  <c r="BU58" i="8"/>
  <c r="BV58" i="8"/>
  <c r="BW58" i="8"/>
  <c r="BV59" i="6"/>
  <c r="BW59" i="6"/>
  <c r="BU59" i="6"/>
  <c r="BV69" i="6"/>
  <c r="BW69" i="6"/>
  <c r="BU69" i="6"/>
  <c r="BV51" i="8"/>
  <c r="BW51" i="8"/>
  <c r="BU51" i="8"/>
  <c r="BU50" i="6"/>
  <c r="BV50" i="6"/>
  <c r="BW50" i="6"/>
  <c r="BU64" i="6"/>
  <c r="BW64" i="6"/>
  <c r="BV64" i="6"/>
  <c r="BU77" i="6"/>
  <c r="BV77" i="6"/>
  <c r="BW77" i="6"/>
  <c r="BV39" i="8"/>
  <c r="BW39" i="8"/>
  <c r="BU39" i="8"/>
  <c r="BU53" i="8"/>
  <c r="BV53" i="8"/>
  <c r="BW53" i="8"/>
  <c r="BW67" i="8"/>
  <c r="BV67" i="8"/>
  <c r="BU67" i="8"/>
  <c r="BU81" i="8"/>
  <c r="BV81" i="8"/>
  <c r="BW81" i="8"/>
  <c r="BV87" i="8"/>
  <c r="BU41" i="6"/>
  <c r="BV41" i="6"/>
  <c r="BW41" i="6"/>
  <c r="BW73" i="6"/>
  <c r="BU73" i="6"/>
  <c r="BV73" i="6"/>
  <c r="BV76" i="8"/>
  <c r="BW76" i="8"/>
  <c r="BU76" i="8"/>
  <c r="BW89" i="8"/>
  <c r="BV46" i="6"/>
  <c r="BW46" i="6"/>
  <c r="BU46" i="6"/>
  <c r="BU60" i="6"/>
  <c r="BV60" i="6"/>
  <c r="BW60" i="6"/>
  <c r="BW51" i="6"/>
  <c r="BU51" i="6"/>
  <c r="BV51" i="6"/>
  <c r="BU65" i="6"/>
  <c r="BV65" i="6"/>
  <c r="BW65" i="6"/>
  <c r="BV80" i="6"/>
  <c r="BW80" i="6"/>
  <c r="BU80" i="6"/>
  <c r="BV40" i="8"/>
  <c r="BU40" i="8"/>
  <c r="BW40" i="8"/>
  <c r="BV54" i="8"/>
  <c r="BW54" i="8"/>
  <c r="BU54" i="8"/>
  <c r="BU68" i="8"/>
  <c r="BV68" i="8"/>
  <c r="BW68" i="8"/>
  <c r="BU82" i="8"/>
  <c r="BV82" i="8"/>
  <c r="BW82" i="8"/>
  <c r="BU87" i="8"/>
  <c r="O87" i="8"/>
  <c r="R89" i="8"/>
  <c r="S89" i="8" s="1"/>
  <c r="Q41" i="6"/>
  <c r="R41" i="6"/>
  <c r="S41" i="6" s="1"/>
  <c r="O41" i="6"/>
  <c r="P41" i="6"/>
  <c r="P80" i="6"/>
  <c r="Q80" i="6"/>
  <c r="R80" i="6"/>
  <c r="S80" i="6" s="1"/>
  <c r="O80" i="6"/>
  <c r="O64" i="8"/>
  <c r="P64" i="8"/>
  <c r="Q64" i="8"/>
  <c r="R64" i="8"/>
  <c r="S64" i="8" s="1"/>
  <c r="P39" i="6"/>
  <c r="Q39" i="6"/>
  <c r="O39" i="6"/>
  <c r="R39" i="6"/>
  <c r="S39" i="6" s="1"/>
  <c r="Q47" i="6"/>
  <c r="R47" i="6"/>
  <c r="S47" i="6" s="1"/>
  <c r="P47" i="6"/>
  <c r="O47" i="6"/>
  <c r="P57" i="6"/>
  <c r="Q57" i="6"/>
  <c r="R57" i="6"/>
  <c r="S57" i="6" s="1"/>
  <c r="O57" i="6"/>
  <c r="R67" i="6"/>
  <c r="S67" i="6" s="1"/>
  <c r="O67" i="6"/>
  <c r="P67" i="6"/>
  <c r="Q67" i="6"/>
  <c r="R76" i="6"/>
  <c r="S76" i="6" s="1"/>
  <c r="O76" i="6"/>
  <c r="P76" i="6"/>
  <c r="Q76" i="6"/>
  <c r="O86" i="6"/>
  <c r="P86" i="6"/>
  <c r="Q86" i="6"/>
  <c r="R86" i="6"/>
  <c r="S86" i="6" s="1"/>
  <c r="P42" i="8"/>
  <c r="Q42" i="8"/>
  <c r="R42" i="8"/>
  <c r="S42" i="8" s="1"/>
  <c r="O42" i="8"/>
  <c r="R52" i="8"/>
  <c r="S52" i="8" s="1"/>
  <c r="Q52" i="8"/>
  <c r="P52" i="8"/>
  <c r="O52" i="8"/>
  <c r="R60" i="8"/>
  <c r="S60" i="8" s="1"/>
  <c r="O60" i="8"/>
  <c r="P60" i="8"/>
  <c r="Q60" i="8"/>
  <c r="P70" i="8"/>
  <c r="Q70" i="8"/>
  <c r="R70" i="8"/>
  <c r="S70" i="8" s="1"/>
  <c r="O70" i="8"/>
  <c r="O80" i="8"/>
  <c r="Q80" i="8"/>
  <c r="R80" i="8"/>
  <c r="S80" i="8" s="1"/>
  <c r="P80" i="8"/>
  <c r="P40" i="6"/>
  <c r="O40" i="6"/>
  <c r="Q40" i="6"/>
  <c r="R40" i="6"/>
  <c r="S40" i="6" s="1"/>
  <c r="R50" i="6"/>
  <c r="S50" i="6" s="1"/>
  <c r="O50" i="6"/>
  <c r="P50" i="6"/>
  <c r="Q50" i="6"/>
  <c r="O58" i="6"/>
  <c r="P58" i="6"/>
  <c r="Q58" i="6"/>
  <c r="R58" i="6"/>
  <c r="S58" i="6" s="1"/>
  <c r="O68" i="6"/>
  <c r="Q68" i="6"/>
  <c r="R68" i="6"/>
  <c r="S68" i="6" s="1"/>
  <c r="P68" i="6"/>
  <c r="O77" i="6"/>
  <c r="R77" i="6"/>
  <c r="S77" i="6" s="1"/>
  <c r="Q77" i="6"/>
  <c r="P77" i="6"/>
  <c r="O87" i="6"/>
  <c r="P87" i="6"/>
  <c r="Q87" i="6"/>
  <c r="R87" i="6"/>
  <c r="S87" i="6" s="1"/>
  <c r="Q43" i="8"/>
  <c r="R43" i="8"/>
  <c r="S43" i="8" s="1"/>
  <c r="O43" i="8"/>
  <c r="P43" i="8"/>
  <c r="O53" i="8"/>
  <c r="P53" i="8"/>
  <c r="Q53" i="8"/>
  <c r="R53" i="8"/>
  <c r="S53" i="8" s="1"/>
  <c r="R63" i="8"/>
  <c r="S63" i="8" s="1"/>
  <c r="Q63" i="8"/>
  <c r="O63" i="8"/>
  <c r="P63" i="8"/>
  <c r="O71" i="8"/>
  <c r="R71" i="8"/>
  <c r="S71" i="8" s="1"/>
  <c r="P71" i="8"/>
  <c r="Q71" i="8"/>
  <c r="Q81" i="8"/>
  <c r="R81" i="8"/>
  <c r="S81" i="8" s="1"/>
  <c r="O81" i="8"/>
  <c r="P81" i="8"/>
  <c r="P87" i="8"/>
  <c r="R51" i="6"/>
  <c r="S51" i="6" s="1"/>
  <c r="O51" i="6"/>
  <c r="P51" i="6"/>
  <c r="Q51" i="6"/>
  <c r="O81" i="6"/>
  <c r="P81" i="6"/>
  <c r="Q81" i="6"/>
  <c r="R81" i="6"/>
  <c r="S81" i="6" s="1"/>
  <c r="Q55" i="8"/>
  <c r="R55" i="8"/>
  <c r="S55" i="8" s="1"/>
  <c r="O55" i="8"/>
  <c r="P55" i="8"/>
  <c r="O82" i="6"/>
  <c r="P82" i="6"/>
  <c r="Q82" i="6"/>
  <c r="R82" i="6"/>
  <c r="S82" i="6" s="1"/>
  <c r="O37" i="8"/>
  <c r="R37" i="8"/>
  <c r="S37" i="8" s="1"/>
  <c r="P37" i="8"/>
  <c r="Q37" i="8"/>
  <c r="O46" i="8"/>
  <c r="P46" i="8"/>
  <c r="Q46" i="8"/>
  <c r="R46" i="8"/>
  <c r="S46" i="8" s="1"/>
  <c r="O56" i="8"/>
  <c r="P56" i="8"/>
  <c r="Q56" i="8"/>
  <c r="R56" i="8"/>
  <c r="S56" i="8" s="1"/>
  <c r="O66" i="8"/>
  <c r="Q66" i="8"/>
  <c r="R66" i="8"/>
  <c r="S66" i="8" s="1"/>
  <c r="P66" i="8"/>
  <c r="O74" i="8"/>
  <c r="P74" i="8"/>
  <c r="R74" i="8"/>
  <c r="S74" i="8" s="1"/>
  <c r="Q74" i="8"/>
  <c r="R84" i="8"/>
  <c r="S84" i="8" s="1"/>
  <c r="Q84" i="8"/>
  <c r="P84" i="8"/>
  <c r="O84" i="8"/>
  <c r="Q42" i="6"/>
  <c r="O42" i="6"/>
  <c r="P42" i="6"/>
  <c r="R42" i="6"/>
  <c r="S42" i="6" s="1"/>
  <c r="O60" i="6"/>
  <c r="R60" i="6"/>
  <c r="S60" i="6" s="1"/>
  <c r="P60" i="6"/>
  <c r="Q60" i="6"/>
  <c r="Q89" i="6"/>
  <c r="R89" i="6"/>
  <c r="S89" i="6" s="1"/>
  <c r="P89" i="6"/>
  <c r="O89" i="6"/>
  <c r="O65" i="8"/>
  <c r="P65" i="8"/>
  <c r="R65" i="8"/>
  <c r="S65" i="8" s="1"/>
  <c r="Q65" i="8"/>
  <c r="O73" i="8"/>
  <c r="P73" i="8"/>
  <c r="R73" i="8"/>
  <c r="S73" i="8" s="1"/>
  <c r="Q73" i="8"/>
  <c r="O83" i="8"/>
  <c r="P83" i="8"/>
  <c r="Q83" i="8"/>
  <c r="R83" i="8"/>
  <c r="S83" i="8" s="1"/>
  <c r="O43" i="6"/>
  <c r="P43" i="6"/>
  <c r="Q43" i="6"/>
  <c r="R43" i="6"/>
  <c r="S43" i="6" s="1"/>
  <c r="Q53" i="6"/>
  <c r="R53" i="6"/>
  <c r="S53" i="6" s="1"/>
  <c r="P53" i="6"/>
  <c r="O53" i="6"/>
  <c r="P63" i="6"/>
  <c r="Q63" i="6"/>
  <c r="R63" i="6"/>
  <c r="S63" i="6" s="1"/>
  <c r="O63" i="6"/>
  <c r="R72" i="6"/>
  <c r="S72" i="6" s="1"/>
  <c r="P72" i="6"/>
  <c r="Q72" i="6"/>
  <c r="O72" i="6"/>
  <c r="P44" i="6"/>
  <c r="Q44" i="6"/>
  <c r="R44" i="6"/>
  <c r="S44" i="6" s="1"/>
  <c r="O44" i="6"/>
  <c r="Q54" i="6"/>
  <c r="R54" i="6"/>
  <c r="S54" i="6" s="1"/>
  <c r="O54" i="6"/>
  <c r="P54" i="6"/>
  <c r="P64" i="6"/>
  <c r="Q64" i="6"/>
  <c r="R64" i="6"/>
  <c r="S64" i="6" s="1"/>
  <c r="O64" i="6"/>
  <c r="O73" i="6"/>
  <c r="P73" i="6"/>
  <c r="Q73" i="6"/>
  <c r="R73" i="6"/>
  <c r="S73" i="6" s="1"/>
  <c r="O83" i="6"/>
  <c r="P83" i="6"/>
  <c r="Q83" i="6"/>
  <c r="R83" i="6"/>
  <c r="S83" i="6" s="1"/>
  <c r="O39" i="8"/>
  <c r="P39" i="8"/>
  <c r="Q39" i="8"/>
  <c r="R39" i="8"/>
  <c r="S39" i="8" s="1"/>
  <c r="O47" i="8"/>
  <c r="P47" i="8"/>
  <c r="R47" i="8"/>
  <c r="S47" i="8" s="1"/>
  <c r="Q47" i="8"/>
  <c r="P57" i="8"/>
  <c r="Q57" i="8"/>
  <c r="R57" i="8"/>
  <c r="S57" i="8" s="1"/>
  <c r="O57" i="8"/>
  <c r="O67" i="8"/>
  <c r="Q67" i="8"/>
  <c r="R67" i="8"/>
  <c r="S67" i="8" s="1"/>
  <c r="P67" i="8"/>
  <c r="O75" i="8"/>
  <c r="Q75" i="8"/>
  <c r="R75" i="8"/>
  <c r="S75" i="8" s="1"/>
  <c r="P75" i="8"/>
  <c r="P85" i="8"/>
  <c r="Q85" i="8"/>
  <c r="O85" i="8"/>
  <c r="R85" i="8"/>
  <c r="S85" i="8" s="1"/>
  <c r="P88" i="8"/>
  <c r="Q59" i="6"/>
  <c r="R59" i="6"/>
  <c r="S59" i="6" s="1"/>
  <c r="P59" i="6"/>
  <c r="O59" i="6"/>
  <c r="Q54" i="8"/>
  <c r="R54" i="8"/>
  <c r="S54" i="8" s="1"/>
  <c r="O54" i="8"/>
  <c r="P54" i="8"/>
  <c r="P69" i="6"/>
  <c r="Q69" i="6"/>
  <c r="O69" i="6"/>
  <c r="R69" i="6"/>
  <c r="S69" i="6" s="1"/>
  <c r="P52" i="6"/>
  <c r="Q52" i="6"/>
  <c r="R52" i="6"/>
  <c r="S52" i="6" s="1"/>
  <c r="O52" i="6"/>
  <c r="O45" i="6"/>
  <c r="P45" i="6"/>
  <c r="Q45" i="6"/>
  <c r="R45" i="6"/>
  <c r="S45" i="6" s="1"/>
  <c r="R65" i="6"/>
  <c r="S65" i="6" s="1"/>
  <c r="O65" i="6"/>
  <c r="P65" i="6"/>
  <c r="Q65" i="6"/>
  <c r="P74" i="6"/>
  <c r="Q74" i="6"/>
  <c r="R74" i="6"/>
  <c r="S74" i="6" s="1"/>
  <c r="O74" i="6"/>
  <c r="O84" i="6"/>
  <c r="P84" i="6"/>
  <c r="Q84" i="6"/>
  <c r="R84" i="6"/>
  <c r="S84" i="6" s="1"/>
  <c r="R40" i="8"/>
  <c r="S40" i="8" s="1"/>
  <c r="P40" i="8"/>
  <c r="Q40" i="8"/>
  <c r="O40" i="8"/>
  <c r="P50" i="8"/>
  <c r="Q50" i="8"/>
  <c r="O50" i="8"/>
  <c r="R50" i="8"/>
  <c r="S50" i="8" s="1"/>
  <c r="R58" i="8"/>
  <c r="S58" i="8" s="1"/>
  <c r="P58" i="8"/>
  <c r="Q58" i="8"/>
  <c r="O58" i="8"/>
  <c r="R68" i="8"/>
  <c r="S68" i="8" s="1"/>
  <c r="Q68" i="8"/>
  <c r="O68" i="8"/>
  <c r="P68" i="8"/>
  <c r="P76" i="8"/>
  <c r="Q76" i="8"/>
  <c r="O76" i="8"/>
  <c r="R76" i="8"/>
  <c r="S76" i="8" s="1"/>
  <c r="P86" i="8"/>
  <c r="Q86" i="8"/>
  <c r="R86" i="8"/>
  <c r="S86" i="8" s="1"/>
  <c r="O86" i="8"/>
  <c r="Q87" i="8"/>
  <c r="Q89" i="8"/>
  <c r="R88" i="8"/>
  <c r="S88" i="8" s="1"/>
  <c r="O88" i="6"/>
  <c r="P88" i="6"/>
  <c r="Q88" i="6"/>
  <c r="R88" i="6"/>
  <c r="S88" i="6" s="1"/>
  <c r="O72" i="8"/>
  <c r="P72" i="8"/>
  <c r="R72" i="8"/>
  <c r="S72" i="8" s="1"/>
  <c r="Q72" i="8"/>
  <c r="O71" i="6"/>
  <c r="P71" i="6"/>
  <c r="Q71" i="6"/>
  <c r="R71" i="6"/>
  <c r="S71" i="6" s="1"/>
  <c r="Q45" i="8"/>
  <c r="R45" i="8"/>
  <c r="S45" i="8" s="1"/>
  <c r="O45" i="8"/>
  <c r="P45" i="8"/>
  <c r="Q55" i="6"/>
  <c r="O55" i="6"/>
  <c r="P55" i="6"/>
  <c r="R55" i="6"/>
  <c r="S55" i="6" s="1"/>
  <c r="Q37" i="6"/>
  <c r="R37" i="6"/>
  <c r="S37" i="6" s="1"/>
  <c r="O37" i="6"/>
  <c r="P37" i="6"/>
  <c r="Q46" i="6"/>
  <c r="R46" i="6"/>
  <c r="S46" i="6" s="1"/>
  <c r="O46" i="6"/>
  <c r="P46" i="6"/>
  <c r="P56" i="6"/>
  <c r="Q56" i="6"/>
  <c r="R56" i="6"/>
  <c r="S56" i="6" s="1"/>
  <c r="O56" i="6"/>
  <c r="O66" i="6"/>
  <c r="P66" i="6"/>
  <c r="Q66" i="6"/>
  <c r="R66" i="6"/>
  <c r="S66" i="6" s="1"/>
  <c r="R75" i="6"/>
  <c r="S75" i="6" s="1"/>
  <c r="P75" i="6"/>
  <c r="Q75" i="6"/>
  <c r="O75" i="6"/>
  <c r="O85" i="6"/>
  <c r="P85" i="6"/>
  <c r="Q85" i="6"/>
  <c r="R85" i="6"/>
  <c r="S85" i="6" s="1"/>
  <c r="O41" i="8"/>
  <c r="P41" i="8"/>
  <c r="R41" i="8"/>
  <c r="S41" i="8" s="1"/>
  <c r="Q41" i="8"/>
  <c r="O51" i="8"/>
  <c r="P51" i="8"/>
  <c r="Q51" i="8"/>
  <c r="R51" i="8"/>
  <c r="S51" i="8" s="1"/>
  <c r="R59" i="8"/>
  <c r="S59" i="8" s="1"/>
  <c r="P59" i="8"/>
  <c r="Q59" i="8"/>
  <c r="O59" i="8"/>
  <c r="P69" i="8"/>
  <c r="Q69" i="8"/>
  <c r="O69" i="8"/>
  <c r="R69" i="8"/>
  <c r="S69" i="8" s="1"/>
  <c r="O77" i="8"/>
  <c r="P77" i="8"/>
  <c r="Q77" i="8"/>
  <c r="R77" i="8"/>
  <c r="S77" i="8" s="1"/>
  <c r="O89" i="8"/>
  <c r="Q88" i="8"/>
  <c r="O70" i="6"/>
  <c r="R70" i="6"/>
  <c r="S70" i="6" s="1"/>
  <c r="P70" i="6"/>
  <c r="Q70" i="6"/>
  <c r="Q44" i="8"/>
  <c r="R44" i="8"/>
  <c r="S44" i="8" s="1"/>
  <c r="O44" i="8"/>
  <c r="P44" i="8"/>
  <c r="R82" i="8"/>
  <c r="S82" i="8" s="1"/>
  <c r="Q82" i="8"/>
  <c r="O82" i="8"/>
  <c r="P82" i="8"/>
  <c r="AE93" i="7"/>
  <c r="M93" i="7"/>
  <c r="W93" i="7" s="1"/>
  <c r="L93" i="7"/>
  <c r="AE92" i="7"/>
  <c r="M92" i="7"/>
  <c r="W92" i="7" s="1"/>
  <c r="L92" i="7"/>
  <c r="AE91" i="7"/>
  <c r="M91" i="7"/>
  <c r="W91" i="7" s="1"/>
  <c r="L91" i="7"/>
  <c r="AE90" i="7"/>
  <c r="M90" i="7"/>
  <c r="W90" i="7" s="1"/>
  <c r="L90" i="7"/>
  <c r="AE89" i="7"/>
  <c r="M89" i="7"/>
  <c r="W89" i="7" s="1"/>
  <c r="L89" i="7"/>
  <c r="AE88" i="7"/>
  <c r="M88" i="7"/>
  <c r="W88" i="7" s="1"/>
  <c r="L88" i="7"/>
  <c r="AE87" i="7"/>
  <c r="M87" i="7"/>
  <c r="W87" i="7" s="1"/>
  <c r="L87" i="7"/>
  <c r="AE86" i="7"/>
  <c r="M86" i="7"/>
  <c r="W86" i="7" s="1"/>
  <c r="L86" i="7"/>
  <c r="AE85" i="7"/>
  <c r="M85" i="7"/>
  <c r="W85" i="7" s="1"/>
  <c r="L85" i="7"/>
  <c r="AE84" i="7"/>
  <c r="M84" i="7"/>
  <c r="W84" i="7" s="1"/>
  <c r="L84" i="7"/>
  <c r="AE83" i="7"/>
  <c r="M83" i="7"/>
  <c r="W83" i="7" s="1"/>
  <c r="L83" i="7"/>
  <c r="AE82" i="7"/>
  <c r="M82" i="7"/>
  <c r="W82" i="7" s="1"/>
  <c r="L82" i="7"/>
  <c r="AE93" i="6"/>
  <c r="M93" i="6"/>
  <c r="W93" i="6" s="1"/>
  <c r="L93" i="6"/>
  <c r="AE92" i="6"/>
  <c r="M92" i="6"/>
  <c r="W92" i="6" s="1"/>
  <c r="L92" i="6"/>
  <c r="AE91" i="6"/>
  <c r="M91" i="6"/>
  <c r="W91" i="6" s="1"/>
  <c r="L91" i="6"/>
  <c r="AE90" i="6"/>
  <c r="M90" i="6"/>
  <c r="W90" i="6" s="1"/>
  <c r="L90" i="6"/>
  <c r="AE89" i="6"/>
  <c r="M89" i="6"/>
  <c r="L89" i="6"/>
  <c r="AE88" i="6"/>
  <c r="M88" i="6"/>
  <c r="L88" i="6"/>
  <c r="AE87" i="6"/>
  <c r="M87" i="6"/>
  <c r="L87" i="6"/>
  <c r="AE86" i="6"/>
  <c r="M86" i="6"/>
  <c r="L86" i="6"/>
  <c r="AE85" i="6"/>
  <c r="M85" i="6"/>
  <c r="L85" i="6"/>
  <c r="AE84" i="6"/>
  <c r="M84" i="6"/>
  <c r="L84" i="6"/>
  <c r="AE83" i="6"/>
  <c r="M83" i="6"/>
  <c r="L83" i="6"/>
  <c r="AE82" i="6"/>
  <c r="M82" i="6"/>
  <c r="L82" i="6"/>
  <c r="AE93" i="8"/>
  <c r="M93" i="8"/>
  <c r="W93" i="8" s="1"/>
  <c r="L93" i="8"/>
  <c r="AE92" i="8"/>
  <c r="M92" i="8"/>
  <c r="W92" i="8" s="1"/>
  <c r="L92" i="8"/>
  <c r="AE91" i="8"/>
  <c r="M91" i="8"/>
  <c r="W91" i="8" s="1"/>
  <c r="L91" i="8"/>
  <c r="AE90" i="8"/>
  <c r="AE89" i="8"/>
  <c r="M89" i="8"/>
  <c r="L89" i="8"/>
  <c r="AE88" i="8"/>
  <c r="M88" i="8"/>
  <c r="L88" i="8"/>
  <c r="AE87" i="8"/>
  <c r="M87" i="8"/>
  <c r="L87" i="8"/>
  <c r="AE86" i="8"/>
  <c r="M86" i="8"/>
  <c r="L86" i="8"/>
  <c r="AE85" i="8"/>
  <c r="M85" i="8"/>
  <c r="L85" i="8"/>
  <c r="AE84" i="8"/>
  <c r="M84" i="8"/>
  <c r="L84" i="8"/>
  <c r="AE83" i="8"/>
  <c r="M83" i="8"/>
  <c r="L83" i="8"/>
  <c r="AE82" i="8"/>
  <c r="M82" i="8"/>
  <c r="L82" i="8"/>
  <c r="AE93" i="1"/>
  <c r="M93" i="1"/>
  <c r="W93" i="1" s="1"/>
  <c r="L93" i="1"/>
  <c r="AE92" i="1"/>
  <c r="M92" i="1"/>
  <c r="W92" i="1" s="1"/>
  <c r="L92" i="1"/>
  <c r="AE91" i="1"/>
  <c r="M91" i="1"/>
  <c r="W91" i="1" s="1"/>
  <c r="L91" i="1"/>
  <c r="AE90" i="1"/>
  <c r="M90" i="1"/>
  <c r="W90" i="1" s="1"/>
  <c r="L90" i="1"/>
  <c r="AE89" i="1"/>
  <c r="M89" i="1"/>
  <c r="W89" i="1" s="1"/>
  <c r="L89" i="1"/>
  <c r="AE88" i="1"/>
  <c r="M88" i="1"/>
  <c r="W88" i="1" s="1"/>
  <c r="L88" i="1"/>
  <c r="AE87" i="1"/>
  <c r="M87" i="1"/>
  <c r="W87" i="1" s="1"/>
  <c r="L87" i="1"/>
  <c r="AE86" i="1"/>
  <c r="M86" i="1"/>
  <c r="W86" i="1" s="1"/>
  <c r="L86" i="1"/>
  <c r="AE85" i="1"/>
  <c r="M85" i="1"/>
  <c r="W85" i="1" s="1"/>
  <c r="L85" i="1"/>
  <c r="AE84" i="1"/>
  <c r="M84" i="1"/>
  <c r="W84" i="1" s="1"/>
  <c r="L84" i="1"/>
  <c r="AE83" i="1"/>
  <c r="M83" i="1"/>
  <c r="W83" i="1" s="1"/>
  <c r="L83" i="1"/>
  <c r="AE82" i="1"/>
  <c r="M82" i="1"/>
  <c r="W82" i="1" s="1"/>
  <c r="L82" i="1"/>
  <c r="AE81" i="7"/>
  <c r="M81" i="7"/>
  <c r="W81" i="7" s="1"/>
  <c r="L81" i="7"/>
  <c r="AE80" i="7"/>
  <c r="M80" i="7"/>
  <c r="W80" i="7" s="1"/>
  <c r="L80" i="7"/>
  <c r="AE79" i="7"/>
  <c r="M79" i="7"/>
  <c r="W79" i="7" s="1"/>
  <c r="L79" i="7"/>
  <c r="AE77" i="7"/>
  <c r="M77" i="7"/>
  <c r="W77" i="7" s="1"/>
  <c r="L77" i="7"/>
  <c r="AE76" i="7"/>
  <c r="M76" i="7"/>
  <c r="W76" i="7" s="1"/>
  <c r="L76" i="7"/>
  <c r="AE75" i="7"/>
  <c r="M75" i="7"/>
  <c r="W75" i="7" s="1"/>
  <c r="L75" i="7"/>
  <c r="AE74" i="7"/>
  <c r="M74" i="7"/>
  <c r="W74" i="7" s="1"/>
  <c r="L74" i="7"/>
  <c r="AE73" i="7"/>
  <c r="M73" i="7"/>
  <c r="W73" i="7" s="1"/>
  <c r="L73" i="7"/>
  <c r="AE72" i="7"/>
  <c r="M72" i="7"/>
  <c r="W72" i="7" s="1"/>
  <c r="L72" i="7"/>
  <c r="AE71" i="7"/>
  <c r="M71" i="7"/>
  <c r="W71" i="7" s="1"/>
  <c r="L71" i="7"/>
  <c r="AE70" i="7"/>
  <c r="M70" i="7"/>
  <c r="W70" i="7" s="1"/>
  <c r="L70" i="7"/>
  <c r="AE69" i="7"/>
  <c r="M69" i="7"/>
  <c r="W69" i="7" s="1"/>
  <c r="L69" i="7"/>
  <c r="AE68" i="7"/>
  <c r="M68" i="7"/>
  <c r="W68" i="7" s="1"/>
  <c r="L68" i="7"/>
  <c r="AE67" i="7"/>
  <c r="M67" i="7"/>
  <c r="W67" i="7" s="1"/>
  <c r="L67" i="7"/>
  <c r="AE66" i="7"/>
  <c r="M66" i="7"/>
  <c r="W66" i="7" s="1"/>
  <c r="L66" i="7"/>
  <c r="AE65" i="7"/>
  <c r="M65" i="7"/>
  <c r="W65" i="7" s="1"/>
  <c r="L65" i="7"/>
  <c r="AE64" i="7"/>
  <c r="M64" i="7"/>
  <c r="W64" i="7" s="1"/>
  <c r="L64" i="7"/>
  <c r="AE63" i="7"/>
  <c r="M63" i="7"/>
  <c r="W63" i="7" s="1"/>
  <c r="L63" i="7"/>
  <c r="AE62" i="7"/>
  <c r="M62" i="7"/>
  <c r="W62" i="7" s="1"/>
  <c r="L62" i="7"/>
  <c r="AE61" i="7"/>
  <c r="M61" i="7"/>
  <c r="W61" i="7" s="1"/>
  <c r="L61" i="7"/>
  <c r="AE60" i="7"/>
  <c r="M60" i="7"/>
  <c r="W60" i="7" s="1"/>
  <c r="L60" i="7"/>
  <c r="AE59" i="7"/>
  <c r="M59" i="7"/>
  <c r="W59" i="7" s="1"/>
  <c r="L59" i="7"/>
  <c r="AE58" i="7"/>
  <c r="M58" i="7"/>
  <c r="W58" i="7" s="1"/>
  <c r="L58" i="7"/>
  <c r="AE57" i="7"/>
  <c r="M57" i="7"/>
  <c r="W57" i="7" s="1"/>
  <c r="L57" i="7"/>
  <c r="AE81" i="6"/>
  <c r="M81" i="6"/>
  <c r="L81" i="6"/>
  <c r="AE80" i="6"/>
  <c r="M80" i="6"/>
  <c r="L80" i="6"/>
  <c r="AE79" i="6"/>
  <c r="M79" i="6"/>
  <c r="W79" i="6" s="1"/>
  <c r="L79" i="6"/>
  <c r="AE77" i="6"/>
  <c r="M77" i="6"/>
  <c r="L77" i="6"/>
  <c r="AE76" i="6"/>
  <c r="M76" i="6"/>
  <c r="L76" i="6"/>
  <c r="AE75" i="6"/>
  <c r="M75" i="6"/>
  <c r="L75" i="6"/>
  <c r="AE74" i="6"/>
  <c r="M74" i="6"/>
  <c r="L74" i="6"/>
  <c r="AE73" i="6"/>
  <c r="M73" i="6"/>
  <c r="L73" i="6"/>
  <c r="AE72" i="6"/>
  <c r="M72" i="6"/>
  <c r="L72" i="6"/>
  <c r="AE71" i="6"/>
  <c r="M71" i="6"/>
  <c r="L71" i="6"/>
  <c r="AE70" i="6"/>
  <c r="M70" i="6"/>
  <c r="L70" i="6"/>
  <c r="AE69" i="6"/>
  <c r="M69" i="6"/>
  <c r="L69" i="6"/>
  <c r="AE68" i="6"/>
  <c r="M68" i="6"/>
  <c r="L68" i="6"/>
  <c r="AE67" i="6"/>
  <c r="M67" i="6"/>
  <c r="L67" i="6"/>
  <c r="AE66" i="6"/>
  <c r="M66" i="6"/>
  <c r="L66" i="6"/>
  <c r="AE65" i="6"/>
  <c r="M65" i="6"/>
  <c r="L65" i="6"/>
  <c r="AE64" i="6"/>
  <c r="M64" i="6"/>
  <c r="L64" i="6"/>
  <c r="AE63" i="6"/>
  <c r="M63" i="6"/>
  <c r="L63" i="6"/>
  <c r="AE62" i="6"/>
  <c r="M62" i="6"/>
  <c r="W62" i="6" s="1"/>
  <c r="L62" i="6"/>
  <c r="AE61" i="6"/>
  <c r="M61" i="6"/>
  <c r="W61" i="6" s="1"/>
  <c r="L61" i="6"/>
  <c r="AE60" i="6"/>
  <c r="M60" i="6"/>
  <c r="L60" i="6"/>
  <c r="AE59" i="6"/>
  <c r="M59" i="6"/>
  <c r="L59" i="6"/>
  <c r="AE58" i="6"/>
  <c r="M58" i="6"/>
  <c r="L58" i="6"/>
  <c r="AE57" i="6"/>
  <c r="M57" i="6"/>
  <c r="L57" i="6"/>
  <c r="AE81" i="8"/>
  <c r="M81" i="8"/>
  <c r="L81" i="8"/>
  <c r="AE80" i="8"/>
  <c r="M80" i="8"/>
  <c r="L80" i="8"/>
  <c r="AE79" i="8"/>
  <c r="M79" i="8"/>
  <c r="W79" i="8" s="1"/>
  <c r="L79" i="8"/>
  <c r="AE77" i="8"/>
  <c r="M77" i="8"/>
  <c r="L77" i="8"/>
  <c r="AE76" i="8"/>
  <c r="M76" i="8"/>
  <c r="L76" i="8"/>
  <c r="AE75" i="8"/>
  <c r="M75" i="8"/>
  <c r="L75" i="8"/>
  <c r="AE74" i="8"/>
  <c r="M74" i="8"/>
  <c r="L74" i="8"/>
  <c r="AE73" i="8"/>
  <c r="M73" i="8"/>
  <c r="L73" i="8"/>
  <c r="AE72" i="8"/>
  <c r="M72" i="8"/>
  <c r="L72" i="8"/>
  <c r="AE71" i="8"/>
  <c r="M71" i="8"/>
  <c r="L71" i="8"/>
  <c r="AE70" i="8"/>
  <c r="M70" i="8"/>
  <c r="L70" i="8"/>
  <c r="AE69" i="8"/>
  <c r="M69" i="8"/>
  <c r="L69" i="8"/>
  <c r="AE68" i="8"/>
  <c r="M68" i="8"/>
  <c r="L68" i="8"/>
  <c r="AE67" i="8"/>
  <c r="M67" i="8"/>
  <c r="L67" i="8"/>
  <c r="AE66" i="8"/>
  <c r="M66" i="8"/>
  <c r="L66" i="8"/>
  <c r="AE65" i="8"/>
  <c r="M65" i="8"/>
  <c r="L65" i="8"/>
  <c r="AE64" i="8"/>
  <c r="M64" i="8"/>
  <c r="L64" i="8"/>
  <c r="AE63" i="8"/>
  <c r="M63" i="8"/>
  <c r="L63" i="8"/>
  <c r="AE62" i="8"/>
  <c r="M62" i="8"/>
  <c r="W62" i="8" s="1"/>
  <c r="L62" i="8"/>
  <c r="AE61" i="8"/>
  <c r="M61" i="8"/>
  <c r="W61" i="8" s="1"/>
  <c r="L61" i="8"/>
  <c r="AE60" i="8"/>
  <c r="M60" i="8"/>
  <c r="L60" i="8"/>
  <c r="AE59" i="8"/>
  <c r="M59" i="8"/>
  <c r="L59" i="8"/>
  <c r="AE58" i="8"/>
  <c r="M58" i="8"/>
  <c r="L58" i="8"/>
  <c r="AE57" i="8"/>
  <c r="M57" i="8"/>
  <c r="L57" i="8"/>
  <c r="AE81" i="1"/>
  <c r="M81" i="1"/>
  <c r="W81" i="1" s="1"/>
  <c r="L81" i="1"/>
  <c r="AE80" i="1"/>
  <c r="M80" i="1"/>
  <c r="W80" i="1" s="1"/>
  <c r="L80" i="1"/>
  <c r="AE79" i="1"/>
  <c r="M79" i="1"/>
  <c r="W79" i="1" s="1"/>
  <c r="L79" i="1"/>
  <c r="AE77" i="1"/>
  <c r="M77" i="1"/>
  <c r="W77" i="1" s="1"/>
  <c r="L77" i="1"/>
  <c r="AE76" i="1"/>
  <c r="M76" i="1"/>
  <c r="W76" i="1" s="1"/>
  <c r="L76" i="1"/>
  <c r="AE75" i="1"/>
  <c r="M75" i="1"/>
  <c r="W75" i="1" s="1"/>
  <c r="L75" i="1"/>
  <c r="AE74" i="1"/>
  <c r="M74" i="1"/>
  <c r="W74" i="1" s="1"/>
  <c r="L74" i="1"/>
  <c r="AE73" i="1"/>
  <c r="M73" i="1"/>
  <c r="W73" i="1" s="1"/>
  <c r="L73" i="1"/>
  <c r="AE72" i="1"/>
  <c r="M72" i="1"/>
  <c r="W72" i="1" s="1"/>
  <c r="L72" i="1"/>
  <c r="AE71" i="1"/>
  <c r="M71" i="1"/>
  <c r="W71" i="1" s="1"/>
  <c r="L71" i="1"/>
  <c r="AE70" i="1"/>
  <c r="M70" i="1"/>
  <c r="W70" i="1" s="1"/>
  <c r="L70" i="1"/>
  <c r="AE69" i="1"/>
  <c r="M69" i="1"/>
  <c r="W69" i="1" s="1"/>
  <c r="L69" i="1"/>
  <c r="AE68" i="1"/>
  <c r="M68" i="1"/>
  <c r="W68" i="1" s="1"/>
  <c r="L68" i="1"/>
  <c r="AE67" i="1"/>
  <c r="M67" i="1"/>
  <c r="W67" i="1" s="1"/>
  <c r="L67" i="1"/>
  <c r="AE66" i="1"/>
  <c r="M66" i="1"/>
  <c r="W66" i="1" s="1"/>
  <c r="L66" i="1"/>
  <c r="AE65" i="1"/>
  <c r="M65" i="1"/>
  <c r="W65" i="1" s="1"/>
  <c r="L65" i="1"/>
  <c r="AE64" i="1"/>
  <c r="M64" i="1"/>
  <c r="W64" i="1" s="1"/>
  <c r="L64" i="1"/>
  <c r="AE63" i="1"/>
  <c r="M63" i="1"/>
  <c r="W63" i="1" s="1"/>
  <c r="L63" i="1"/>
  <c r="AE62" i="1"/>
  <c r="M62" i="1"/>
  <c r="W62" i="1" s="1"/>
  <c r="L62" i="1"/>
  <c r="AE61" i="1"/>
  <c r="M61" i="1"/>
  <c r="W61" i="1" s="1"/>
  <c r="L61" i="1"/>
  <c r="AE60" i="1"/>
  <c r="M60" i="1"/>
  <c r="W60" i="1" s="1"/>
  <c r="L60" i="1"/>
  <c r="AE59" i="1"/>
  <c r="M59" i="1"/>
  <c r="W59" i="1" s="1"/>
  <c r="L59" i="1"/>
  <c r="AE58" i="1"/>
  <c r="M58" i="1"/>
  <c r="W58" i="1" s="1"/>
  <c r="L58" i="1"/>
  <c r="AE57" i="1"/>
  <c r="M57" i="1"/>
  <c r="W57" i="1" s="1"/>
  <c r="L57" i="1"/>
  <c r="AE56" i="7"/>
  <c r="M56" i="7"/>
  <c r="W56" i="7" s="1"/>
  <c r="L56" i="7"/>
  <c r="AE55" i="7"/>
  <c r="M55" i="7"/>
  <c r="W55" i="7" s="1"/>
  <c r="L55" i="7"/>
  <c r="AE54" i="7"/>
  <c r="M54" i="7"/>
  <c r="W54" i="7" s="1"/>
  <c r="L54" i="7"/>
  <c r="AE53" i="7"/>
  <c r="M53" i="7"/>
  <c r="W53" i="7" s="1"/>
  <c r="L53" i="7"/>
  <c r="AE52" i="7"/>
  <c r="M52" i="7"/>
  <c r="W52" i="7" s="1"/>
  <c r="L52" i="7"/>
  <c r="AE51" i="7"/>
  <c r="M51" i="7"/>
  <c r="W51" i="7" s="1"/>
  <c r="L51" i="7"/>
  <c r="AE50" i="7"/>
  <c r="M50" i="7"/>
  <c r="W50" i="7" s="1"/>
  <c r="L50" i="7"/>
  <c r="AE49" i="7"/>
  <c r="M49" i="7"/>
  <c r="W49" i="7" s="1"/>
  <c r="L49" i="7"/>
  <c r="AE48" i="7"/>
  <c r="M48" i="7"/>
  <c r="W48" i="7" s="1"/>
  <c r="L48" i="7"/>
  <c r="AE47" i="7"/>
  <c r="M47" i="7"/>
  <c r="W47" i="7" s="1"/>
  <c r="L47" i="7"/>
  <c r="AE46" i="7"/>
  <c r="M46" i="7"/>
  <c r="W46" i="7" s="1"/>
  <c r="L46" i="7"/>
  <c r="AE45" i="7"/>
  <c r="M45" i="7"/>
  <c r="W45" i="7" s="1"/>
  <c r="L45" i="7"/>
  <c r="AE44" i="7"/>
  <c r="M44" i="7"/>
  <c r="W44" i="7" s="1"/>
  <c r="L44" i="7"/>
  <c r="AE43" i="7"/>
  <c r="M43" i="7"/>
  <c r="W43" i="7" s="1"/>
  <c r="L43" i="7"/>
  <c r="AE42" i="7"/>
  <c r="M42" i="7"/>
  <c r="W42" i="7" s="1"/>
  <c r="L42" i="7"/>
  <c r="AE41" i="7"/>
  <c r="M41" i="7"/>
  <c r="W41" i="7" s="1"/>
  <c r="L41" i="7"/>
  <c r="AE40" i="7"/>
  <c r="M40" i="7"/>
  <c r="W40" i="7" s="1"/>
  <c r="L40" i="7"/>
  <c r="AE39" i="7"/>
  <c r="M39" i="7"/>
  <c r="W39" i="7" s="1"/>
  <c r="L39" i="7"/>
  <c r="AE56" i="6"/>
  <c r="M56" i="6"/>
  <c r="L56" i="6"/>
  <c r="AE55" i="6"/>
  <c r="M55" i="6"/>
  <c r="L55" i="6"/>
  <c r="AE54" i="6"/>
  <c r="M54" i="6"/>
  <c r="L54" i="6"/>
  <c r="AE53" i="6"/>
  <c r="M53" i="6"/>
  <c r="L53" i="6"/>
  <c r="AE52" i="6"/>
  <c r="M52" i="6"/>
  <c r="L52" i="6"/>
  <c r="AE51" i="6"/>
  <c r="M51" i="6"/>
  <c r="L51" i="6"/>
  <c r="AE50" i="6"/>
  <c r="M50" i="6"/>
  <c r="L50" i="6"/>
  <c r="AE49" i="6"/>
  <c r="M49" i="6"/>
  <c r="W49" i="6" s="1"/>
  <c r="L49" i="6"/>
  <c r="AE48" i="6"/>
  <c r="M48" i="6"/>
  <c r="W48" i="6" s="1"/>
  <c r="L48" i="6"/>
  <c r="AE47" i="6"/>
  <c r="M47" i="6"/>
  <c r="L47" i="6"/>
  <c r="AE46" i="6"/>
  <c r="M46" i="6"/>
  <c r="L46" i="6"/>
  <c r="AE45" i="6"/>
  <c r="M45" i="6"/>
  <c r="L45" i="6"/>
  <c r="AE44" i="6"/>
  <c r="M44" i="6"/>
  <c r="L44" i="6"/>
  <c r="AE43" i="6"/>
  <c r="M43" i="6"/>
  <c r="L43" i="6"/>
  <c r="AE42" i="6"/>
  <c r="M42" i="6"/>
  <c r="L42" i="6"/>
  <c r="AE41" i="6"/>
  <c r="M41" i="6"/>
  <c r="L41" i="6"/>
  <c r="AE40" i="6"/>
  <c r="M40" i="6"/>
  <c r="L40" i="6"/>
  <c r="AE39" i="6"/>
  <c r="M39" i="6"/>
  <c r="L39" i="6"/>
  <c r="AE56" i="8"/>
  <c r="M56" i="8"/>
  <c r="L56" i="8"/>
  <c r="AE55" i="8"/>
  <c r="M55" i="8"/>
  <c r="L55" i="8"/>
  <c r="AE54" i="8"/>
  <c r="M54" i="8"/>
  <c r="L54" i="8"/>
  <c r="AE53" i="8"/>
  <c r="M53" i="8"/>
  <c r="L53" i="8"/>
  <c r="AE52" i="8"/>
  <c r="M52" i="8"/>
  <c r="L52" i="8"/>
  <c r="AE51" i="8"/>
  <c r="M51" i="8"/>
  <c r="L51" i="8"/>
  <c r="AE50" i="8"/>
  <c r="M50" i="8"/>
  <c r="L50" i="8"/>
  <c r="AE49" i="8"/>
  <c r="M49" i="8"/>
  <c r="W49" i="8" s="1"/>
  <c r="L49" i="8"/>
  <c r="AE48" i="8"/>
  <c r="M48" i="8"/>
  <c r="W48" i="8" s="1"/>
  <c r="L48" i="8"/>
  <c r="AE47" i="8"/>
  <c r="M47" i="8"/>
  <c r="L47" i="8"/>
  <c r="AE46" i="8"/>
  <c r="M46" i="8"/>
  <c r="L46" i="8"/>
  <c r="AE45" i="8"/>
  <c r="M45" i="8"/>
  <c r="L45" i="8"/>
  <c r="AE44" i="8"/>
  <c r="M44" i="8"/>
  <c r="L44" i="8"/>
  <c r="AE43" i="8"/>
  <c r="M43" i="8"/>
  <c r="L43" i="8"/>
  <c r="AE42" i="8"/>
  <c r="M42" i="8"/>
  <c r="L42" i="8"/>
  <c r="AE41" i="8"/>
  <c r="M41" i="8"/>
  <c r="L41" i="8"/>
  <c r="AE40" i="8"/>
  <c r="M40" i="8"/>
  <c r="L40" i="8"/>
  <c r="AE39" i="8"/>
  <c r="M39" i="8"/>
  <c r="L39" i="8"/>
  <c r="AE56" i="1"/>
  <c r="M56" i="1"/>
  <c r="W56" i="1" s="1"/>
  <c r="L56" i="1"/>
  <c r="AE55" i="1"/>
  <c r="M55" i="1"/>
  <c r="W55" i="1" s="1"/>
  <c r="L55" i="1"/>
  <c r="AE54" i="1"/>
  <c r="M54" i="1"/>
  <c r="W54" i="1" s="1"/>
  <c r="L54" i="1"/>
  <c r="AE53" i="1"/>
  <c r="M53" i="1"/>
  <c r="W53" i="1" s="1"/>
  <c r="L53" i="1"/>
  <c r="AE52" i="1"/>
  <c r="M52" i="1"/>
  <c r="W52" i="1" s="1"/>
  <c r="L52" i="1"/>
  <c r="AE51" i="1"/>
  <c r="M51" i="1"/>
  <c r="W51" i="1" s="1"/>
  <c r="L51" i="1"/>
  <c r="AE50" i="1"/>
  <c r="M50" i="1"/>
  <c r="W50" i="1" s="1"/>
  <c r="L50" i="1"/>
  <c r="AE49" i="1"/>
  <c r="M49" i="1"/>
  <c r="W49" i="1" s="1"/>
  <c r="L49" i="1"/>
  <c r="AE48" i="1"/>
  <c r="M48" i="1"/>
  <c r="W48" i="1" s="1"/>
  <c r="L48" i="1"/>
  <c r="AE47" i="1"/>
  <c r="M47" i="1"/>
  <c r="W47" i="1" s="1"/>
  <c r="L47" i="1"/>
  <c r="AE46" i="1"/>
  <c r="M46" i="1"/>
  <c r="W46" i="1" s="1"/>
  <c r="L46" i="1"/>
  <c r="AE45" i="1"/>
  <c r="M45" i="1"/>
  <c r="W45" i="1" s="1"/>
  <c r="L45" i="1"/>
  <c r="AE44" i="1"/>
  <c r="M44" i="1"/>
  <c r="W44" i="1" s="1"/>
  <c r="L44" i="1"/>
  <c r="AE43" i="1"/>
  <c r="M43" i="1"/>
  <c r="W43" i="1" s="1"/>
  <c r="L43" i="1"/>
  <c r="AE42" i="1"/>
  <c r="M42" i="1"/>
  <c r="W42" i="1" s="1"/>
  <c r="L42" i="1"/>
  <c r="AE41" i="1"/>
  <c r="M41" i="1"/>
  <c r="W41" i="1" s="1"/>
  <c r="L41" i="1"/>
  <c r="AE40" i="1"/>
  <c r="M40" i="1"/>
  <c r="W40" i="1" s="1"/>
  <c r="L40" i="1"/>
  <c r="AE39" i="1"/>
  <c r="M39" i="1"/>
  <c r="W39" i="1" s="1"/>
  <c r="L39" i="1"/>
  <c r="BX40" i="1" l="1"/>
  <c r="BX48" i="1"/>
  <c r="BX39" i="1"/>
  <c r="BX43" i="1"/>
  <c r="BX47" i="1"/>
  <c r="BX51" i="1"/>
  <c r="BX55" i="1"/>
  <c r="BX49" i="8"/>
  <c r="BX41" i="7"/>
  <c r="BX45" i="7"/>
  <c r="BX49" i="7"/>
  <c r="BX53" i="7"/>
  <c r="BX57" i="1"/>
  <c r="BX65" i="1"/>
  <c r="BX69" i="1"/>
  <c r="BX73" i="1"/>
  <c r="BX85" i="7"/>
  <c r="BX77" i="1"/>
  <c r="BX57" i="7"/>
  <c r="BX65" i="7"/>
  <c r="BX69" i="7"/>
  <c r="BX73" i="7"/>
  <c r="BX77" i="7"/>
  <c r="BX82" i="1"/>
  <c r="BX86" i="1"/>
  <c r="V77" i="8"/>
  <c r="T93" i="6"/>
  <c r="U93" i="6" s="1"/>
  <c r="V93" i="6"/>
  <c r="X93" i="6" s="1"/>
  <c r="Y93" i="6" s="1"/>
  <c r="BX56" i="1"/>
  <c r="BX42" i="7"/>
  <c r="BX50" i="7"/>
  <c r="BX58" i="1"/>
  <c r="BX74" i="1"/>
  <c r="BX58" i="7"/>
  <c r="BX66" i="7"/>
  <c r="BX74" i="7"/>
  <c r="BX83" i="1"/>
  <c r="BX91" i="1"/>
  <c r="V91" i="1"/>
  <c r="X91" i="1" s="1"/>
  <c r="Y91" i="1" s="1"/>
  <c r="T91" i="1"/>
  <c r="U91" i="1" s="1"/>
  <c r="BX92" i="8"/>
  <c r="V92" i="8"/>
  <c r="X92" i="8" s="1"/>
  <c r="Y92" i="8" s="1"/>
  <c r="T92" i="8"/>
  <c r="U92" i="8" s="1"/>
  <c r="BX92" i="6"/>
  <c r="T92" i="6"/>
  <c r="U92" i="6" s="1"/>
  <c r="V92" i="6"/>
  <c r="X92" i="6" s="1"/>
  <c r="Y92" i="6" s="1"/>
  <c r="BX84" i="7"/>
  <c r="V92" i="7"/>
  <c r="X92" i="7" s="1"/>
  <c r="Y92" i="7" s="1"/>
  <c r="T92" i="7"/>
  <c r="U92" i="7" s="1"/>
  <c r="V90" i="7"/>
  <c r="X90" i="7" s="1"/>
  <c r="Y90" i="7" s="1"/>
  <c r="T90" i="7"/>
  <c r="U90" i="7" s="1"/>
  <c r="T92" i="1"/>
  <c r="U92" i="1" s="1"/>
  <c r="V92" i="1"/>
  <c r="X92" i="1" s="1"/>
  <c r="Y92" i="1" s="1"/>
  <c r="V93" i="1"/>
  <c r="T93" i="1"/>
  <c r="U93" i="1" s="1"/>
  <c r="BX93" i="8"/>
  <c r="V93" i="8"/>
  <c r="X93" i="8" s="1"/>
  <c r="Y93" i="8" s="1"/>
  <c r="T93" i="8"/>
  <c r="U93" i="8" s="1"/>
  <c r="BX93" i="7"/>
  <c r="T93" i="7"/>
  <c r="U93" i="7" s="1"/>
  <c r="V93" i="7"/>
  <c r="X93" i="7" s="1"/>
  <c r="Y93" i="7" s="1"/>
  <c r="BX61" i="1"/>
  <c r="V61" i="1"/>
  <c r="X61" i="1" s="1"/>
  <c r="Y61" i="1" s="1"/>
  <c r="T61" i="1"/>
  <c r="U61" i="1" s="1"/>
  <c r="BX61" i="8"/>
  <c r="T61" i="8"/>
  <c r="U61" i="8" s="1"/>
  <c r="V61" i="8"/>
  <c r="X61" i="8" s="1"/>
  <c r="Y61" i="8" s="1"/>
  <c r="BX61" i="6"/>
  <c r="V61" i="6"/>
  <c r="X61" i="6" s="1"/>
  <c r="Y61" i="6" s="1"/>
  <c r="T61" i="6"/>
  <c r="U61" i="6" s="1"/>
  <c r="BX61" i="7"/>
  <c r="T61" i="7"/>
  <c r="U61" i="7" s="1"/>
  <c r="V61" i="7"/>
  <c r="X61" i="7" s="1"/>
  <c r="Y61" i="7" s="1"/>
  <c r="BX90" i="1"/>
  <c r="T90" i="1"/>
  <c r="U90" i="1" s="1"/>
  <c r="V90" i="1"/>
  <c r="X90" i="1" s="1"/>
  <c r="Y90" i="1" s="1"/>
  <c r="X93" i="1"/>
  <c r="Y93" i="1" s="1"/>
  <c r="T91" i="8"/>
  <c r="U91" i="8" s="1"/>
  <c r="V91" i="8"/>
  <c r="X91" i="8" s="1"/>
  <c r="Y91" i="8" s="1"/>
  <c r="V91" i="6"/>
  <c r="X91" i="6" s="1"/>
  <c r="Y91" i="6" s="1"/>
  <c r="T91" i="6"/>
  <c r="U91" i="6" s="1"/>
  <c r="V91" i="7"/>
  <c r="X91" i="7" s="1"/>
  <c r="Y91" i="7" s="1"/>
  <c r="T91" i="7"/>
  <c r="U91" i="7" s="1"/>
  <c r="T90" i="6"/>
  <c r="U90" i="6" s="1"/>
  <c r="V90" i="6"/>
  <c r="X90" i="6" s="1"/>
  <c r="Y90" i="6" s="1"/>
  <c r="BX66" i="1"/>
  <c r="BX44" i="1"/>
  <c r="BX52" i="1"/>
  <c r="BX48" i="6"/>
  <c r="BX46" i="7"/>
  <c r="BX54" i="7"/>
  <c r="BX62" i="1"/>
  <c r="BX70" i="1"/>
  <c r="BX79" i="1"/>
  <c r="BX62" i="8"/>
  <c r="BX79" i="8"/>
  <c r="BX62" i="6"/>
  <c r="BX79" i="6"/>
  <c r="BX62" i="7"/>
  <c r="BX70" i="7"/>
  <c r="BX79" i="7"/>
  <c r="BX87" i="1"/>
  <c r="BX93" i="6"/>
  <c r="BX89" i="7"/>
  <c r="BX42" i="6"/>
  <c r="BX43" i="8"/>
  <c r="BX87" i="8"/>
  <c r="BX88" i="7"/>
  <c r="BX92" i="7"/>
  <c r="BX89" i="8"/>
  <c r="V50" i="8"/>
  <c r="W50" i="8"/>
  <c r="V51" i="8"/>
  <c r="V41" i="6"/>
  <c r="V53" i="6"/>
  <c r="BX88" i="8"/>
  <c r="V42" i="8"/>
  <c r="W52" i="6"/>
  <c r="BX41" i="8"/>
  <c r="BX66" i="6"/>
  <c r="BX86" i="8"/>
  <c r="BX58" i="8"/>
  <c r="BX83" i="8"/>
  <c r="BX82" i="6"/>
  <c r="BX76" i="6"/>
  <c r="BX82" i="8"/>
  <c r="W42" i="8"/>
  <c r="BX42" i="1"/>
  <c r="BX46" i="1"/>
  <c r="BX50" i="1"/>
  <c r="BX54" i="1"/>
  <c r="BX48" i="8"/>
  <c r="BX40" i="7"/>
  <c r="BX44" i="7"/>
  <c r="BX48" i="7"/>
  <c r="BX52" i="7"/>
  <c r="BX56" i="7"/>
  <c r="BX60" i="1"/>
  <c r="BX64" i="1"/>
  <c r="BX68" i="1"/>
  <c r="BX72" i="1"/>
  <c r="BX76" i="1"/>
  <c r="BX81" i="1"/>
  <c r="BX60" i="7"/>
  <c r="BX64" i="7"/>
  <c r="BX68" i="7"/>
  <c r="BX72" i="7"/>
  <c r="BX76" i="7"/>
  <c r="BX81" i="7"/>
  <c r="BX85" i="1"/>
  <c r="BX89" i="1"/>
  <c r="BX93" i="1"/>
  <c r="BX44" i="8"/>
  <c r="BX77" i="8"/>
  <c r="BX51" i="8"/>
  <c r="BX88" i="6"/>
  <c r="BX40" i="8"/>
  <c r="BX67" i="8"/>
  <c r="BX39" i="8"/>
  <c r="BX43" i="6"/>
  <c r="BX65" i="8"/>
  <c r="BX66" i="8"/>
  <c r="BX81" i="6"/>
  <c r="BX40" i="6"/>
  <c r="BX60" i="8"/>
  <c r="V84" i="6"/>
  <c r="V88" i="6"/>
  <c r="BX68" i="8"/>
  <c r="BX69" i="6"/>
  <c r="BX57" i="8"/>
  <c r="BX63" i="6"/>
  <c r="BX89" i="6"/>
  <c r="BX84" i="8"/>
  <c r="BX71" i="8"/>
  <c r="BX68" i="6"/>
  <c r="BX86" i="6"/>
  <c r="BX64" i="8"/>
  <c r="W88" i="6"/>
  <c r="BX69" i="8"/>
  <c r="BX65" i="6"/>
  <c r="BX85" i="8"/>
  <c r="BX54" i="6"/>
  <c r="BX52" i="8"/>
  <c r="BX47" i="6"/>
  <c r="BX80" i="6"/>
  <c r="BX41" i="1"/>
  <c r="BX45" i="1"/>
  <c r="BX49" i="1"/>
  <c r="BX53" i="1"/>
  <c r="BX49" i="6"/>
  <c r="BX39" i="7"/>
  <c r="BX43" i="7"/>
  <c r="BX47" i="7"/>
  <c r="BX51" i="7"/>
  <c r="BX55" i="7"/>
  <c r="BX59" i="1"/>
  <c r="BX63" i="1"/>
  <c r="BX67" i="1"/>
  <c r="BX71" i="1"/>
  <c r="BX75" i="1"/>
  <c r="BX80" i="1"/>
  <c r="T59" i="6"/>
  <c r="U59" i="6" s="1"/>
  <c r="T63" i="6"/>
  <c r="U63" i="6" s="1"/>
  <c r="BX59" i="7"/>
  <c r="BX63" i="7"/>
  <c r="BX67" i="7"/>
  <c r="BX71" i="7"/>
  <c r="BX75" i="7"/>
  <c r="BX80" i="7"/>
  <c r="BX84" i="1"/>
  <c r="BX88" i="1"/>
  <c r="BX92" i="1"/>
  <c r="BX51" i="6"/>
  <c r="BX63" i="8"/>
  <c r="BX71" i="6"/>
  <c r="BX56" i="8"/>
  <c r="BX59" i="8"/>
  <c r="BX56" i="6"/>
  <c r="BX54" i="8"/>
  <c r="BX44" i="6"/>
  <c r="BX53" i="6"/>
  <c r="BX87" i="6"/>
  <c r="BX58" i="6"/>
  <c r="BX80" i="8"/>
  <c r="BX70" i="6"/>
  <c r="BX55" i="8"/>
  <c r="BX70" i="8"/>
  <c r="BX42" i="8"/>
  <c r="W67" i="8"/>
  <c r="BX90" i="6"/>
  <c r="BX82" i="7"/>
  <c r="BX86" i="7"/>
  <c r="BX90" i="7"/>
  <c r="BX55" i="6"/>
  <c r="BX84" i="6"/>
  <c r="BX45" i="6"/>
  <c r="BX81" i="8"/>
  <c r="BX39" i="6"/>
  <c r="BX41" i="6"/>
  <c r="BX83" i="6"/>
  <c r="BX85" i="6"/>
  <c r="BX72" i="8"/>
  <c r="BX74" i="6"/>
  <c r="BX52" i="6"/>
  <c r="BX59" i="6"/>
  <c r="BX75" i="8"/>
  <c r="BX47" i="8"/>
  <c r="BX73" i="6"/>
  <c r="BX73" i="8"/>
  <c r="BX60" i="6"/>
  <c r="BX74" i="8"/>
  <c r="BX46" i="8"/>
  <c r="BX50" i="6"/>
  <c r="BX67" i="6"/>
  <c r="BX75" i="6"/>
  <c r="BX76" i="8"/>
  <c r="BX50" i="8"/>
  <c r="BX64" i="6"/>
  <c r="BX72" i="6"/>
  <c r="BX53" i="8"/>
  <c r="BX77" i="6"/>
  <c r="W47" i="6"/>
  <c r="W57" i="6"/>
  <c r="BX91" i="8"/>
  <c r="BX91" i="6"/>
  <c r="BX83" i="7"/>
  <c r="BX87" i="7"/>
  <c r="BX91" i="7"/>
  <c r="BX46" i="6"/>
  <c r="BX45" i="8"/>
  <c r="BX57" i="6"/>
  <c r="W67" i="6"/>
  <c r="W53" i="6"/>
  <c r="T39" i="6"/>
  <c r="U39" i="6" s="1"/>
  <c r="T57" i="6"/>
  <c r="U57" i="6" s="1"/>
  <c r="T60" i="6"/>
  <c r="U60" i="6" s="1"/>
  <c r="V47" i="8"/>
  <c r="T63" i="8"/>
  <c r="U63" i="8" s="1"/>
  <c r="T80" i="8"/>
  <c r="U80" i="8" s="1"/>
  <c r="V53" i="8"/>
  <c r="V47" i="6"/>
  <c r="W39" i="6"/>
  <c r="W71" i="6"/>
  <c r="V89" i="6"/>
  <c r="T71" i="6"/>
  <c r="U71" i="6" s="1"/>
  <c r="V54" i="6"/>
  <c r="V68" i="8"/>
  <c r="W54" i="6"/>
  <c r="T57" i="8"/>
  <c r="U57" i="8" s="1"/>
  <c r="T86" i="8"/>
  <c r="U86" i="8" s="1"/>
  <c r="W86" i="8"/>
  <c r="V87" i="6"/>
  <c r="X87" i="6" s="1"/>
  <c r="Y87" i="6" s="1"/>
  <c r="V66" i="6"/>
  <c r="V87" i="8"/>
  <c r="V83" i="6"/>
  <c r="W83" i="6"/>
  <c r="V50" i="6"/>
  <c r="T64" i="8"/>
  <c r="U64" i="8" s="1"/>
  <c r="T59" i="8"/>
  <c r="U59" i="8" s="1"/>
  <c r="T75" i="6"/>
  <c r="U75" i="6" s="1"/>
  <c r="T70" i="6"/>
  <c r="U70" i="6" s="1"/>
  <c r="T84" i="8"/>
  <c r="U84" i="8" s="1"/>
  <c r="T70" i="8"/>
  <c r="U70" i="8" s="1"/>
  <c r="T53" i="6"/>
  <c r="U53" i="6" s="1"/>
  <c r="V65" i="8"/>
  <c r="T73" i="8"/>
  <c r="U73" i="8" s="1"/>
  <c r="T51" i="6"/>
  <c r="U51" i="6" s="1"/>
  <c r="T43" i="8"/>
  <c r="U43" i="8" s="1"/>
  <c r="V40" i="8"/>
  <c r="V60" i="6"/>
  <c r="T51" i="8"/>
  <c r="U51" i="8" s="1"/>
  <c r="T85" i="6"/>
  <c r="U85" i="6" s="1"/>
  <c r="T66" i="6"/>
  <c r="U66" i="6" s="1"/>
  <c r="T88" i="6"/>
  <c r="U88" i="6" s="1"/>
  <c r="T50" i="8"/>
  <c r="U50" i="8" s="1"/>
  <c r="T69" i="8"/>
  <c r="U69" i="8" s="1"/>
  <c r="T85" i="8"/>
  <c r="U85" i="8" s="1"/>
  <c r="T64" i="6"/>
  <c r="U64" i="6" s="1"/>
  <c r="W40" i="8"/>
  <c r="T66" i="8"/>
  <c r="U66" i="8" s="1"/>
  <c r="T74" i="8"/>
  <c r="U74" i="8" s="1"/>
  <c r="V77" i="6"/>
  <c r="W69" i="8"/>
  <c r="V55" i="6"/>
  <c r="V55" i="8"/>
  <c r="T45" i="6"/>
  <c r="U45" i="6" s="1"/>
  <c r="V44" i="8"/>
  <c r="W45" i="6"/>
  <c r="V85" i="6"/>
  <c r="V51" i="6"/>
  <c r="V68" i="6"/>
  <c r="V46" i="6"/>
  <c r="V71" i="8"/>
  <c r="V88" i="8"/>
  <c r="W60" i="8"/>
  <c r="V76" i="6"/>
  <c r="T80" i="6"/>
  <c r="U80" i="6" s="1"/>
  <c r="V46" i="8"/>
  <c r="V58" i="6"/>
  <c r="V74" i="6"/>
  <c r="W80" i="6"/>
  <c r="W66" i="8"/>
  <c r="V82" i="8"/>
  <c r="T72" i="6"/>
  <c r="U72" i="6" s="1"/>
  <c r="T81" i="6"/>
  <c r="U81" i="6" s="1"/>
  <c r="W76" i="6"/>
  <c r="W68" i="6"/>
  <c r="V40" i="6"/>
  <c r="W59" i="6"/>
  <c r="T83" i="8"/>
  <c r="U83" i="8" s="1"/>
  <c r="W65" i="8"/>
  <c r="V67" i="8"/>
  <c r="W72" i="8"/>
  <c r="W64" i="6"/>
  <c r="T67" i="6"/>
  <c r="U67" i="6" s="1"/>
  <c r="W77" i="8"/>
  <c r="W70" i="8"/>
  <c r="V65" i="6"/>
  <c r="W58" i="8"/>
  <c r="T56" i="8"/>
  <c r="U56" i="8" s="1"/>
  <c r="W76" i="8"/>
  <c r="W56" i="8"/>
  <c r="V86" i="6"/>
  <c r="V43" i="8"/>
  <c r="W43" i="8"/>
  <c r="V54" i="8"/>
  <c r="W63" i="6"/>
  <c r="W72" i="6"/>
  <c r="W41" i="6"/>
  <c r="W74" i="8"/>
  <c r="W65" i="6"/>
  <c r="V41" i="8"/>
  <c r="T52" i="8"/>
  <c r="U52" i="8" s="1"/>
  <c r="V72" i="8"/>
  <c r="T81" i="8"/>
  <c r="U81" i="8" s="1"/>
  <c r="V64" i="6"/>
  <c r="V85" i="8"/>
  <c r="W68" i="8"/>
  <c r="W84" i="6"/>
  <c r="T45" i="8"/>
  <c r="U45" i="8" s="1"/>
  <c r="V52" i="6"/>
  <c r="T58" i="8"/>
  <c r="U58" i="8" s="1"/>
  <c r="W84" i="8"/>
  <c r="W46" i="8"/>
  <c r="W82" i="6"/>
  <c r="V42" i="6"/>
  <c r="W73" i="6"/>
  <c r="V59" i="8"/>
  <c r="W64" i="8"/>
  <c r="V75" i="8"/>
  <c r="V75" i="6"/>
  <c r="W63" i="8"/>
  <c r="V39" i="8"/>
  <c r="W52" i="8"/>
  <c r="W39" i="8"/>
  <c r="W54" i="8"/>
  <c r="W47" i="8"/>
  <c r="V43" i="6"/>
  <c r="V73" i="8"/>
  <c r="V73" i="6"/>
  <c r="X73" i="6" s="1"/>
  <c r="Y73" i="6" s="1"/>
  <c r="W57" i="8"/>
  <c r="V60" i="8"/>
  <c r="X60" i="8" s="1"/>
  <c r="Y60" i="8" s="1"/>
  <c r="W73" i="8"/>
  <c r="V76" i="8"/>
  <c r="V89" i="8"/>
  <c r="W83" i="8"/>
  <c r="W55" i="8"/>
  <c r="W45" i="8"/>
  <c r="V84" i="8"/>
  <c r="W87" i="6"/>
  <c r="W50" i="6"/>
  <c r="V44" i="1"/>
  <c r="X44" i="1" s="1"/>
  <c r="Y44" i="1" s="1"/>
  <c r="T44" i="1"/>
  <c r="U44" i="1" s="1"/>
  <c r="V41" i="1"/>
  <c r="X41" i="1" s="1"/>
  <c r="Y41" i="1" s="1"/>
  <c r="T41" i="1"/>
  <c r="U41" i="1" s="1"/>
  <c r="T49" i="1"/>
  <c r="U49" i="1" s="1"/>
  <c r="V49" i="1"/>
  <c r="X49" i="1" s="1"/>
  <c r="Y49" i="1" s="1"/>
  <c r="V43" i="7"/>
  <c r="X43" i="7" s="1"/>
  <c r="Y43" i="7" s="1"/>
  <c r="T43" i="7"/>
  <c r="U43" i="7" s="1"/>
  <c r="T51" i="7"/>
  <c r="U51" i="7" s="1"/>
  <c r="V51" i="7"/>
  <c r="X51" i="7" s="1"/>
  <c r="Y51" i="7" s="1"/>
  <c r="V59" i="1"/>
  <c r="X59" i="1" s="1"/>
  <c r="Y59" i="1" s="1"/>
  <c r="T59" i="1"/>
  <c r="U59" i="1" s="1"/>
  <c r="V67" i="1"/>
  <c r="X67" i="1" s="1"/>
  <c r="Y67" i="1" s="1"/>
  <c r="T67" i="1"/>
  <c r="U67" i="1" s="1"/>
  <c r="T75" i="1"/>
  <c r="U75" i="1" s="1"/>
  <c r="V75" i="1"/>
  <c r="X75" i="1" s="1"/>
  <c r="Y75" i="1" s="1"/>
  <c r="V59" i="7"/>
  <c r="X59" i="7" s="1"/>
  <c r="Y59" i="7" s="1"/>
  <c r="T59" i="7"/>
  <c r="U59" i="7" s="1"/>
  <c r="V67" i="7"/>
  <c r="X67" i="7" s="1"/>
  <c r="Y67" i="7" s="1"/>
  <c r="T67" i="7"/>
  <c r="U67" i="7" s="1"/>
  <c r="T75" i="7"/>
  <c r="U75" i="7" s="1"/>
  <c r="V75" i="7"/>
  <c r="X75" i="7" s="1"/>
  <c r="Y75" i="7" s="1"/>
  <c r="V84" i="1"/>
  <c r="X84" i="1" s="1"/>
  <c r="Y84" i="1" s="1"/>
  <c r="T84" i="1"/>
  <c r="U84" i="1" s="1"/>
  <c r="T86" i="7"/>
  <c r="U86" i="7" s="1"/>
  <c r="V86" i="7"/>
  <c r="X86" i="7" s="1"/>
  <c r="Y86" i="7" s="1"/>
  <c r="W59" i="8"/>
  <c r="W75" i="6"/>
  <c r="T55" i="6"/>
  <c r="U55" i="6" s="1"/>
  <c r="T89" i="8"/>
  <c r="U89" i="8" s="1"/>
  <c r="W89" i="8"/>
  <c r="V58" i="8"/>
  <c r="T40" i="8"/>
  <c r="U40" i="8" s="1"/>
  <c r="T84" i="6"/>
  <c r="U84" i="6" s="1"/>
  <c r="T75" i="8"/>
  <c r="U75" i="8" s="1"/>
  <c r="T47" i="8"/>
  <c r="U47" i="8" s="1"/>
  <c r="T39" i="8"/>
  <c r="U39" i="8" s="1"/>
  <c r="T83" i="6"/>
  <c r="U83" i="6" s="1"/>
  <c r="V44" i="6"/>
  <c r="V72" i="6"/>
  <c r="T43" i="6"/>
  <c r="U43" i="6" s="1"/>
  <c r="V83" i="8"/>
  <c r="T42" i="6"/>
  <c r="U42" i="6" s="1"/>
  <c r="V81" i="6"/>
  <c r="T71" i="8"/>
  <c r="U71" i="8" s="1"/>
  <c r="T50" i="6"/>
  <c r="U50" i="6" s="1"/>
  <c r="T86" i="6"/>
  <c r="U86" i="6" s="1"/>
  <c r="T79" i="8"/>
  <c r="U79" i="8" s="1"/>
  <c r="V79" i="8"/>
  <c r="X79" i="8" s="1"/>
  <c r="Y79" i="8" s="1"/>
  <c r="V62" i="6"/>
  <c r="X62" i="6" s="1"/>
  <c r="Y62" i="6" s="1"/>
  <c r="T62" i="6"/>
  <c r="U62" i="6" s="1"/>
  <c r="V79" i="6"/>
  <c r="X79" i="6" s="1"/>
  <c r="Y79" i="6" s="1"/>
  <c r="T79" i="6"/>
  <c r="U79" i="6" s="1"/>
  <c r="T62" i="7"/>
  <c r="U62" i="7" s="1"/>
  <c r="V62" i="7"/>
  <c r="X62" i="7" s="1"/>
  <c r="Y62" i="7" s="1"/>
  <c r="V79" i="7"/>
  <c r="X79" i="7" s="1"/>
  <c r="Y79" i="7" s="1"/>
  <c r="T79" i="7"/>
  <c r="U79" i="7" s="1"/>
  <c r="T87" i="1"/>
  <c r="U87" i="1" s="1"/>
  <c r="V87" i="1"/>
  <c r="X87" i="1" s="1"/>
  <c r="Y87" i="1" s="1"/>
  <c r="V89" i="7"/>
  <c r="X89" i="7" s="1"/>
  <c r="Y89" i="7" s="1"/>
  <c r="T89" i="7"/>
  <c r="U89" i="7" s="1"/>
  <c r="V70" i="6"/>
  <c r="V56" i="6"/>
  <c r="W46" i="6"/>
  <c r="T87" i="8"/>
  <c r="U87" i="8" s="1"/>
  <c r="W87" i="8"/>
  <c r="V59" i="6"/>
  <c r="V57" i="8"/>
  <c r="T89" i="6"/>
  <c r="U89" i="6" s="1"/>
  <c r="T55" i="8"/>
  <c r="U55" i="8" s="1"/>
  <c r="V81" i="8"/>
  <c r="T77" i="6"/>
  <c r="U77" i="6" s="1"/>
  <c r="V52" i="8"/>
  <c r="T42" i="8"/>
  <c r="U42" i="8" s="1"/>
  <c r="V80" i="6"/>
  <c r="V62" i="1"/>
  <c r="X62" i="1" s="1"/>
  <c r="Y62" i="1" s="1"/>
  <c r="T62" i="1"/>
  <c r="U62" i="1" s="1"/>
  <c r="V70" i="7"/>
  <c r="X70" i="7" s="1"/>
  <c r="Y70" i="7" s="1"/>
  <c r="T70" i="7"/>
  <c r="U70" i="7" s="1"/>
  <c r="T47" i="1"/>
  <c r="U47" i="1" s="1"/>
  <c r="V47" i="1"/>
  <c r="X47" i="1" s="1"/>
  <c r="Y47" i="1" s="1"/>
  <c r="V55" i="1"/>
  <c r="X55" i="1" s="1"/>
  <c r="Y55" i="1" s="1"/>
  <c r="T55" i="1"/>
  <c r="U55" i="1" s="1"/>
  <c r="V41" i="7"/>
  <c r="X41" i="7" s="1"/>
  <c r="Y41" i="7" s="1"/>
  <c r="T41" i="7"/>
  <c r="U41" i="7" s="1"/>
  <c r="T49" i="7"/>
  <c r="U49" i="7" s="1"/>
  <c r="V49" i="7"/>
  <c r="X49" i="7" s="1"/>
  <c r="Y49" i="7" s="1"/>
  <c r="V57" i="1"/>
  <c r="X57" i="1" s="1"/>
  <c r="Y57" i="1" s="1"/>
  <c r="T57" i="1"/>
  <c r="U57" i="1" s="1"/>
  <c r="V65" i="1"/>
  <c r="X65" i="1" s="1"/>
  <c r="Y65" i="1" s="1"/>
  <c r="T65" i="1"/>
  <c r="U65" i="1" s="1"/>
  <c r="V73" i="1"/>
  <c r="X73" i="1" s="1"/>
  <c r="Y73" i="1" s="1"/>
  <c r="T73" i="1"/>
  <c r="U73" i="1" s="1"/>
  <c r="V57" i="7"/>
  <c r="X57" i="7" s="1"/>
  <c r="Y57" i="7" s="1"/>
  <c r="T57" i="7"/>
  <c r="U57" i="7" s="1"/>
  <c r="V65" i="7"/>
  <c r="X65" i="7" s="1"/>
  <c r="Y65" i="7" s="1"/>
  <c r="T65" i="7"/>
  <c r="U65" i="7" s="1"/>
  <c r="T73" i="7"/>
  <c r="U73" i="7" s="1"/>
  <c r="V73" i="7"/>
  <c r="X73" i="7" s="1"/>
  <c r="Y73" i="7" s="1"/>
  <c r="V82" i="1"/>
  <c r="X82" i="1" s="1"/>
  <c r="Y82" i="1" s="1"/>
  <c r="T82" i="1"/>
  <c r="U82" i="1" s="1"/>
  <c r="V84" i="7"/>
  <c r="X84" i="7" s="1"/>
  <c r="Y84" i="7" s="1"/>
  <c r="T84" i="7"/>
  <c r="U84" i="7" s="1"/>
  <c r="T82" i="8"/>
  <c r="U82" i="8" s="1"/>
  <c r="W70" i="6"/>
  <c r="V69" i="8"/>
  <c r="T72" i="8"/>
  <c r="U72" i="8" s="1"/>
  <c r="V86" i="8"/>
  <c r="V45" i="6"/>
  <c r="X45" i="6" s="1"/>
  <c r="Y45" i="6" s="1"/>
  <c r="W60" i="6"/>
  <c r="T46" i="8"/>
  <c r="U46" i="8" s="1"/>
  <c r="W71" i="8"/>
  <c r="V63" i="8"/>
  <c r="W53" i="8"/>
  <c r="V80" i="8"/>
  <c r="T41" i="6"/>
  <c r="U41" i="6" s="1"/>
  <c r="V52" i="1"/>
  <c r="X52" i="1" s="1"/>
  <c r="Y52" i="1" s="1"/>
  <c r="T52" i="1"/>
  <c r="U52" i="1" s="1"/>
  <c r="T48" i="6"/>
  <c r="U48" i="6" s="1"/>
  <c r="V48" i="6"/>
  <c r="X48" i="6" s="1"/>
  <c r="Y48" i="6" s="1"/>
  <c r="V39" i="1"/>
  <c r="X39" i="1" s="1"/>
  <c r="Y39" i="1" s="1"/>
  <c r="T39" i="1"/>
  <c r="U39" i="1" s="1"/>
  <c r="V48" i="8"/>
  <c r="X48" i="8" s="1"/>
  <c r="Y48" i="8" s="1"/>
  <c r="T48" i="8"/>
  <c r="U48" i="8" s="1"/>
  <c r="T44" i="7"/>
  <c r="U44" i="7" s="1"/>
  <c r="V44" i="7"/>
  <c r="X44" i="7" s="1"/>
  <c r="Y44" i="7" s="1"/>
  <c r="T52" i="7"/>
  <c r="U52" i="7" s="1"/>
  <c r="V52" i="7"/>
  <c r="X52" i="7" s="1"/>
  <c r="Y52" i="7" s="1"/>
  <c r="V60" i="1"/>
  <c r="X60" i="1" s="1"/>
  <c r="Y60" i="1" s="1"/>
  <c r="T60" i="1"/>
  <c r="U60" i="1" s="1"/>
  <c r="V68" i="1"/>
  <c r="X68" i="1" s="1"/>
  <c r="Y68" i="1" s="1"/>
  <c r="T68" i="1"/>
  <c r="U68" i="1" s="1"/>
  <c r="V76" i="1"/>
  <c r="X76" i="1" s="1"/>
  <c r="Y76" i="1" s="1"/>
  <c r="T76" i="1"/>
  <c r="U76" i="1" s="1"/>
  <c r="T60" i="7"/>
  <c r="U60" i="7" s="1"/>
  <c r="V60" i="7"/>
  <c r="X60" i="7" s="1"/>
  <c r="Y60" i="7" s="1"/>
  <c r="T68" i="7"/>
  <c r="U68" i="7" s="1"/>
  <c r="V68" i="7"/>
  <c r="X68" i="7" s="1"/>
  <c r="Y68" i="7" s="1"/>
  <c r="T76" i="7"/>
  <c r="U76" i="7" s="1"/>
  <c r="V76" i="7"/>
  <c r="X76" i="7" s="1"/>
  <c r="Y76" i="7" s="1"/>
  <c r="V85" i="1"/>
  <c r="X85" i="1" s="1"/>
  <c r="Y85" i="1" s="1"/>
  <c r="T85" i="1"/>
  <c r="U85" i="1" s="1"/>
  <c r="V87" i="7"/>
  <c r="X87" i="7" s="1"/>
  <c r="Y87" i="7" s="1"/>
  <c r="T87" i="7"/>
  <c r="U87" i="7" s="1"/>
  <c r="W82" i="8"/>
  <c r="W85" i="6"/>
  <c r="T52" i="6"/>
  <c r="U52" i="6" s="1"/>
  <c r="T54" i="8"/>
  <c r="U54" i="8" s="1"/>
  <c r="T54" i="6"/>
  <c r="U54" i="6" s="1"/>
  <c r="W42" i="6"/>
  <c r="V66" i="8"/>
  <c r="X66" i="8" s="1"/>
  <c r="Y66" i="8" s="1"/>
  <c r="V82" i="6"/>
  <c r="W81" i="6"/>
  <c r="W51" i="6"/>
  <c r="V39" i="6"/>
  <c r="V46" i="7"/>
  <c r="X46" i="7" s="1"/>
  <c r="Y46" i="7" s="1"/>
  <c r="T46" i="7"/>
  <c r="U46" i="7" s="1"/>
  <c r="V42" i="1"/>
  <c r="X42" i="1" s="1"/>
  <c r="Y42" i="1" s="1"/>
  <c r="T42" i="1"/>
  <c r="U42" i="1" s="1"/>
  <c r="T50" i="1"/>
  <c r="U50" i="1" s="1"/>
  <c r="V50" i="1"/>
  <c r="X50" i="1" s="1"/>
  <c r="Y50" i="1" s="1"/>
  <c r="V45" i="1"/>
  <c r="X45" i="1" s="1"/>
  <c r="Y45" i="1" s="1"/>
  <c r="T45" i="1"/>
  <c r="U45" i="1" s="1"/>
  <c r="V53" i="1"/>
  <c r="X53" i="1" s="1"/>
  <c r="Y53" i="1" s="1"/>
  <c r="T53" i="1"/>
  <c r="U53" i="1" s="1"/>
  <c r="V49" i="6"/>
  <c r="X49" i="6" s="1"/>
  <c r="Y49" i="6" s="1"/>
  <c r="T49" i="6"/>
  <c r="U49" i="6" s="1"/>
  <c r="T39" i="7"/>
  <c r="U39" i="7" s="1"/>
  <c r="V39" i="7"/>
  <c r="X39" i="7" s="1"/>
  <c r="Y39" i="7" s="1"/>
  <c r="T47" i="7"/>
  <c r="U47" i="7" s="1"/>
  <c r="V47" i="7"/>
  <c r="X47" i="7" s="1"/>
  <c r="Y47" i="7" s="1"/>
  <c r="T55" i="7"/>
  <c r="U55" i="7" s="1"/>
  <c r="V55" i="7"/>
  <c r="X55" i="7" s="1"/>
  <c r="Y55" i="7" s="1"/>
  <c r="V63" i="1"/>
  <c r="X63" i="1" s="1"/>
  <c r="Y63" i="1" s="1"/>
  <c r="T63" i="1"/>
  <c r="U63" i="1" s="1"/>
  <c r="V71" i="1"/>
  <c r="X71" i="1" s="1"/>
  <c r="Y71" i="1" s="1"/>
  <c r="T71" i="1"/>
  <c r="U71" i="1" s="1"/>
  <c r="V80" i="1"/>
  <c r="X80" i="1" s="1"/>
  <c r="Y80" i="1" s="1"/>
  <c r="T80" i="1"/>
  <c r="U80" i="1" s="1"/>
  <c r="V63" i="7"/>
  <c r="X63" i="7" s="1"/>
  <c r="Y63" i="7" s="1"/>
  <c r="T63" i="7"/>
  <c r="U63" i="7" s="1"/>
  <c r="V71" i="7"/>
  <c r="X71" i="7" s="1"/>
  <c r="Y71" i="7" s="1"/>
  <c r="T71" i="7"/>
  <c r="U71" i="7" s="1"/>
  <c r="T80" i="7"/>
  <c r="U80" i="7" s="1"/>
  <c r="V80" i="7"/>
  <c r="X80" i="7" s="1"/>
  <c r="Y80" i="7" s="1"/>
  <c r="T88" i="1"/>
  <c r="U88" i="1" s="1"/>
  <c r="V88" i="1"/>
  <c r="X88" i="1" s="1"/>
  <c r="Y88" i="1" s="1"/>
  <c r="V82" i="7"/>
  <c r="X82" i="7" s="1"/>
  <c r="Y82" i="7" s="1"/>
  <c r="T82" i="7"/>
  <c r="U82" i="7" s="1"/>
  <c r="T77" i="8"/>
  <c r="U77" i="8" s="1"/>
  <c r="T41" i="8"/>
  <c r="U41" i="8" s="1"/>
  <c r="W66" i="6"/>
  <c r="W56" i="6"/>
  <c r="T46" i="6"/>
  <c r="U46" i="6" s="1"/>
  <c r="W55" i="6"/>
  <c r="T65" i="6"/>
  <c r="U65" i="6" s="1"/>
  <c r="W85" i="8"/>
  <c r="W75" i="8"/>
  <c r="T73" i="6"/>
  <c r="U73" i="6" s="1"/>
  <c r="T44" i="6"/>
  <c r="U44" i="6" s="1"/>
  <c r="T65" i="8"/>
  <c r="U65" i="8" s="1"/>
  <c r="W89" i="6"/>
  <c r="V74" i="8"/>
  <c r="T68" i="6"/>
  <c r="U68" i="6" s="1"/>
  <c r="T58" i="6"/>
  <c r="U58" i="6" s="1"/>
  <c r="T40" i="6"/>
  <c r="U40" i="6" s="1"/>
  <c r="W86" i="6"/>
  <c r="V64" i="8"/>
  <c r="X64" i="8" s="1"/>
  <c r="Y64" i="8" s="1"/>
  <c r="T42" i="7"/>
  <c r="U42" i="7" s="1"/>
  <c r="V42" i="7"/>
  <c r="X42" i="7" s="1"/>
  <c r="Y42" i="7" s="1"/>
  <c r="T50" i="7"/>
  <c r="U50" i="7" s="1"/>
  <c r="V50" i="7"/>
  <c r="X50" i="7" s="1"/>
  <c r="Y50" i="7" s="1"/>
  <c r="V58" i="1"/>
  <c r="X58" i="1" s="1"/>
  <c r="Y58" i="1" s="1"/>
  <c r="T58" i="1"/>
  <c r="U58" i="1" s="1"/>
  <c r="T66" i="1"/>
  <c r="U66" i="1" s="1"/>
  <c r="V66" i="1"/>
  <c r="X66" i="1" s="1"/>
  <c r="Y66" i="1" s="1"/>
  <c r="T74" i="1"/>
  <c r="U74" i="1" s="1"/>
  <c r="V74" i="1"/>
  <c r="X74" i="1" s="1"/>
  <c r="Y74" i="1" s="1"/>
  <c r="T58" i="7"/>
  <c r="U58" i="7" s="1"/>
  <c r="V58" i="7"/>
  <c r="X58" i="7" s="1"/>
  <c r="Y58" i="7" s="1"/>
  <c r="V66" i="7"/>
  <c r="X66" i="7" s="1"/>
  <c r="Y66" i="7" s="1"/>
  <c r="T66" i="7"/>
  <c r="U66" i="7" s="1"/>
  <c r="T74" i="7"/>
  <c r="U74" i="7" s="1"/>
  <c r="V74" i="7"/>
  <c r="X74" i="7" s="1"/>
  <c r="Y74" i="7" s="1"/>
  <c r="T83" i="1"/>
  <c r="U83" i="1" s="1"/>
  <c r="V83" i="1"/>
  <c r="X83" i="1" s="1"/>
  <c r="Y83" i="1" s="1"/>
  <c r="T85" i="7"/>
  <c r="U85" i="7" s="1"/>
  <c r="V85" i="7"/>
  <c r="X85" i="7" s="1"/>
  <c r="Y85" i="7" s="1"/>
  <c r="T44" i="8"/>
  <c r="U44" i="8" s="1"/>
  <c r="W51" i="8"/>
  <c r="X51" i="8" s="1"/>
  <c r="Y51" i="8" s="1"/>
  <c r="T56" i="6"/>
  <c r="U56" i="6" s="1"/>
  <c r="V45" i="8"/>
  <c r="X45" i="8" s="1"/>
  <c r="Y45" i="8" s="1"/>
  <c r="V71" i="6"/>
  <c r="X71" i="6" s="1"/>
  <c r="Y71" i="6" s="1"/>
  <c r="T68" i="8"/>
  <c r="U68" i="8" s="1"/>
  <c r="T74" i="6"/>
  <c r="U74" i="6" s="1"/>
  <c r="W44" i="6"/>
  <c r="V63" i="6"/>
  <c r="X63" i="6" s="1"/>
  <c r="Y63" i="6" s="1"/>
  <c r="W43" i="6"/>
  <c r="T82" i="6"/>
  <c r="U82" i="6" s="1"/>
  <c r="V70" i="8"/>
  <c r="X70" i="8" s="1"/>
  <c r="Y70" i="8" s="1"/>
  <c r="T70" i="1"/>
  <c r="U70" i="1" s="1"/>
  <c r="V70" i="1"/>
  <c r="X70" i="1" s="1"/>
  <c r="Y70" i="1" s="1"/>
  <c r="V40" i="1"/>
  <c r="X40" i="1" s="1"/>
  <c r="Y40" i="1" s="1"/>
  <c r="T40" i="1"/>
  <c r="U40" i="1" s="1"/>
  <c r="T48" i="1"/>
  <c r="U48" i="1" s="1"/>
  <c r="V48" i="1"/>
  <c r="X48" i="1" s="1"/>
  <c r="Y48" i="1" s="1"/>
  <c r="V56" i="1"/>
  <c r="X56" i="1" s="1"/>
  <c r="Y56" i="1" s="1"/>
  <c r="T56" i="1"/>
  <c r="U56" i="1" s="1"/>
  <c r="V43" i="1"/>
  <c r="X43" i="1" s="1"/>
  <c r="Y43" i="1" s="1"/>
  <c r="T43" i="1"/>
  <c r="U43" i="1" s="1"/>
  <c r="V51" i="1"/>
  <c r="X51" i="1" s="1"/>
  <c r="Y51" i="1" s="1"/>
  <c r="T51" i="1"/>
  <c r="U51" i="1" s="1"/>
  <c r="V49" i="8"/>
  <c r="X49" i="8" s="1"/>
  <c r="Y49" i="8" s="1"/>
  <c r="T49" i="8"/>
  <c r="U49" i="8" s="1"/>
  <c r="V45" i="7"/>
  <c r="X45" i="7" s="1"/>
  <c r="Y45" i="7" s="1"/>
  <c r="T45" i="7"/>
  <c r="U45" i="7" s="1"/>
  <c r="V53" i="7"/>
  <c r="X53" i="7" s="1"/>
  <c r="Y53" i="7" s="1"/>
  <c r="T53" i="7"/>
  <c r="U53" i="7" s="1"/>
  <c r="V69" i="1"/>
  <c r="X69" i="1" s="1"/>
  <c r="Y69" i="1" s="1"/>
  <c r="T69" i="1"/>
  <c r="U69" i="1" s="1"/>
  <c r="V77" i="1"/>
  <c r="X77" i="1" s="1"/>
  <c r="Y77" i="1" s="1"/>
  <c r="T77" i="1"/>
  <c r="U77" i="1" s="1"/>
  <c r="T69" i="7"/>
  <c r="U69" i="7" s="1"/>
  <c r="V69" i="7"/>
  <c r="X69" i="7" s="1"/>
  <c r="Y69" i="7" s="1"/>
  <c r="T77" i="7"/>
  <c r="U77" i="7" s="1"/>
  <c r="V77" i="7"/>
  <c r="X77" i="7" s="1"/>
  <c r="Y77" i="7" s="1"/>
  <c r="V86" i="1"/>
  <c r="X86" i="1" s="1"/>
  <c r="Y86" i="1" s="1"/>
  <c r="T86" i="1"/>
  <c r="U86" i="1" s="1"/>
  <c r="V88" i="7"/>
  <c r="X88" i="7" s="1"/>
  <c r="Y88" i="7" s="1"/>
  <c r="T88" i="7"/>
  <c r="U88" i="7" s="1"/>
  <c r="T88" i="8"/>
  <c r="U88" i="8" s="1"/>
  <c r="W88" i="8"/>
  <c r="W41" i="8"/>
  <c r="T67" i="8"/>
  <c r="U67" i="8" s="1"/>
  <c r="V56" i="8"/>
  <c r="T87" i="6"/>
  <c r="U87" i="6" s="1"/>
  <c r="W40" i="6"/>
  <c r="W80" i="8"/>
  <c r="T76" i="6"/>
  <c r="U76" i="6" s="1"/>
  <c r="V67" i="6"/>
  <c r="X67" i="6" s="1"/>
  <c r="Y67" i="6" s="1"/>
  <c r="V57" i="6"/>
  <c r="X57" i="6" s="1"/>
  <c r="Y57" i="6" s="1"/>
  <c r="T47" i="6"/>
  <c r="U47" i="6" s="1"/>
  <c r="T54" i="7"/>
  <c r="U54" i="7" s="1"/>
  <c r="V54" i="7"/>
  <c r="X54" i="7" s="1"/>
  <c r="Y54" i="7" s="1"/>
  <c r="V79" i="1"/>
  <c r="X79" i="1" s="1"/>
  <c r="Y79" i="1" s="1"/>
  <c r="T79" i="1"/>
  <c r="U79" i="1" s="1"/>
  <c r="T62" i="8"/>
  <c r="U62" i="8" s="1"/>
  <c r="V62" i="8"/>
  <c r="X62" i="8" s="1"/>
  <c r="Y62" i="8" s="1"/>
  <c r="V46" i="1"/>
  <c r="X46" i="1" s="1"/>
  <c r="Y46" i="1" s="1"/>
  <c r="T46" i="1"/>
  <c r="U46" i="1" s="1"/>
  <c r="V54" i="1"/>
  <c r="X54" i="1" s="1"/>
  <c r="Y54" i="1" s="1"/>
  <c r="T54" i="1"/>
  <c r="U54" i="1" s="1"/>
  <c r="V40" i="7"/>
  <c r="X40" i="7" s="1"/>
  <c r="Y40" i="7" s="1"/>
  <c r="T40" i="7"/>
  <c r="U40" i="7" s="1"/>
  <c r="T48" i="7"/>
  <c r="U48" i="7" s="1"/>
  <c r="V48" i="7"/>
  <c r="X48" i="7" s="1"/>
  <c r="Y48" i="7" s="1"/>
  <c r="T56" i="7"/>
  <c r="U56" i="7" s="1"/>
  <c r="V56" i="7"/>
  <c r="X56" i="7" s="1"/>
  <c r="Y56" i="7" s="1"/>
  <c r="V64" i="1"/>
  <c r="X64" i="1" s="1"/>
  <c r="Y64" i="1" s="1"/>
  <c r="T64" i="1"/>
  <c r="U64" i="1" s="1"/>
  <c r="V72" i="1"/>
  <c r="X72" i="1" s="1"/>
  <c r="Y72" i="1" s="1"/>
  <c r="T72" i="1"/>
  <c r="U72" i="1" s="1"/>
  <c r="V81" i="1"/>
  <c r="X81" i="1" s="1"/>
  <c r="Y81" i="1" s="1"/>
  <c r="T81" i="1"/>
  <c r="U81" i="1" s="1"/>
  <c r="T64" i="7"/>
  <c r="U64" i="7" s="1"/>
  <c r="V64" i="7"/>
  <c r="X64" i="7" s="1"/>
  <c r="Y64" i="7" s="1"/>
  <c r="V72" i="7"/>
  <c r="X72" i="7" s="1"/>
  <c r="Y72" i="7" s="1"/>
  <c r="T72" i="7"/>
  <c r="U72" i="7" s="1"/>
  <c r="V81" i="7"/>
  <c r="X81" i="7" s="1"/>
  <c r="Y81" i="7" s="1"/>
  <c r="T81" i="7"/>
  <c r="U81" i="7" s="1"/>
  <c r="V89" i="1"/>
  <c r="X89" i="1" s="1"/>
  <c r="Y89" i="1" s="1"/>
  <c r="T89" i="1"/>
  <c r="U89" i="1" s="1"/>
  <c r="T83" i="7"/>
  <c r="U83" i="7" s="1"/>
  <c r="V83" i="7"/>
  <c r="X83" i="7" s="1"/>
  <c r="Y83" i="7" s="1"/>
  <c r="W44" i="8"/>
  <c r="T76" i="8"/>
  <c r="U76" i="8" s="1"/>
  <c r="W74" i="6"/>
  <c r="V69" i="6"/>
  <c r="W69" i="6"/>
  <c r="T69" i="6"/>
  <c r="U69" i="6" s="1"/>
  <c r="W81" i="8"/>
  <c r="T53" i="8"/>
  <c r="U53" i="8" s="1"/>
  <c r="W77" i="6"/>
  <c r="W58" i="6"/>
  <c r="T60" i="8"/>
  <c r="U60" i="8" s="1"/>
  <c r="AB66" i="8"/>
  <c r="AC83" i="1"/>
  <c r="AB80" i="6"/>
  <c r="AB80" i="7"/>
  <c r="AB84" i="1"/>
  <c r="AB77" i="1"/>
  <c r="AC87" i="1"/>
  <c r="Z92" i="8"/>
  <c r="Z86" i="6"/>
  <c r="AB82" i="6"/>
  <c r="AB84" i="8"/>
  <c r="AB71" i="8"/>
  <c r="AB58" i="6"/>
  <c r="AB70" i="6"/>
  <c r="AA90" i="1"/>
  <c r="AB86" i="6"/>
  <c r="AB68" i="6"/>
  <c r="AB90" i="1"/>
  <c r="AC85" i="1"/>
  <c r="AB54" i="8"/>
  <c r="AB47" i="6"/>
  <c r="AB80" i="8"/>
  <c r="AB64" i="6"/>
  <c r="AB76" i="6"/>
  <c r="AB79" i="6"/>
  <c r="AC83" i="6"/>
  <c r="AB62" i="8"/>
  <c r="AB75" i="8"/>
  <c r="AC83" i="8"/>
  <c r="AB43" i="8"/>
  <c r="AB50" i="7"/>
  <c r="AC82" i="7"/>
  <c r="AB71" i="7"/>
  <c r="AB46" i="8"/>
  <c r="AB54" i="1"/>
  <c r="AB55" i="6"/>
  <c r="AB47" i="7"/>
  <c r="AB64" i="1"/>
  <c r="AB43" i="1"/>
  <c r="AB55" i="7"/>
  <c r="Z64" i="1"/>
  <c r="AB40" i="8"/>
  <c r="AC69" i="8"/>
  <c r="AB46" i="7"/>
  <c r="AB63" i="6"/>
  <c r="AB47" i="8"/>
  <c r="AB42" i="7"/>
  <c r="AB42" i="8"/>
  <c r="AB63" i="7"/>
  <c r="AB52" i="1"/>
  <c r="AC73" i="6"/>
  <c r="AC75" i="6"/>
  <c r="AC53" i="1"/>
  <c r="AC52" i="8"/>
  <c r="X77" i="8" l="1"/>
  <c r="Y77" i="8" s="1"/>
  <c r="X41" i="6"/>
  <c r="Y41" i="6" s="1"/>
  <c r="X53" i="6"/>
  <c r="Y53" i="6" s="1"/>
  <c r="X52" i="6"/>
  <c r="Y52" i="6" s="1"/>
  <c r="X42" i="8"/>
  <c r="Y42" i="8" s="1"/>
  <c r="X84" i="6"/>
  <c r="Y84" i="6" s="1"/>
  <c r="X47" i="6"/>
  <c r="Y47" i="6" s="1"/>
  <c r="X88" i="6"/>
  <c r="Y88" i="6" s="1"/>
  <c r="X81" i="6"/>
  <c r="Y81" i="6" s="1"/>
  <c r="X80" i="6"/>
  <c r="Y80" i="6" s="1"/>
  <c r="X72" i="8"/>
  <c r="Y72" i="8" s="1"/>
  <c r="X86" i="8"/>
  <c r="Y86" i="8" s="1"/>
  <c r="X54" i="8"/>
  <c r="Y54" i="8" s="1"/>
  <c r="X64" i="6"/>
  <c r="Y64" i="6" s="1"/>
  <c r="X85" i="6"/>
  <c r="Y85" i="6" s="1"/>
  <c r="X65" i="8"/>
  <c r="Y65" i="8" s="1"/>
  <c r="X56" i="8"/>
  <c r="Y56" i="8" s="1"/>
  <c r="X83" i="6"/>
  <c r="Y83" i="6" s="1"/>
  <c r="X53" i="8"/>
  <c r="Y53" i="8" s="1"/>
  <c r="X83" i="8"/>
  <c r="Y83" i="8" s="1"/>
  <c r="X52" i="8"/>
  <c r="Y52" i="8" s="1"/>
  <c r="X41" i="8"/>
  <c r="Y41" i="8" s="1"/>
  <c r="X43" i="8"/>
  <c r="Y43" i="8" s="1"/>
  <c r="X50" i="8"/>
  <c r="Y50" i="8" s="1"/>
  <c r="X82" i="6"/>
  <c r="Y82" i="6" s="1"/>
  <c r="X55" i="6"/>
  <c r="Y55" i="6" s="1"/>
  <c r="X67" i="8"/>
  <c r="Y67" i="8" s="1"/>
  <c r="X75" i="8"/>
  <c r="Y75" i="8" s="1"/>
  <c r="X69" i="8"/>
  <c r="Y69" i="8" s="1"/>
  <c r="X66" i="6"/>
  <c r="Y66" i="6" s="1"/>
  <c r="X74" i="6"/>
  <c r="Y74" i="6" s="1"/>
  <c r="X58" i="6"/>
  <c r="Y58" i="6" s="1"/>
  <c r="X74" i="8"/>
  <c r="Y74" i="8" s="1"/>
  <c r="X39" i="6"/>
  <c r="Y39" i="6" s="1"/>
  <c r="X81" i="8"/>
  <c r="Y81" i="8" s="1"/>
  <c r="X39" i="8"/>
  <c r="Y39" i="8" s="1"/>
  <c r="X40" i="6"/>
  <c r="Y40" i="6" s="1"/>
  <c r="X46" i="8"/>
  <c r="Y46" i="8" s="1"/>
  <c r="X44" i="8"/>
  <c r="Y44" i="8" s="1"/>
  <c r="X75" i="6"/>
  <c r="Y75" i="6" s="1"/>
  <c r="X65" i="6"/>
  <c r="Y65" i="6" s="1"/>
  <c r="X76" i="6"/>
  <c r="Y76" i="6" s="1"/>
  <c r="X55" i="8"/>
  <c r="Y55" i="8" s="1"/>
  <c r="X84" i="8"/>
  <c r="Y84" i="8" s="1"/>
  <c r="X69" i="6"/>
  <c r="Y69" i="6" s="1"/>
  <c r="X80" i="8"/>
  <c r="Y80" i="8" s="1"/>
  <c r="X59" i="6"/>
  <c r="Y59" i="6" s="1"/>
  <c r="X73" i="8"/>
  <c r="Y73" i="8" s="1"/>
  <c r="X85" i="8"/>
  <c r="Y85" i="8" s="1"/>
  <c r="X68" i="8"/>
  <c r="Y68" i="8" s="1"/>
  <c r="X43" i="6"/>
  <c r="Y43" i="6" s="1"/>
  <c r="X59" i="8"/>
  <c r="Y59" i="8" s="1"/>
  <c r="X88" i="8"/>
  <c r="Y88" i="8" s="1"/>
  <c r="X77" i="6"/>
  <c r="Y77" i="6" s="1"/>
  <c r="X60" i="6"/>
  <c r="Y60" i="6" s="1"/>
  <c r="X54" i="6"/>
  <c r="Y54" i="6" s="1"/>
  <c r="X63" i="8"/>
  <c r="Y63" i="8" s="1"/>
  <c r="X82" i="8"/>
  <c r="Y82" i="8" s="1"/>
  <c r="X71" i="8"/>
  <c r="Y71" i="8" s="1"/>
  <c r="X40" i="8"/>
  <c r="Y40" i="8" s="1"/>
  <c r="X50" i="6"/>
  <c r="Y50" i="6" s="1"/>
  <c r="X57" i="8"/>
  <c r="Y57" i="8" s="1"/>
  <c r="X72" i="6"/>
  <c r="Y72" i="6" s="1"/>
  <c r="X42" i="6"/>
  <c r="Y42" i="6" s="1"/>
  <c r="X46" i="6"/>
  <c r="Y46" i="6" s="1"/>
  <c r="X89" i="6"/>
  <c r="Y89" i="6" s="1"/>
  <c r="X56" i="6"/>
  <c r="Y56" i="6" s="1"/>
  <c r="X44" i="6"/>
  <c r="Y44" i="6" s="1"/>
  <c r="X89" i="8"/>
  <c r="Y89" i="8" s="1"/>
  <c r="X86" i="6"/>
  <c r="Y86" i="6" s="1"/>
  <c r="X68" i="6"/>
  <c r="Y68" i="6" s="1"/>
  <c r="X58" i="8"/>
  <c r="Y58" i="8" s="1"/>
  <c r="X70" i="6"/>
  <c r="Y70" i="6" s="1"/>
  <c r="X76" i="8"/>
  <c r="Y76" i="8" s="1"/>
  <c r="X51" i="6"/>
  <c r="Y51" i="6" s="1"/>
  <c r="X87" i="8"/>
  <c r="Y87" i="8" s="1"/>
  <c r="X47" i="8"/>
  <c r="Y47" i="8" s="1"/>
  <c r="AC53" i="7"/>
  <c r="AA66" i="8"/>
  <c r="Z66" i="8"/>
  <c r="AC66" i="8"/>
  <c r="AB58" i="8"/>
  <c r="Z46" i="8"/>
  <c r="Z90" i="8"/>
  <c r="AB90" i="8" s="1"/>
  <c r="AB39" i="8"/>
  <c r="AA88" i="8"/>
  <c r="AA47" i="8"/>
  <c r="AA76" i="6"/>
  <c r="AA58" i="8"/>
  <c r="AC92" i="1"/>
  <c r="AB63" i="8"/>
  <c r="AC93" i="1"/>
  <c r="AB92" i="1"/>
  <c r="AC82" i="8"/>
  <c r="Z63" i="8"/>
  <c r="AC89" i="1"/>
  <c r="AA92" i="1"/>
  <c r="AC89" i="8"/>
  <c r="AC85" i="8"/>
  <c r="AC93" i="8"/>
  <c r="AC70" i="6"/>
  <c r="AC93" i="7"/>
  <c r="AC76" i="6"/>
  <c r="AC51" i="8"/>
  <c r="AC91" i="1"/>
  <c r="Z50" i="7"/>
  <c r="AC85" i="6"/>
  <c r="Z79" i="6"/>
  <c r="AC93" i="6"/>
  <c r="AB82" i="7"/>
  <c r="Z42" i="7"/>
  <c r="AC88" i="7"/>
  <c r="AC88" i="1"/>
  <c r="AC64" i="8"/>
  <c r="AC91" i="6"/>
  <c r="AB88" i="8"/>
  <c r="AC92" i="7"/>
  <c r="AC87" i="6"/>
  <c r="Z88" i="8"/>
  <c r="AC87" i="7"/>
  <c r="AA84" i="8"/>
  <c r="AC84" i="8"/>
  <c r="AC88" i="8"/>
  <c r="AC92" i="8"/>
  <c r="AA70" i="8"/>
  <c r="AB59" i="6"/>
  <c r="AB90" i="6"/>
  <c r="AB85" i="7"/>
  <c r="AC85" i="7"/>
  <c r="AC91" i="7"/>
  <c r="AB89" i="7"/>
  <c r="AC83" i="7"/>
  <c r="AC84" i="7"/>
  <c r="AA79" i="6"/>
  <c r="AA47" i="7"/>
  <c r="AA47" i="6"/>
  <c r="AA92" i="8"/>
  <c r="Z58" i="6"/>
  <c r="AB92" i="8"/>
  <c r="AB70" i="8"/>
  <c r="Z89" i="7"/>
  <c r="AA89" i="7"/>
  <c r="AC92" i="6"/>
  <c r="AA85" i="7"/>
  <c r="AA43" i="8"/>
  <c r="Z70" i="8"/>
  <c r="Z82" i="6"/>
  <c r="Z90" i="6"/>
  <c r="AA82" i="6"/>
  <c r="AA90" i="6"/>
  <c r="AA71" i="8"/>
  <c r="AC84" i="1"/>
  <c r="AA72" i="1"/>
  <c r="AB72" i="1"/>
  <c r="AC86" i="1"/>
  <c r="Z52" i="1"/>
  <c r="AC80" i="1"/>
  <c r="AC82" i="1"/>
  <c r="AC52" i="1"/>
  <c r="AA52" i="1"/>
  <c r="AC90" i="1"/>
  <c r="AC79" i="6"/>
  <c r="AC86" i="8"/>
  <c r="AA46" i="8"/>
  <c r="AA70" i="6"/>
  <c r="AC63" i="1"/>
  <c r="AC88" i="6"/>
  <c r="AC42" i="6"/>
  <c r="AC55" i="1"/>
  <c r="Z70" i="6"/>
  <c r="AC60" i="8"/>
  <c r="Z58" i="8"/>
  <c r="AA84" i="1"/>
  <c r="AC44" i="8"/>
  <c r="AC86" i="7"/>
  <c r="AA58" i="7"/>
  <c r="Z85" i="7"/>
  <c r="AA86" i="6"/>
  <c r="AC45" i="8"/>
  <c r="AA90" i="8"/>
  <c r="Z84" i="1"/>
  <c r="AB93" i="1"/>
  <c r="Z93" i="1"/>
  <c r="AA93" i="1"/>
  <c r="AC67" i="7"/>
  <c r="AA68" i="6"/>
  <c r="Z87" i="1"/>
  <c r="AA87" i="1"/>
  <c r="AB87" i="1"/>
  <c r="AB85" i="1"/>
  <c r="AA85" i="1"/>
  <c r="Z85" i="1"/>
  <c r="AC42" i="7"/>
  <c r="AA63" i="8"/>
  <c r="AC81" i="1"/>
  <c r="Z83" i="1"/>
  <c r="AA83" i="1"/>
  <c r="AB83" i="1"/>
  <c r="Z82" i="7"/>
  <c r="AB89" i="6"/>
  <c r="AA89" i="6"/>
  <c r="Z89" i="6"/>
  <c r="Z83" i="6"/>
  <c r="AB83" i="6"/>
  <c r="AA83" i="6"/>
  <c r="Z89" i="8"/>
  <c r="AB89" i="8"/>
  <c r="AA89" i="8"/>
  <c r="AB91" i="8"/>
  <c r="AA91" i="8"/>
  <c r="Z91" i="8"/>
  <c r="AB91" i="7"/>
  <c r="AA91" i="7"/>
  <c r="Z91" i="7"/>
  <c r="Z93" i="7"/>
  <c r="AB93" i="7"/>
  <c r="AA93" i="7"/>
  <c r="AC87" i="8"/>
  <c r="Z84" i="8"/>
  <c r="AC58" i="7"/>
  <c r="AC61" i="8"/>
  <c r="AB93" i="6"/>
  <c r="AA93" i="6"/>
  <c r="Z93" i="6"/>
  <c r="AB58" i="7"/>
  <c r="AC62" i="7"/>
  <c r="AC65" i="8"/>
  <c r="AC61" i="1"/>
  <c r="AA82" i="7"/>
  <c r="AB87" i="7"/>
  <c r="AA87" i="7"/>
  <c r="Z87" i="7"/>
  <c r="AB84" i="7"/>
  <c r="AA84" i="7"/>
  <c r="Z84" i="7"/>
  <c r="AC48" i="7"/>
  <c r="AB92" i="7"/>
  <c r="AA92" i="7"/>
  <c r="Z92" i="7"/>
  <c r="AB90" i="7"/>
  <c r="AA90" i="7"/>
  <c r="Z90" i="7"/>
  <c r="AB85" i="6"/>
  <c r="AA85" i="6"/>
  <c r="Z85" i="6"/>
  <c r="AB86" i="1"/>
  <c r="AA86" i="1"/>
  <c r="Z86" i="1"/>
  <c r="AB91" i="1"/>
  <c r="Z91" i="1"/>
  <c r="AA91" i="1"/>
  <c r="Z90" i="1"/>
  <c r="Z92" i="1"/>
  <c r="AB86" i="8"/>
  <c r="AA86" i="8"/>
  <c r="Z86" i="8"/>
  <c r="Z87" i="6"/>
  <c r="AB87" i="6"/>
  <c r="AA87" i="6"/>
  <c r="Z58" i="7"/>
  <c r="Z68" i="6"/>
  <c r="AC84" i="6"/>
  <c r="AC89" i="6"/>
  <c r="AB85" i="8"/>
  <c r="AA85" i="8"/>
  <c r="Z85" i="8"/>
  <c r="AC91" i="8"/>
  <c r="AB88" i="1"/>
  <c r="AA88" i="1"/>
  <c r="Z88" i="1"/>
  <c r="AB84" i="6"/>
  <c r="AA84" i="6"/>
  <c r="Z84" i="6"/>
  <c r="AC80" i="6"/>
  <c r="AC59" i="6"/>
  <c r="AB88" i="7"/>
  <c r="AA88" i="7"/>
  <c r="Z88" i="7"/>
  <c r="Z93" i="8"/>
  <c r="AB93" i="8"/>
  <c r="AA93" i="8"/>
  <c r="Z91" i="6"/>
  <c r="AB91" i="6"/>
  <c r="AA91" i="6"/>
  <c r="AB92" i="6"/>
  <c r="AA92" i="6"/>
  <c r="Z92" i="6"/>
  <c r="AC58" i="6"/>
  <c r="AC90" i="7"/>
  <c r="AB86" i="7"/>
  <c r="AA86" i="7"/>
  <c r="Z86" i="7"/>
  <c r="AB83" i="7"/>
  <c r="AA83" i="7"/>
  <c r="Z83" i="7"/>
  <c r="AB83" i="8"/>
  <c r="Z83" i="8"/>
  <c r="AA83" i="8"/>
  <c r="AB82" i="8"/>
  <c r="AA82" i="8"/>
  <c r="Z82" i="8"/>
  <c r="AB82" i="1"/>
  <c r="AA82" i="1"/>
  <c r="Z82" i="1"/>
  <c r="AB88" i="6"/>
  <c r="AA88" i="6"/>
  <c r="Z88" i="6"/>
  <c r="AB89" i="1"/>
  <c r="Z89" i="1"/>
  <c r="AA89" i="1"/>
  <c r="AB87" i="8"/>
  <c r="AA87" i="8"/>
  <c r="Z87" i="8"/>
  <c r="AC48" i="6"/>
  <c r="AC39" i="6"/>
  <c r="AC41" i="6"/>
  <c r="AC56" i="7"/>
  <c r="AC67" i="8"/>
  <c r="AC66" i="6"/>
  <c r="AC65" i="6"/>
  <c r="AC60" i="7"/>
  <c r="AC46" i="8"/>
  <c r="AC76" i="1"/>
  <c r="AC81" i="7"/>
  <c r="AC52" i="7"/>
  <c r="AC39" i="7"/>
  <c r="AC55" i="8"/>
  <c r="AC74" i="7"/>
  <c r="AC77" i="8"/>
  <c r="AC48" i="1"/>
  <c r="AC50" i="7"/>
  <c r="AC74" i="6"/>
  <c r="AC51" i="7"/>
  <c r="AC54" i="7"/>
  <c r="AC48" i="8"/>
  <c r="AC44" i="1"/>
  <c r="AC57" i="6"/>
  <c r="AC77" i="1"/>
  <c r="AC43" i="1"/>
  <c r="AC71" i="8"/>
  <c r="AC70" i="7"/>
  <c r="AC58" i="8"/>
  <c r="AC44" i="7"/>
  <c r="AC41" i="7"/>
  <c r="AC59" i="7"/>
  <c r="AC62" i="6"/>
  <c r="AC69" i="1"/>
  <c r="AC70" i="8"/>
  <c r="AB73" i="7"/>
  <c r="AA73" i="7"/>
  <c r="Z73" i="7"/>
  <c r="AB61" i="7"/>
  <c r="AA61" i="7"/>
  <c r="Z61" i="7"/>
  <c r="AB79" i="8"/>
  <c r="Z79" i="8"/>
  <c r="AA79" i="8"/>
  <c r="AC72" i="6"/>
  <c r="AC76" i="7"/>
  <c r="AC77" i="6"/>
  <c r="AC69" i="6"/>
  <c r="AC72" i="7"/>
  <c r="Z61" i="6"/>
  <c r="AB61" i="6"/>
  <c r="AA61" i="6"/>
  <c r="Z64" i="6"/>
  <c r="AB72" i="8"/>
  <c r="AA72" i="8"/>
  <c r="Z72" i="8"/>
  <c r="Z57" i="8"/>
  <c r="AA57" i="8"/>
  <c r="AB57" i="8"/>
  <c r="AA57" i="1"/>
  <c r="Z57" i="1"/>
  <c r="AB57" i="1"/>
  <c r="AA59" i="8"/>
  <c r="Z59" i="8"/>
  <c r="AB59" i="8"/>
  <c r="AB67" i="8"/>
  <c r="AA67" i="8"/>
  <c r="Z67" i="8"/>
  <c r="AA77" i="1"/>
  <c r="Z80" i="8"/>
  <c r="Z74" i="6"/>
  <c r="AB74" i="6"/>
  <c r="AA74" i="6"/>
  <c r="AB74" i="8"/>
  <c r="AA74" i="8"/>
  <c r="Z74" i="8"/>
  <c r="AC68" i="7"/>
  <c r="Z70" i="7"/>
  <c r="AB70" i="7"/>
  <c r="AA70" i="7"/>
  <c r="AB81" i="6"/>
  <c r="AA81" i="6"/>
  <c r="Z81" i="6"/>
  <c r="AB62" i="6"/>
  <c r="AA62" i="6"/>
  <c r="Z62" i="6"/>
  <c r="AB64" i="8"/>
  <c r="AA64" i="8"/>
  <c r="Z64" i="8"/>
  <c r="AA58" i="6"/>
  <c r="AA42" i="7"/>
  <c r="Z80" i="7"/>
  <c r="AA64" i="6"/>
  <c r="AC64" i="7"/>
  <c r="AA59" i="6"/>
  <c r="AA64" i="1"/>
  <c r="AA80" i="1"/>
  <c r="Z80" i="1"/>
  <c r="AB80" i="1"/>
  <c r="AC65" i="1"/>
  <c r="AA80" i="8"/>
  <c r="Z69" i="8"/>
  <c r="AB69" i="8"/>
  <c r="AA69" i="8"/>
  <c r="AA46" i="7"/>
  <c r="AB70" i="1"/>
  <c r="AA70" i="1"/>
  <c r="Z70" i="1"/>
  <c r="AA80" i="7"/>
  <c r="Z59" i="6"/>
  <c r="AB81" i="8"/>
  <c r="AA81" i="8"/>
  <c r="Z81" i="8"/>
  <c r="AB67" i="1"/>
  <c r="Z67" i="1"/>
  <c r="AA67" i="1"/>
  <c r="AB68" i="8"/>
  <c r="AA68" i="8"/>
  <c r="Z68" i="8"/>
  <c r="AA69" i="1"/>
  <c r="Z69" i="1"/>
  <c r="AB69" i="1"/>
  <c r="Z62" i="8"/>
  <c r="AB68" i="1"/>
  <c r="AA68" i="1"/>
  <c r="Z68" i="1"/>
  <c r="AB73" i="1"/>
  <c r="AA73" i="1"/>
  <c r="Z73" i="1"/>
  <c r="AA61" i="1"/>
  <c r="Z61" i="1"/>
  <c r="AB61" i="1"/>
  <c r="AB81" i="7"/>
  <c r="AA81" i="7"/>
  <c r="Z81" i="7"/>
  <c r="AA40" i="8"/>
  <c r="AB69" i="7"/>
  <c r="AA69" i="7"/>
  <c r="Z69" i="7"/>
  <c r="AB57" i="7"/>
  <c r="AA57" i="7"/>
  <c r="Z57" i="7"/>
  <c r="Z66" i="6"/>
  <c r="AB66" i="6"/>
  <c r="AA66" i="6"/>
  <c r="Z74" i="7"/>
  <c r="AB74" i="7"/>
  <c r="AA74" i="7"/>
  <c r="AB75" i="6"/>
  <c r="Z75" i="6"/>
  <c r="AA75" i="6"/>
  <c r="AB60" i="6"/>
  <c r="AA60" i="6"/>
  <c r="Z60" i="6"/>
  <c r="AB73" i="6"/>
  <c r="AA73" i="6"/>
  <c r="Z73" i="6"/>
  <c r="AB75" i="7"/>
  <c r="AA75" i="7"/>
  <c r="Z75" i="7"/>
  <c r="AB66" i="1"/>
  <c r="AA66" i="1"/>
  <c r="Z66" i="1"/>
  <c r="Z75" i="1"/>
  <c r="AB75" i="1"/>
  <c r="AA75" i="1"/>
  <c r="Z63" i="7"/>
  <c r="AA63" i="6"/>
  <c r="AB60" i="8"/>
  <c r="AA60" i="8"/>
  <c r="Z60" i="8"/>
  <c r="Z75" i="8"/>
  <c r="AA62" i="8"/>
  <c r="Z77" i="1"/>
  <c r="Z71" i="7"/>
  <c r="AB79" i="1"/>
  <c r="AA79" i="1"/>
  <c r="Z79" i="1"/>
  <c r="AB50" i="8"/>
  <c r="AB67" i="6"/>
  <c r="Z67" i="6"/>
  <c r="AA67" i="6"/>
  <c r="AB65" i="6"/>
  <c r="AA65" i="6"/>
  <c r="Z65" i="6"/>
  <c r="AB67" i="7"/>
  <c r="AA67" i="7"/>
  <c r="Z67" i="7"/>
  <c r="Z62" i="7"/>
  <c r="AB62" i="7"/>
  <c r="AA62" i="7"/>
  <c r="AB81" i="1"/>
  <c r="AA81" i="1"/>
  <c r="Z81" i="1"/>
  <c r="AB62" i="1"/>
  <c r="AA62" i="1"/>
  <c r="Z62" i="1"/>
  <c r="AB74" i="1"/>
  <c r="AA74" i="1"/>
  <c r="Z74" i="1"/>
  <c r="AA63" i="7"/>
  <c r="AA77" i="8"/>
  <c r="Z77" i="8"/>
  <c r="AB77" i="8"/>
  <c r="Z63" i="6"/>
  <c r="Z80" i="6"/>
  <c r="AA75" i="8"/>
  <c r="AB60" i="1"/>
  <c r="AA60" i="1"/>
  <c r="Z60" i="1"/>
  <c r="AA71" i="7"/>
  <c r="AA50" i="7"/>
  <c r="AB60" i="7"/>
  <c r="AA60" i="7"/>
  <c r="Z60" i="7"/>
  <c r="AB76" i="8"/>
  <c r="AA76" i="8"/>
  <c r="Z76" i="8"/>
  <c r="AB71" i="1"/>
  <c r="AA71" i="1"/>
  <c r="Z71" i="1"/>
  <c r="AC51" i="6"/>
  <c r="Z46" i="7"/>
  <c r="AC53" i="8"/>
  <c r="AB77" i="7"/>
  <c r="AA77" i="7"/>
  <c r="Z77" i="7"/>
  <c r="AB65" i="7"/>
  <c r="AA65" i="7"/>
  <c r="Z65" i="7"/>
  <c r="AB76" i="7"/>
  <c r="AA76" i="7"/>
  <c r="Z76" i="7"/>
  <c r="AB59" i="7"/>
  <c r="AA59" i="7"/>
  <c r="Z59" i="7"/>
  <c r="AB71" i="6"/>
  <c r="Z71" i="6"/>
  <c r="AA71" i="6"/>
  <c r="AB77" i="6"/>
  <c r="AA77" i="6"/>
  <c r="Z77" i="6"/>
  <c r="AB69" i="6"/>
  <c r="AA69" i="6"/>
  <c r="Z69" i="6"/>
  <c r="AB72" i="6"/>
  <c r="AA72" i="6"/>
  <c r="Z72" i="6"/>
  <c r="Z65" i="8"/>
  <c r="AB65" i="8"/>
  <c r="AA65" i="8"/>
  <c r="AB58" i="1"/>
  <c r="AA58" i="1"/>
  <c r="Z58" i="1"/>
  <c r="AB72" i="7"/>
  <c r="AA72" i="7"/>
  <c r="Z72" i="7"/>
  <c r="Z76" i="6"/>
  <c r="AA80" i="6"/>
  <c r="AA73" i="8"/>
  <c r="Z73" i="8"/>
  <c r="AB73" i="8"/>
  <c r="AB63" i="1"/>
  <c r="Z63" i="1"/>
  <c r="AA63" i="1"/>
  <c r="Z71" i="8"/>
  <c r="AB59" i="1"/>
  <c r="Z59" i="1"/>
  <c r="AA59" i="1"/>
  <c r="Z66" i="7"/>
  <c r="AB66" i="7"/>
  <c r="AA66" i="7"/>
  <c r="AB68" i="7"/>
  <c r="AA68" i="7"/>
  <c r="Z68" i="7"/>
  <c r="Z79" i="7"/>
  <c r="AB79" i="7"/>
  <c r="AA79" i="7"/>
  <c r="Z57" i="6"/>
  <c r="AB57" i="6"/>
  <c r="AA57" i="6"/>
  <c r="AB76" i="1"/>
  <c r="AA76" i="1"/>
  <c r="Z76" i="1"/>
  <c r="Z61" i="8"/>
  <c r="AA61" i="8"/>
  <c r="AB61" i="8"/>
  <c r="AB64" i="7"/>
  <c r="AA64" i="7"/>
  <c r="Z64" i="7"/>
  <c r="Z72" i="1"/>
  <c r="AA65" i="1"/>
  <c r="Z65" i="1"/>
  <c r="AB65" i="1"/>
  <c r="Z39" i="8"/>
  <c r="AB49" i="7"/>
  <c r="AA49" i="7"/>
  <c r="Z49" i="7"/>
  <c r="AB45" i="1"/>
  <c r="AA45" i="1"/>
  <c r="Z45" i="1"/>
  <c r="AB40" i="7"/>
  <c r="AA40" i="7"/>
  <c r="Z40" i="7"/>
  <c r="AB40" i="1"/>
  <c r="AA40" i="1"/>
  <c r="Z40" i="1"/>
  <c r="AB42" i="6"/>
  <c r="AA42" i="6"/>
  <c r="Z42" i="6"/>
  <c r="AB45" i="8"/>
  <c r="Z45" i="8"/>
  <c r="AA45" i="8"/>
  <c r="AB42" i="1"/>
  <c r="AA42" i="1"/>
  <c r="Z42" i="1"/>
  <c r="Z55" i="6"/>
  <c r="AA54" i="1"/>
  <c r="AB51" i="1"/>
  <c r="AA51" i="1"/>
  <c r="Z51" i="1"/>
  <c r="AC51" i="1"/>
  <c r="Z50" i="8"/>
  <c r="AA42" i="8"/>
  <c r="AC49" i="7"/>
  <c r="AB56" i="1"/>
  <c r="AA56" i="1"/>
  <c r="Z56" i="1"/>
  <c r="AC49" i="6"/>
  <c r="AB44" i="6"/>
  <c r="AA44" i="6"/>
  <c r="Z44" i="6"/>
  <c r="AB45" i="7"/>
  <c r="AA45" i="7"/>
  <c r="Z45" i="7"/>
  <c r="AB41" i="7"/>
  <c r="AA41" i="7"/>
  <c r="Z41" i="7"/>
  <c r="AB44" i="7"/>
  <c r="AA44" i="7"/>
  <c r="Z44" i="7"/>
  <c r="Z54" i="6"/>
  <c r="AC54" i="6"/>
  <c r="AB54" i="6"/>
  <c r="AA54" i="6"/>
  <c r="AB39" i="1"/>
  <c r="AA39" i="1"/>
  <c r="Z39" i="1"/>
  <c r="AC56" i="1"/>
  <c r="AA55" i="6"/>
  <c r="Z43" i="8"/>
  <c r="AA55" i="8"/>
  <c r="Z55" i="8"/>
  <c r="AB55" i="8"/>
  <c r="AA48" i="1"/>
  <c r="Z48" i="1"/>
  <c r="AB48" i="1"/>
  <c r="AB53" i="1"/>
  <c r="Z53" i="1"/>
  <c r="AA53" i="1"/>
  <c r="AB40" i="6"/>
  <c r="AA40" i="6"/>
  <c r="Z40" i="6"/>
  <c r="Z40" i="8"/>
  <c r="AB47" i="1"/>
  <c r="AA47" i="1"/>
  <c r="Z47" i="1"/>
  <c r="Z45" i="6"/>
  <c r="AB45" i="6"/>
  <c r="AA45" i="6"/>
  <c r="AB43" i="7"/>
  <c r="AA43" i="7"/>
  <c r="Z43" i="7"/>
  <c r="AB48" i="6"/>
  <c r="AA48" i="6"/>
  <c r="Z48" i="6"/>
  <c r="Z54" i="7"/>
  <c r="AB54" i="7"/>
  <c r="AA54" i="7"/>
  <c r="Z41" i="6"/>
  <c r="AB41" i="6"/>
  <c r="AA41" i="6"/>
  <c r="AB48" i="8"/>
  <c r="AA48" i="8"/>
  <c r="Z48" i="8"/>
  <c r="AB44" i="8"/>
  <c r="AA44" i="8"/>
  <c r="Z44" i="8"/>
  <c r="AB52" i="8"/>
  <c r="AA52" i="8"/>
  <c r="Z52" i="8"/>
  <c r="AB46" i="6"/>
  <c r="AA46" i="6"/>
  <c r="Z46" i="6"/>
  <c r="AA44" i="1"/>
  <c r="Z44" i="1"/>
  <c r="AB44" i="1"/>
  <c r="AB39" i="7"/>
  <c r="AA39" i="7"/>
  <c r="Z39" i="7"/>
  <c r="AB56" i="6"/>
  <c r="AA56" i="6"/>
  <c r="Z56" i="6"/>
  <c r="Z55" i="7"/>
  <c r="AC41" i="1"/>
  <c r="AB41" i="1"/>
  <c r="AA41" i="1"/>
  <c r="Z41" i="1"/>
  <c r="AB39" i="6"/>
  <c r="AA39" i="6"/>
  <c r="Z39" i="6"/>
  <c r="AA55" i="7"/>
  <c r="AB53" i="6"/>
  <c r="AA53" i="6"/>
  <c r="Z53" i="6"/>
  <c r="AA54" i="8"/>
  <c r="AC54" i="8"/>
  <c r="AB48" i="7"/>
  <c r="AA48" i="7"/>
  <c r="Z48" i="7"/>
  <c r="AB56" i="8"/>
  <c r="AA56" i="8"/>
  <c r="Z56" i="8"/>
  <c r="AA43" i="6"/>
  <c r="Z43" i="6"/>
  <c r="AB43" i="6"/>
  <c r="Z54" i="1"/>
  <c r="Z42" i="8"/>
  <c r="AB52" i="6"/>
  <c r="AA52" i="6"/>
  <c r="Z52" i="6"/>
  <c r="AB49" i="8"/>
  <c r="AA49" i="8"/>
  <c r="Z49" i="8"/>
  <c r="AB53" i="8"/>
  <c r="AA53" i="8"/>
  <c r="Z53" i="8"/>
  <c r="AA55" i="1"/>
  <c r="Z55" i="1"/>
  <c r="AB55" i="1"/>
  <c r="AB51" i="7"/>
  <c r="AA51" i="7"/>
  <c r="Z51" i="7"/>
  <c r="AA51" i="8"/>
  <c r="Z51" i="8"/>
  <c r="AB51" i="8"/>
  <c r="AB56" i="7"/>
  <c r="AA56" i="7"/>
  <c r="Z56" i="7"/>
  <c r="Z47" i="6"/>
  <c r="AB50" i="1"/>
  <c r="AA50" i="1"/>
  <c r="Z50" i="1"/>
  <c r="Z47" i="7"/>
  <c r="Z47" i="8"/>
  <c r="Z43" i="1"/>
  <c r="AB52" i="7"/>
  <c r="AA52" i="7"/>
  <c r="Z52" i="7"/>
  <c r="AB46" i="1"/>
  <c r="AA46" i="1"/>
  <c r="Z46" i="1"/>
  <c r="AB53" i="7"/>
  <c r="AA53" i="7"/>
  <c r="Z53" i="7"/>
  <c r="AC47" i="6"/>
  <c r="AB49" i="6"/>
  <c r="AA49" i="6"/>
  <c r="Z49" i="6"/>
  <c r="AA51" i="6"/>
  <c r="Z51" i="6"/>
  <c r="AB51" i="6"/>
  <c r="AC49" i="1"/>
  <c r="AB49" i="1"/>
  <c r="AA49" i="1"/>
  <c r="Z49" i="1"/>
  <c r="AB41" i="8"/>
  <c r="Z41" i="8"/>
  <c r="AA41" i="8"/>
  <c r="AC41" i="8"/>
  <c r="Z50" i="6"/>
  <c r="AB50" i="6"/>
  <c r="AA50" i="6"/>
  <c r="Z54" i="8"/>
  <c r="AA50" i="8"/>
  <c r="AA39" i="8"/>
  <c r="AA43" i="1"/>
  <c r="AC90" i="8" l="1"/>
  <c r="AC86" i="6"/>
  <c r="AC90" i="6"/>
  <c r="AC82" i="6"/>
  <c r="AC89" i="7"/>
  <c r="AC63" i="6"/>
  <c r="AC42" i="1"/>
  <c r="AC56" i="8"/>
  <c r="AC71" i="1"/>
  <c r="AC81" i="8"/>
  <c r="AC43" i="8"/>
  <c r="AC61" i="7"/>
  <c r="AC54" i="1"/>
  <c r="AC57" i="7"/>
  <c r="AC74" i="1"/>
  <c r="AC68" i="6"/>
  <c r="AC64" i="6"/>
  <c r="AC43" i="6"/>
  <c r="AC80" i="8"/>
  <c r="AC47" i="1"/>
  <c r="AC52" i="6"/>
  <c r="AC73" i="7"/>
  <c r="AC75" i="1"/>
  <c r="AC49" i="8"/>
  <c r="AC59" i="8"/>
  <c r="AC47" i="7"/>
  <c r="AC69" i="7"/>
  <c r="AC63" i="8"/>
  <c r="AC74" i="8"/>
  <c r="AC42" i="8"/>
  <c r="AC50" i="6"/>
  <c r="AC39" i="8"/>
  <c r="AC61" i="6"/>
  <c r="AC50" i="8"/>
  <c r="AC67" i="1"/>
  <c r="AC62" i="1"/>
  <c r="AC53" i="6"/>
  <c r="AC45" i="6"/>
  <c r="AC68" i="1"/>
  <c r="AC79" i="7"/>
  <c r="AC46" i="7"/>
  <c r="AC57" i="8"/>
  <c r="AC39" i="1"/>
  <c r="AC40" i="1"/>
  <c r="AC70" i="1"/>
  <c r="AC75" i="8"/>
  <c r="AC60" i="6"/>
  <c r="AC62" i="8"/>
  <c r="AC40" i="7"/>
  <c r="AC73" i="8"/>
  <c r="AC43" i="7"/>
  <c r="AC40" i="8"/>
  <c r="AC67" i="6"/>
  <c r="AC66" i="7"/>
  <c r="AC81" i="6"/>
  <c r="AC64" i="1"/>
  <c r="AC65" i="7"/>
  <c r="AC71" i="7"/>
  <c r="AC79" i="1"/>
  <c r="AC58" i="1"/>
  <c r="AC44" i="6"/>
  <c r="AC57" i="1"/>
  <c r="AC55" i="6"/>
  <c r="AC45" i="1"/>
  <c r="AC76" i="8"/>
  <c r="AC47" i="8"/>
  <c r="AC79" i="8"/>
  <c r="AC75" i="7"/>
  <c r="AC50" i="1"/>
  <c r="AC63" i="7"/>
  <c r="AC45" i="7"/>
  <c r="AC72" i="1"/>
  <c r="AC55" i="7"/>
  <c r="AC59" i="1"/>
  <c r="AC66" i="1"/>
  <c r="AC72" i="8"/>
  <c r="AC77" i="7"/>
  <c r="AC46" i="1"/>
  <c r="AC46" i="6"/>
  <c r="AC80" i="7"/>
  <c r="AC71" i="6"/>
  <c r="AC68" i="8"/>
  <c r="AC73" i="1"/>
  <c r="AC60" i="1"/>
  <c r="AC56" i="6"/>
  <c r="AC40" i="6" l="1"/>
  <c r="W11" i="8" l="1"/>
  <c r="W11" i="6"/>
  <c r="AE38" i="8"/>
  <c r="M38" i="8"/>
  <c r="W38" i="8" s="1"/>
  <c r="L38" i="8"/>
  <c r="AE37" i="8"/>
  <c r="M37" i="8"/>
  <c r="W37" i="8" s="1"/>
  <c r="L37" i="8"/>
  <c r="AE36" i="8"/>
  <c r="M36" i="8"/>
  <c r="W36" i="8" s="1"/>
  <c r="L36" i="8"/>
  <c r="AE35" i="8"/>
  <c r="M35" i="8"/>
  <c r="W35" i="8" s="1"/>
  <c r="L35" i="8"/>
  <c r="AE34" i="8"/>
  <c r="M34" i="8"/>
  <c r="W34" i="8" s="1"/>
  <c r="L34" i="8"/>
  <c r="AE33" i="8"/>
  <c r="M33" i="8"/>
  <c r="W33" i="8" s="1"/>
  <c r="L33" i="8"/>
  <c r="AE32" i="8"/>
  <c r="M32" i="8"/>
  <c r="W32" i="8" s="1"/>
  <c r="L32" i="8"/>
  <c r="AE31" i="8"/>
  <c r="M31" i="8"/>
  <c r="W31" i="8" s="1"/>
  <c r="L31" i="8"/>
  <c r="AE30" i="8"/>
  <c r="M30" i="8"/>
  <c r="W30" i="8" s="1"/>
  <c r="L30" i="8"/>
  <c r="AE29" i="8"/>
  <c r="M29" i="8"/>
  <c r="W29" i="8" s="1"/>
  <c r="L29" i="8"/>
  <c r="AE28" i="8"/>
  <c r="M28" i="8"/>
  <c r="W28" i="8" s="1"/>
  <c r="L28" i="8"/>
  <c r="AE27" i="8"/>
  <c r="M27" i="8"/>
  <c r="W27" i="8" s="1"/>
  <c r="L27" i="8"/>
  <c r="AE26" i="8"/>
  <c r="M26" i="8"/>
  <c r="W26" i="8" s="1"/>
  <c r="L26" i="8"/>
  <c r="AE25" i="8"/>
  <c r="M25" i="8"/>
  <c r="W25" i="8" s="1"/>
  <c r="L25" i="8"/>
  <c r="AE24" i="8"/>
  <c r="M24" i="8"/>
  <c r="W24" i="8" s="1"/>
  <c r="L24" i="8"/>
  <c r="AE23" i="8"/>
  <c r="M23" i="8"/>
  <c r="W23" i="8" s="1"/>
  <c r="L23" i="8"/>
  <c r="AE22" i="8"/>
  <c r="M22" i="8"/>
  <c r="W22" i="8" s="1"/>
  <c r="L22" i="8"/>
  <c r="AE21" i="8"/>
  <c r="M21" i="8"/>
  <c r="W21" i="8" s="1"/>
  <c r="L21" i="8"/>
  <c r="AE11" i="8"/>
  <c r="M11" i="8"/>
  <c r="L11" i="8"/>
  <c r="AE38" i="7"/>
  <c r="M38" i="7"/>
  <c r="W38" i="7" s="1"/>
  <c r="L38" i="7"/>
  <c r="AE37" i="7"/>
  <c r="M37" i="7"/>
  <c r="W37" i="7" s="1"/>
  <c r="L37" i="7"/>
  <c r="AE36" i="7"/>
  <c r="M36" i="7"/>
  <c r="W36" i="7" s="1"/>
  <c r="L36" i="7"/>
  <c r="AE35" i="7"/>
  <c r="M35" i="7"/>
  <c r="W35" i="7" s="1"/>
  <c r="L35" i="7"/>
  <c r="AE34" i="7"/>
  <c r="M34" i="7"/>
  <c r="W34" i="7" s="1"/>
  <c r="L34" i="7"/>
  <c r="AE33" i="7"/>
  <c r="M33" i="7"/>
  <c r="W33" i="7" s="1"/>
  <c r="L33" i="7"/>
  <c r="AE32" i="7"/>
  <c r="M32" i="7"/>
  <c r="W32" i="7" s="1"/>
  <c r="L32" i="7"/>
  <c r="AE31" i="7"/>
  <c r="M31" i="7"/>
  <c r="W31" i="7" s="1"/>
  <c r="L31" i="7"/>
  <c r="AE30" i="7"/>
  <c r="M30" i="7"/>
  <c r="W30" i="7" s="1"/>
  <c r="L30" i="7"/>
  <c r="AE29" i="7"/>
  <c r="M29" i="7"/>
  <c r="W29" i="7" s="1"/>
  <c r="L29" i="7"/>
  <c r="AE28" i="7"/>
  <c r="M28" i="7"/>
  <c r="W28" i="7" s="1"/>
  <c r="L28" i="7"/>
  <c r="AE27" i="7"/>
  <c r="M27" i="7"/>
  <c r="W27" i="7" s="1"/>
  <c r="L27" i="7"/>
  <c r="AE26" i="7"/>
  <c r="M26" i="7"/>
  <c r="W26" i="7" s="1"/>
  <c r="L26" i="7"/>
  <c r="AE25" i="7"/>
  <c r="M25" i="7"/>
  <c r="W25" i="7" s="1"/>
  <c r="L25" i="7"/>
  <c r="AE24" i="7"/>
  <c r="M24" i="7"/>
  <c r="W24" i="7" s="1"/>
  <c r="L24" i="7"/>
  <c r="AE23" i="7"/>
  <c r="M23" i="7"/>
  <c r="W23" i="7" s="1"/>
  <c r="L23" i="7"/>
  <c r="AE22" i="7"/>
  <c r="M22" i="7"/>
  <c r="W22" i="7" s="1"/>
  <c r="L22" i="7"/>
  <c r="AE21" i="7"/>
  <c r="M21" i="7"/>
  <c r="W21" i="7" s="1"/>
  <c r="L21" i="7"/>
  <c r="AE11" i="7"/>
  <c r="M11" i="7"/>
  <c r="L11" i="7"/>
  <c r="AE38" i="6"/>
  <c r="M38" i="6"/>
  <c r="W38" i="6" s="1"/>
  <c r="L38" i="6"/>
  <c r="AE37" i="6"/>
  <c r="M37" i="6"/>
  <c r="W37" i="6" s="1"/>
  <c r="L37" i="6"/>
  <c r="AE36" i="6"/>
  <c r="M36" i="6"/>
  <c r="W36" i="6" s="1"/>
  <c r="L36" i="6"/>
  <c r="AE35" i="6"/>
  <c r="M35" i="6"/>
  <c r="W35" i="6" s="1"/>
  <c r="L35" i="6"/>
  <c r="AE34" i="6"/>
  <c r="M34" i="6"/>
  <c r="W34" i="6" s="1"/>
  <c r="L34" i="6"/>
  <c r="AE33" i="6"/>
  <c r="M33" i="6"/>
  <c r="W33" i="6" s="1"/>
  <c r="L33" i="6"/>
  <c r="AE32" i="6"/>
  <c r="M32" i="6"/>
  <c r="W32" i="6" s="1"/>
  <c r="L32" i="6"/>
  <c r="AE31" i="6"/>
  <c r="M31" i="6"/>
  <c r="W31" i="6" s="1"/>
  <c r="L31" i="6"/>
  <c r="AE30" i="6"/>
  <c r="M30" i="6"/>
  <c r="W30" i="6" s="1"/>
  <c r="L30" i="6"/>
  <c r="AE29" i="6"/>
  <c r="M29" i="6"/>
  <c r="W29" i="6" s="1"/>
  <c r="L29" i="6"/>
  <c r="AE28" i="6"/>
  <c r="M28" i="6"/>
  <c r="W28" i="6" s="1"/>
  <c r="L28" i="6"/>
  <c r="AE27" i="6"/>
  <c r="M27" i="6"/>
  <c r="W27" i="6" s="1"/>
  <c r="L27" i="6"/>
  <c r="AE26" i="6"/>
  <c r="M26" i="6"/>
  <c r="W26" i="6" s="1"/>
  <c r="L26" i="6"/>
  <c r="AE25" i="6"/>
  <c r="M25" i="6"/>
  <c r="W25" i="6" s="1"/>
  <c r="L25" i="6"/>
  <c r="AE24" i="6"/>
  <c r="M24" i="6"/>
  <c r="W24" i="6" s="1"/>
  <c r="L24" i="6"/>
  <c r="AE23" i="6"/>
  <c r="M23" i="6"/>
  <c r="W23" i="6" s="1"/>
  <c r="L23" i="6"/>
  <c r="AE22" i="6"/>
  <c r="M22" i="6"/>
  <c r="W22" i="6" s="1"/>
  <c r="L22" i="6"/>
  <c r="AE21" i="6"/>
  <c r="M21" i="6"/>
  <c r="W21" i="6" s="1"/>
  <c r="L21" i="6"/>
  <c r="AE11" i="6"/>
  <c r="M11" i="6"/>
  <c r="L11" i="6"/>
  <c r="BX22" i="6" l="1"/>
  <c r="BX26" i="6"/>
  <c r="BX34" i="6"/>
  <c r="BX38" i="6"/>
  <c r="BX23" i="7"/>
  <c r="BX27" i="7"/>
  <c r="BX35" i="7"/>
  <c r="BX11" i="8"/>
  <c r="BX24" i="8"/>
  <c r="BX28" i="8"/>
  <c r="BX32" i="8"/>
  <c r="BX36" i="8"/>
  <c r="BX30" i="6"/>
  <c r="BX31" i="7"/>
  <c r="BX11" i="6"/>
  <c r="BX28" i="6"/>
  <c r="BX36" i="6"/>
  <c r="BX25" i="7"/>
  <c r="BX33" i="7"/>
  <c r="BX22" i="8"/>
  <c r="BX30" i="8"/>
  <c r="BX38" i="8"/>
  <c r="BX21" i="6"/>
  <c r="BX29" i="6"/>
  <c r="BX37" i="6"/>
  <c r="BX26" i="7"/>
  <c r="BX34" i="7"/>
  <c r="BX23" i="8"/>
  <c r="BX31" i="8"/>
  <c r="BX27" i="6"/>
  <c r="BX25" i="6"/>
  <c r="BX33" i="6"/>
  <c r="BX22" i="7"/>
  <c r="BX30" i="7"/>
  <c r="BX38" i="7"/>
  <c r="BX27" i="8"/>
  <c r="BX35" i="8"/>
  <c r="BX23" i="6"/>
  <c r="BX24" i="6"/>
  <c r="BX32" i="6"/>
  <c r="BX21" i="7"/>
  <c r="BX29" i="7"/>
  <c r="BX37" i="7"/>
  <c r="BX26" i="8"/>
  <c r="BX34" i="8"/>
  <c r="BX31" i="6"/>
  <c r="BX35" i="6"/>
  <c r="BX11" i="7"/>
  <c r="BX24" i="7"/>
  <c r="BX28" i="7"/>
  <c r="BX32" i="7"/>
  <c r="BX36" i="7"/>
  <c r="BX21" i="8"/>
  <c r="BX25" i="8"/>
  <c r="BX29" i="8"/>
  <c r="BX33" i="8"/>
  <c r="BX37" i="8"/>
  <c r="T22" i="6"/>
  <c r="U22" i="6" s="1"/>
  <c r="V22" i="6"/>
  <c r="X22" i="6" s="1"/>
  <c r="Y22" i="6" s="1"/>
  <c r="T38" i="6"/>
  <c r="U38" i="6" s="1"/>
  <c r="V38" i="6"/>
  <c r="X38" i="6" s="1"/>
  <c r="Y38" i="6" s="1"/>
  <c r="V24" i="8"/>
  <c r="X24" i="8" s="1"/>
  <c r="Y24" i="8" s="1"/>
  <c r="T24" i="8"/>
  <c r="U24" i="8" s="1"/>
  <c r="V27" i="6"/>
  <c r="X27" i="6" s="1"/>
  <c r="Y27" i="6" s="1"/>
  <c r="T27" i="6"/>
  <c r="U27" i="6" s="1"/>
  <c r="V35" i="6"/>
  <c r="X35" i="6" s="1"/>
  <c r="Y35" i="6" s="1"/>
  <c r="T35" i="6"/>
  <c r="U35" i="6" s="1"/>
  <c r="V24" i="7"/>
  <c r="X24" i="7" s="1"/>
  <c r="Y24" i="7" s="1"/>
  <c r="T24" i="7"/>
  <c r="U24" i="7" s="1"/>
  <c r="T32" i="7"/>
  <c r="U32" i="7" s="1"/>
  <c r="V32" i="7"/>
  <c r="X32" i="7" s="1"/>
  <c r="Y32" i="7" s="1"/>
  <c r="T21" i="8"/>
  <c r="U21" i="8" s="1"/>
  <c r="V21" i="8"/>
  <c r="X21" i="8" s="1"/>
  <c r="Y21" i="8" s="1"/>
  <c r="T29" i="8"/>
  <c r="U29" i="8" s="1"/>
  <c r="V29" i="8"/>
  <c r="X29" i="8" s="1"/>
  <c r="Y29" i="8" s="1"/>
  <c r="V37" i="8"/>
  <c r="X37" i="8" s="1"/>
  <c r="Y37" i="8" s="1"/>
  <c r="T37" i="8"/>
  <c r="U37" i="8" s="1"/>
  <c r="V25" i="6"/>
  <c r="X25" i="6" s="1"/>
  <c r="Y25" i="6" s="1"/>
  <c r="T25" i="6"/>
  <c r="U25" i="6" s="1"/>
  <c r="T33" i="6"/>
  <c r="U33" i="6" s="1"/>
  <c r="V33" i="6"/>
  <c r="X33" i="6" s="1"/>
  <c r="Y33" i="6" s="1"/>
  <c r="V22" i="7"/>
  <c r="X22" i="7" s="1"/>
  <c r="Y22" i="7" s="1"/>
  <c r="T22" i="7"/>
  <c r="U22" i="7" s="1"/>
  <c r="T30" i="7"/>
  <c r="U30" i="7" s="1"/>
  <c r="V30" i="7"/>
  <c r="X30" i="7" s="1"/>
  <c r="Y30" i="7" s="1"/>
  <c r="V38" i="7"/>
  <c r="X38" i="7" s="1"/>
  <c r="Y38" i="7" s="1"/>
  <c r="T38" i="7"/>
  <c r="U38" i="7" s="1"/>
  <c r="V27" i="8"/>
  <c r="X27" i="8" s="1"/>
  <c r="Y27" i="8" s="1"/>
  <c r="T27" i="8"/>
  <c r="U27" i="8" s="1"/>
  <c r="V35" i="8"/>
  <c r="X35" i="8" s="1"/>
  <c r="Y35" i="8" s="1"/>
  <c r="T35" i="8"/>
  <c r="U35" i="8" s="1"/>
  <c r="V30" i="6"/>
  <c r="X30" i="6" s="1"/>
  <c r="Y30" i="6" s="1"/>
  <c r="T30" i="6"/>
  <c r="U30" i="6" s="1"/>
  <c r="T27" i="7"/>
  <c r="U27" i="7" s="1"/>
  <c r="V27" i="7"/>
  <c r="X27" i="7" s="1"/>
  <c r="Y27" i="7" s="1"/>
  <c r="V32" i="8"/>
  <c r="X32" i="8" s="1"/>
  <c r="Y32" i="8" s="1"/>
  <c r="T32" i="8"/>
  <c r="U32" i="8" s="1"/>
  <c r="V36" i="6"/>
  <c r="X36" i="6" s="1"/>
  <c r="Y36" i="6" s="1"/>
  <c r="T36" i="6"/>
  <c r="U36" i="6" s="1"/>
  <c r="V25" i="7"/>
  <c r="X25" i="7" s="1"/>
  <c r="Y25" i="7" s="1"/>
  <c r="T25" i="7"/>
  <c r="U25" i="7" s="1"/>
  <c r="V33" i="7"/>
  <c r="X33" i="7" s="1"/>
  <c r="Y33" i="7" s="1"/>
  <c r="T33" i="7"/>
  <c r="U33" i="7" s="1"/>
  <c r="V22" i="8"/>
  <c r="X22" i="8" s="1"/>
  <c r="Y22" i="8" s="1"/>
  <c r="T22" i="8"/>
  <c r="U22" i="8" s="1"/>
  <c r="T30" i="8"/>
  <c r="U30" i="8" s="1"/>
  <c r="V30" i="8"/>
  <c r="X30" i="8" s="1"/>
  <c r="Y30" i="8" s="1"/>
  <c r="T38" i="8"/>
  <c r="U38" i="8" s="1"/>
  <c r="V38" i="8"/>
  <c r="X38" i="8" s="1"/>
  <c r="Y38" i="8" s="1"/>
  <c r="V35" i="7"/>
  <c r="X35" i="7" s="1"/>
  <c r="Y35" i="7" s="1"/>
  <c r="T35" i="7"/>
  <c r="U35" i="7" s="1"/>
  <c r="T28" i="6"/>
  <c r="U28" i="6" s="1"/>
  <c r="V28" i="6"/>
  <c r="X28" i="6" s="1"/>
  <c r="Y28" i="6" s="1"/>
  <c r="V23" i="6"/>
  <c r="X23" i="6" s="1"/>
  <c r="Y23" i="6" s="1"/>
  <c r="T23" i="6"/>
  <c r="U23" i="6" s="1"/>
  <c r="V31" i="6"/>
  <c r="X31" i="6" s="1"/>
  <c r="Y31" i="6" s="1"/>
  <c r="T31" i="6"/>
  <c r="U31" i="6" s="1"/>
  <c r="T28" i="7"/>
  <c r="U28" i="7" s="1"/>
  <c r="V28" i="7"/>
  <c r="X28" i="7" s="1"/>
  <c r="Y28" i="7" s="1"/>
  <c r="V36" i="7"/>
  <c r="X36" i="7" s="1"/>
  <c r="Y36" i="7" s="1"/>
  <c r="T36" i="7"/>
  <c r="U36" i="7" s="1"/>
  <c r="V25" i="8"/>
  <c r="X25" i="8" s="1"/>
  <c r="Y25" i="8" s="1"/>
  <c r="T25" i="8"/>
  <c r="U25" i="8" s="1"/>
  <c r="V33" i="8"/>
  <c r="X33" i="8" s="1"/>
  <c r="Y33" i="8" s="1"/>
  <c r="T33" i="8"/>
  <c r="U33" i="8" s="1"/>
  <c r="V34" i="6"/>
  <c r="X34" i="6" s="1"/>
  <c r="Y34" i="6" s="1"/>
  <c r="T34" i="6"/>
  <c r="U34" i="6" s="1"/>
  <c r="V23" i="7"/>
  <c r="X23" i="7" s="1"/>
  <c r="Y23" i="7" s="1"/>
  <c r="T23" i="7"/>
  <c r="U23" i="7" s="1"/>
  <c r="V31" i="7"/>
  <c r="X31" i="7" s="1"/>
  <c r="Y31" i="7" s="1"/>
  <c r="T31" i="7"/>
  <c r="U31" i="7" s="1"/>
  <c r="V28" i="8"/>
  <c r="X28" i="8" s="1"/>
  <c r="Y28" i="8" s="1"/>
  <c r="T28" i="8"/>
  <c r="U28" i="8" s="1"/>
  <c r="V36" i="8"/>
  <c r="X36" i="8" s="1"/>
  <c r="Y36" i="8" s="1"/>
  <c r="T36" i="8"/>
  <c r="U36" i="8" s="1"/>
  <c r="T26" i="6"/>
  <c r="U26" i="6" s="1"/>
  <c r="V26" i="6"/>
  <c r="X26" i="6" s="1"/>
  <c r="Y26" i="6" s="1"/>
  <c r="T29" i="6"/>
  <c r="U29" i="6" s="1"/>
  <c r="V29" i="6"/>
  <c r="X29" i="6" s="1"/>
  <c r="Y29" i="6" s="1"/>
  <c r="V37" i="6"/>
  <c r="X37" i="6" s="1"/>
  <c r="Y37" i="6" s="1"/>
  <c r="T37" i="6"/>
  <c r="U37" i="6" s="1"/>
  <c r="V26" i="7"/>
  <c r="X26" i="7" s="1"/>
  <c r="Y26" i="7" s="1"/>
  <c r="T26" i="7"/>
  <c r="U26" i="7" s="1"/>
  <c r="V34" i="7"/>
  <c r="X34" i="7" s="1"/>
  <c r="Y34" i="7" s="1"/>
  <c r="T34" i="7"/>
  <c r="U34" i="7" s="1"/>
  <c r="V23" i="8"/>
  <c r="X23" i="8" s="1"/>
  <c r="Y23" i="8" s="1"/>
  <c r="T23" i="8"/>
  <c r="U23" i="8" s="1"/>
  <c r="V31" i="8"/>
  <c r="X31" i="8" s="1"/>
  <c r="Y31" i="8" s="1"/>
  <c r="T31" i="8"/>
  <c r="U31" i="8" s="1"/>
  <c r="V21" i="6"/>
  <c r="X21" i="6" s="1"/>
  <c r="Y21" i="6" s="1"/>
  <c r="T21" i="6"/>
  <c r="U21" i="6" s="1"/>
  <c r="V24" i="6"/>
  <c r="X24" i="6" s="1"/>
  <c r="Y24" i="6" s="1"/>
  <c r="T24" i="6"/>
  <c r="U24" i="6" s="1"/>
  <c r="T32" i="6"/>
  <c r="U32" i="6" s="1"/>
  <c r="V32" i="6"/>
  <c r="X32" i="6" s="1"/>
  <c r="Y32" i="6" s="1"/>
  <c r="V21" i="7"/>
  <c r="X21" i="7" s="1"/>
  <c r="Y21" i="7" s="1"/>
  <c r="T21" i="7"/>
  <c r="U21" i="7" s="1"/>
  <c r="T29" i="7"/>
  <c r="U29" i="7" s="1"/>
  <c r="V29" i="7"/>
  <c r="X29" i="7" s="1"/>
  <c r="Y29" i="7" s="1"/>
  <c r="T37" i="7"/>
  <c r="U37" i="7" s="1"/>
  <c r="V37" i="7"/>
  <c r="X37" i="7" s="1"/>
  <c r="Y37" i="7" s="1"/>
  <c r="T26" i="8"/>
  <c r="U26" i="8" s="1"/>
  <c r="V26" i="8"/>
  <c r="X26" i="8" s="1"/>
  <c r="Y26" i="8" s="1"/>
  <c r="T34" i="8"/>
  <c r="U34" i="8" s="1"/>
  <c r="V34" i="8"/>
  <c r="X34" i="8" s="1"/>
  <c r="Y34" i="8" s="1"/>
  <c r="AB11" i="6"/>
  <c r="AC37" i="8"/>
  <c r="AB32" i="7"/>
  <c r="AC26" i="6"/>
  <c r="AC28" i="6"/>
  <c r="AC32" i="8"/>
  <c r="AC28" i="8"/>
  <c r="AB11" i="8"/>
  <c r="AC30" i="8"/>
  <c r="AB28" i="6"/>
  <c r="AC24" i="8"/>
  <c r="AC36" i="7"/>
  <c r="AB36" i="8"/>
  <c r="AC33" i="8"/>
  <c r="AC27" i="8"/>
  <c r="AC25" i="8"/>
  <c r="AC21" i="8"/>
  <c r="AB26" i="8"/>
  <c r="AC26" i="8"/>
  <c r="AC26" i="7"/>
  <c r="AB36" i="7"/>
  <c r="AC28" i="7"/>
  <c r="AC36" i="8"/>
  <c r="AC32" i="7"/>
  <c r="AC38" i="6"/>
  <c r="AB33" i="6"/>
  <c r="AC31" i="6"/>
  <c r="AC29" i="6"/>
  <c r="AC27" i="6"/>
  <c r="AC25" i="6"/>
  <c r="AC21" i="6"/>
  <c r="AB38" i="8"/>
  <c r="AC36" i="6"/>
  <c r="AB22" i="6"/>
  <c r="AC35" i="8"/>
  <c r="AC29" i="8"/>
  <c r="AC33" i="7"/>
  <c r="AB31" i="7"/>
  <c r="AB25" i="7"/>
  <c r="AC38" i="8"/>
  <c r="AB21" i="8"/>
  <c r="AC31" i="8"/>
  <c r="AC34" i="8"/>
  <c r="AC23" i="8"/>
  <c r="AB37" i="8"/>
  <c r="AB34" i="8"/>
  <c r="AC34" i="6"/>
  <c r="AB37" i="6"/>
  <c r="AB38" i="6"/>
  <c r="AB27" i="6"/>
  <c r="AC33" i="6"/>
  <c r="AC35" i="6"/>
  <c r="AB31" i="6"/>
  <c r="AB29" i="6"/>
  <c r="AC22" i="6"/>
  <c r="AC24" i="6"/>
  <c r="AC23" i="6"/>
  <c r="AC32" i="6"/>
  <c r="AC30" i="6"/>
  <c r="AC37" i="7"/>
  <c r="AC38" i="7"/>
  <c r="AC21" i="7"/>
  <c r="AC25" i="7"/>
  <c r="AB27" i="7"/>
  <c r="AC27" i="7"/>
  <c r="AC34" i="7"/>
  <c r="AC35" i="7"/>
  <c r="AC24" i="7"/>
  <c r="AC23" i="7"/>
  <c r="AC22" i="7"/>
  <c r="AB22" i="7"/>
  <c r="AB24" i="7"/>
  <c r="AC37" i="6"/>
  <c r="AC29" i="7"/>
  <c r="AC31" i="7"/>
  <c r="AC30" i="7"/>
  <c r="AB32" i="6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11" i="1"/>
  <c r="AC23" i="1"/>
  <c r="AC24" i="1"/>
  <c r="AC25" i="1"/>
  <c r="AC34" i="1"/>
  <c r="AC35" i="1"/>
  <c r="AC36" i="1"/>
  <c r="AC37" i="1"/>
  <c r="M11" i="1"/>
  <c r="L1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M28" i="1"/>
  <c r="W28" i="1" s="1"/>
  <c r="M22" i="1"/>
  <c r="W22" i="1" s="1"/>
  <c r="M24" i="1"/>
  <c r="W24" i="1" s="1"/>
  <c r="M26" i="1"/>
  <c r="W26" i="1" s="1"/>
  <c r="AC38" i="1"/>
  <c r="L21" i="1"/>
  <c r="M21" i="1"/>
  <c r="W21" i="1" s="1"/>
  <c r="M23" i="1"/>
  <c r="W23" i="1" s="1"/>
  <c r="M25" i="1"/>
  <c r="W25" i="1" s="1"/>
  <c r="M27" i="1"/>
  <c r="W27" i="1" s="1"/>
  <c r="M29" i="1"/>
  <c r="W29" i="1" s="1"/>
  <c r="M30" i="1"/>
  <c r="W30" i="1" s="1"/>
  <c r="M31" i="1"/>
  <c r="W31" i="1" s="1"/>
  <c r="M32" i="1"/>
  <c r="W32" i="1" s="1"/>
  <c r="M33" i="1"/>
  <c r="W33" i="1" s="1"/>
  <c r="M34" i="1"/>
  <c r="W34" i="1" s="1"/>
  <c r="M35" i="1"/>
  <c r="W35" i="1" s="1"/>
  <c r="M36" i="1"/>
  <c r="W36" i="1" s="1"/>
  <c r="M37" i="1"/>
  <c r="W37" i="1" s="1"/>
  <c r="L38" i="1"/>
  <c r="M38" i="1"/>
  <c r="W38" i="1" s="1"/>
  <c r="W11" i="1"/>
  <c r="BX23" i="1" l="1"/>
  <c r="BX31" i="1"/>
  <c r="BX21" i="1"/>
  <c r="BX24" i="1"/>
  <c r="BX33" i="1"/>
  <c r="BX30" i="1"/>
  <c r="BX22" i="1"/>
  <c r="BX11" i="1"/>
  <c r="BX35" i="1"/>
  <c r="BX34" i="1"/>
  <c r="BX36" i="1"/>
  <c r="BX37" i="1"/>
  <c r="BX38" i="1"/>
  <c r="BX32" i="1"/>
  <c r="BX29" i="1"/>
  <c r="BX28" i="1"/>
  <c r="BX27" i="1"/>
  <c r="BX26" i="1"/>
  <c r="BX25" i="1"/>
  <c r="T32" i="1"/>
  <c r="U32" i="1" s="1"/>
  <c r="V32" i="1"/>
  <c r="X32" i="1" s="1"/>
  <c r="Y32" i="1" s="1"/>
  <c r="T24" i="1"/>
  <c r="U24" i="1" s="1"/>
  <c r="V24" i="1"/>
  <c r="X24" i="1" s="1"/>
  <c r="Y24" i="1" s="1"/>
  <c r="V31" i="1"/>
  <c r="X31" i="1" s="1"/>
  <c r="Y31" i="1" s="1"/>
  <c r="T31" i="1"/>
  <c r="U31" i="1" s="1"/>
  <c r="V23" i="1"/>
  <c r="X23" i="1" s="1"/>
  <c r="Y23" i="1" s="1"/>
  <c r="T23" i="1"/>
  <c r="U23" i="1" s="1"/>
  <c r="T30" i="1"/>
  <c r="U30" i="1" s="1"/>
  <c r="V30" i="1"/>
  <c r="X30" i="1" s="1"/>
  <c r="Y30" i="1" s="1"/>
  <c r="V22" i="1"/>
  <c r="X22" i="1" s="1"/>
  <c r="Y22" i="1" s="1"/>
  <c r="T22" i="1"/>
  <c r="U22" i="1" s="1"/>
  <c r="V37" i="1"/>
  <c r="X37" i="1" s="1"/>
  <c r="Y37" i="1" s="1"/>
  <c r="T37" i="1"/>
  <c r="U37" i="1" s="1"/>
  <c r="V29" i="1"/>
  <c r="X29" i="1" s="1"/>
  <c r="Y29" i="1" s="1"/>
  <c r="T29" i="1"/>
  <c r="U29" i="1" s="1"/>
  <c r="V28" i="1"/>
  <c r="X28" i="1" s="1"/>
  <c r="Y28" i="1" s="1"/>
  <c r="T28" i="1"/>
  <c r="U28" i="1" s="1"/>
  <c r="V34" i="1"/>
  <c r="X34" i="1" s="1"/>
  <c r="Y34" i="1" s="1"/>
  <c r="T34" i="1"/>
  <c r="U34" i="1" s="1"/>
  <c r="T36" i="1"/>
  <c r="U36" i="1" s="1"/>
  <c r="V36" i="1"/>
  <c r="X36" i="1" s="1"/>
  <c r="Y36" i="1" s="1"/>
  <c r="T21" i="1"/>
  <c r="U21" i="1" s="1"/>
  <c r="V21" i="1"/>
  <c r="X21" i="1" s="1"/>
  <c r="Y21" i="1" s="1"/>
  <c r="T35" i="1"/>
  <c r="U35" i="1" s="1"/>
  <c r="V35" i="1"/>
  <c r="X35" i="1" s="1"/>
  <c r="Y35" i="1" s="1"/>
  <c r="V27" i="1"/>
  <c r="X27" i="1" s="1"/>
  <c r="Y27" i="1" s="1"/>
  <c r="T27" i="1"/>
  <c r="U27" i="1" s="1"/>
  <c r="T26" i="1"/>
  <c r="U26" i="1" s="1"/>
  <c r="V26" i="1"/>
  <c r="X26" i="1" s="1"/>
  <c r="Y26" i="1" s="1"/>
  <c r="T38" i="1"/>
  <c r="U38" i="1" s="1"/>
  <c r="V38" i="1"/>
  <c r="X38" i="1" s="1"/>
  <c r="Y38" i="1" s="1"/>
  <c r="T33" i="1"/>
  <c r="U33" i="1" s="1"/>
  <c r="V33" i="1"/>
  <c r="X33" i="1" s="1"/>
  <c r="Y33" i="1" s="1"/>
  <c r="V25" i="1"/>
  <c r="X25" i="1" s="1"/>
  <c r="Y25" i="1" s="1"/>
  <c r="T25" i="1"/>
  <c r="U25" i="1" s="1"/>
  <c r="U11" i="8"/>
  <c r="V11" i="8"/>
  <c r="S11" i="8" s="1"/>
  <c r="AA28" i="8"/>
  <c r="V11" i="6"/>
  <c r="X11" i="6" s="1"/>
  <c r="T11" i="6"/>
  <c r="U11" i="6" s="1"/>
  <c r="AA11" i="8"/>
  <c r="AB28" i="8"/>
  <c r="Z11" i="8"/>
  <c r="AC30" i="1"/>
  <c r="AA11" i="1"/>
  <c r="AC31" i="1"/>
  <c r="AB30" i="1"/>
  <c r="AC29" i="1"/>
  <c r="AB29" i="1"/>
  <c r="AA32" i="8"/>
  <c r="Z32" i="8"/>
  <c r="AB32" i="8"/>
  <c r="Z28" i="8"/>
  <c r="AB27" i="8"/>
  <c r="AA35" i="8"/>
  <c r="AA28" i="7"/>
  <c r="AB28" i="7"/>
  <c r="AA11" i="6"/>
  <c r="Z11" i="6"/>
  <c r="Z26" i="6"/>
  <c r="AB33" i="7"/>
  <c r="AA28" i="6"/>
  <c r="AA38" i="6"/>
  <c r="AA26" i="7"/>
  <c r="Z28" i="6"/>
  <c r="Z38" i="6"/>
  <c r="AB30" i="8"/>
  <c r="Z26" i="7"/>
  <c r="AA32" i="7"/>
  <c r="Z32" i="7"/>
  <c r="AA30" i="8"/>
  <c r="AB26" i="7"/>
  <c r="AA29" i="8"/>
  <c r="AB29" i="8"/>
  <c r="Z30" i="8"/>
  <c r="AA22" i="8"/>
  <c r="Z25" i="7"/>
  <c r="AA26" i="6"/>
  <c r="Z35" i="8"/>
  <c r="AA36" i="7"/>
  <c r="Z22" i="8"/>
  <c r="AA26" i="8"/>
  <c r="Z36" i="7"/>
  <c r="Z24" i="7"/>
  <c r="AB25" i="8"/>
  <c r="AC22" i="8"/>
  <c r="AA24" i="8"/>
  <c r="AA33" i="7"/>
  <c r="AB26" i="6"/>
  <c r="Z33" i="7"/>
  <c r="Z37" i="7"/>
  <c r="Z37" i="8"/>
  <c r="AA37" i="7"/>
  <c r="Z26" i="8"/>
  <c r="AA38" i="8"/>
  <c r="Z38" i="8"/>
  <c r="AA25" i="8"/>
  <c r="AA34" i="7"/>
  <c r="Z21" i="8"/>
  <c r="Z28" i="7"/>
  <c r="Z31" i="7"/>
  <c r="AA31" i="8"/>
  <c r="Z29" i="8"/>
  <c r="Z34" i="8"/>
  <c r="Z27" i="7"/>
  <c r="Z25" i="8"/>
  <c r="AA27" i="8"/>
  <c r="AA21" i="8"/>
  <c r="AA34" i="6"/>
  <c r="Z34" i="7"/>
  <c r="AB23" i="7"/>
  <c r="AA23" i="8"/>
  <c r="Z34" i="6"/>
  <c r="Z27" i="6"/>
  <c r="AA36" i="8"/>
  <c r="AA27" i="6"/>
  <c r="AA33" i="8"/>
  <c r="Z33" i="8"/>
  <c r="AB33" i="8"/>
  <c r="Z35" i="7"/>
  <c r="Z24" i="8"/>
  <c r="AA25" i="7"/>
  <c r="AA23" i="6"/>
  <c r="Z36" i="8"/>
  <c r="AB24" i="8"/>
  <c r="AB22" i="8"/>
  <c r="AB34" i="6"/>
  <c r="AA34" i="8"/>
  <c r="AB35" i="8"/>
  <c r="Z27" i="8"/>
  <c r="AB37" i="7"/>
  <c r="AA37" i="8"/>
  <c r="AA27" i="7"/>
  <c r="AA30" i="7"/>
  <c r="Z29" i="6"/>
  <c r="AB30" i="7"/>
  <c r="AA29" i="6"/>
  <c r="AA21" i="6"/>
  <c r="Z22" i="6"/>
  <c r="AA31" i="6"/>
  <c r="AB21" i="6"/>
  <c r="Z31" i="6"/>
  <c r="Z21" i="6"/>
  <c r="AA36" i="6"/>
  <c r="Z36" i="6"/>
  <c r="AA33" i="6"/>
  <c r="AB36" i="6"/>
  <c r="Z33" i="6"/>
  <c r="AB23" i="8"/>
  <c r="Z23" i="8"/>
  <c r="Z31" i="8"/>
  <c r="AB31" i="8"/>
  <c r="AB23" i="6"/>
  <c r="AA25" i="6"/>
  <c r="Z25" i="6"/>
  <c r="AA24" i="6"/>
  <c r="AA22" i="6"/>
  <c r="AB30" i="6"/>
  <c r="Z24" i="6"/>
  <c r="Z35" i="6"/>
  <c r="Z30" i="6"/>
  <c r="AB25" i="6"/>
  <c r="AA30" i="6"/>
  <c r="Z23" i="6"/>
  <c r="AA32" i="6"/>
  <c r="Z32" i="6"/>
  <c r="AB24" i="6"/>
  <c r="Z37" i="6"/>
  <c r="AB35" i="6"/>
  <c r="AA35" i="6"/>
  <c r="AA37" i="6"/>
  <c r="AA38" i="7"/>
  <c r="Z38" i="7"/>
  <c r="AB38" i="7"/>
  <c r="AA21" i="7"/>
  <c r="Z22" i="7"/>
  <c r="AA35" i="7"/>
  <c r="AB21" i="7"/>
  <c r="AA23" i="7"/>
  <c r="AB35" i="7"/>
  <c r="Z21" i="7"/>
  <c r="Z29" i="7"/>
  <c r="Z23" i="7"/>
  <c r="AA24" i="7"/>
  <c r="AB34" i="7"/>
  <c r="AB29" i="7"/>
  <c r="Z30" i="7"/>
  <c r="AA31" i="7"/>
  <c r="AA29" i="7"/>
  <c r="AA22" i="7"/>
  <c r="AC27" i="1"/>
  <c r="AC21" i="1"/>
  <c r="AB25" i="1"/>
  <c r="Z34" i="1"/>
  <c r="Z26" i="1"/>
  <c r="Z22" i="1"/>
  <c r="AA25" i="1"/>
  <c r="Z25" i="1"/>
  <c r="Z24" i="1"/>
  <c r="Z36" i="1"/>
  <c r="AB22" i="1"/>
  <c r="Z27" i="1"/>
  <c r="Z23" i="1"/>
  <c r="Z21" i="1"/>
  <c r="AB28" i="1"/>
  <c r="Z37" i="1"/>
  <c r="Z38" i="1"/>
  <c r="AC28" i="1"/>
  <c r="Z35" i="1"/>
  <c r="AB35" i="1"/>
  <c r="AA35" i="1"/>
  <c r="AB37" i="1"/>
  <c r="AA22" i="1"/>
  <c r="AA37" i="1"/>
  <c r="AB33" i="1"/>
  <c r="Z28" i="1"/>
  <c r="AB26" i="1"/>
  <c r="AB36" i="1"/>
  <c r="AA33" i="1"/>
  <c r="AA26" i="1"/>
  <c r="AB23" i="1"/>
  <c r="AB38" i="1"/>
  <c r="AA36" i="1"/>
  <c r="Z33" i="1"/>
  <c r="AA23" i="1"/>
  <c r="AA28" i="1"/>
  <c r="AA38" i="1"/>
  <c r="AB34" i="1"/>
  <c r="AB27" i="1"/>
  <c r="AB21" i="1"/>
  <c r="AA34" i="1"/>
  <c r="AA27" i="1"/>
  <c r="AB24" i="1"/>
  <c r="AA21" i="1"/>
  <c r="AA24" i="1"/>
  <c r="AC22" i="1"/>
  <c r="AC33" i="1"/>
  <c r="AC26" i="1"/>
  <c r="S11" i="6" l="1"/>
  <c r="AC11" i="6" s="1"/>
  <c r="X11" i="8"/>
  <c r="Y11" i="8" s="1"/>
  <c r="AC11" i="8"/>
  <c r="AB32" i="1"/>
  <c r="Z30" i="1"/>
  <c r="AB31" i="1"/>
  <c r="AC32" i="1"/>
  <c r="Z11" i="1"/>
  <c r="V11" i="1"/>
  <c r="AA32" i="1"/>
  <c r="Z29" i="1"/>
  <c r="AA31" i="1"/>
  <c r="Z31" i="1"/>
  <c r="AA30" i="1"/>
  <c r="Z32" i="1"/>
  <c r="T11" i="1"/>
  <c r="U11" i="1" s="1"/>
  <c r="AB11" i="1"/>
  <c r="AA29" i="1"/>
  <c r="W11" i="7"/>
  <c r="Y11" i="6" l="1"/>
  <c r="S11" i="1"/>
  <c r="AC11" i="1" s="1"/>
  <c r="X11" i="1"/>
  <c r="Y11" i="1" s="1"/>
  <c r="Z11" i="7"/>
  <c r="T11" i="7"/>
  <c r="U11" i="7" s="1"/>
  <c r="V11" i="7"/>
  <c r="AA11" i="7"/>
  <c r="AB11" i="7"/>
  <c r="S11" i="7" l="1"/>
  <c r="AC11" i="7" s="1"/>
  <c r="X11" i="7"/>
  <c r="Y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3C8CFE3D-AE54-434A-A6EF-B16CF6B7FCE2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AC8635DE-F16B-4D2E-85B7-925FE74CB0FE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65FECEED-7895-4EF6-A1F7-0803039FD9D8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<sst xmlns="http://schemas.openxmlformats.org/spreadsheetml/2006/main" count="2707" uniqueCount="386">
  <si>
    <t>Mean</t>
  </si>
  <si>
    <t>SPC</t>
    <phoneticPr fontId="9" type="noConversion"/>
  </si>
  <si>
    <t>Description</t>
    <phoneticPr fontId="7"/>
  </si>
  <si>
    <t>USL</t>
  </si>
  <si>
    <t>LSL</t>
  </si>
  <si>
    <t>Maximum</t>
  </si>
  <si>
    <t>Minimum</t>
  </si>
  <si>
    <t>Std Dev</t>
  </si>
  <si>
    <t>Cp</t>
  </si>
  <si>
    <t>UCPK</t>
    <phoneticPr fontId="10" type="noConversion"/>
  </si>
  <si>
    <t>LCPK</t>
    <phoneticPr fontId="10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</si>
  <si>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</si>
  <si>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</si>
  <si>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</si>
  <si>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</si>
  <si>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</si>
  <si>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</si>
  <si>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</si>
  <si>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</si>
  <si>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</si>
  <si>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</si>
  <si>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</si>
  <si>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</si>
  <si>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</si>
  <si>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</si>
  <si>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</si>
  <si>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 xml:space="preserve">     MEASURED DATA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</si>
  <si>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</si>
  <si>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</si>
  <si>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</si>
  <si>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</si>
  <si>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</si>
  <si>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</si>
  <si>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</si>
  <si>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</si>
  <si>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</si>
  <si>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</si>
  <si>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</si>
  <si>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</si>
  <si>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</si>
  <si>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</si>
  <si>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</si>
  <si>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</si>
  <si>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</si>
  <si>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</si>
  <si>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</si>
  <si>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</si>
  <si>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</si>
  <si>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</si>
  <si>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</si>
  <si>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</si>
  <si>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</si>
  <si>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</si>
  <si>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</si>
  <si>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</si>
  <si>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</si>
  <si>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</si>
  <si>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</si>
  <si>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</si>
  <si>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</si>
  <si>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</si>
  <si>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</si>
  <si>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</si>
  <si>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</si>
  <si>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</si>
  <si>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</si>
  <si>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</si>
  <si>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</si>
  <si>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</si>
  <si>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</si>
  <si>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</si>
  <si>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</si>
  <si>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</si>
  <si>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</si>
  <si>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</si>
  <si>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</si>
  <si>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</si>
  <si>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</si>
  <si>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</si>
  <si>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</si>
  <si>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</si>
  <si>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</si>
  <si>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</si>
  <si>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</si>
  <si>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</si>
  <si>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</si>
  <si>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</si>
  <si>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Adam Xu</t>
  </si>
  <si>
    <t>- Add data export for Bubble Navigator Apps</t>
  </si>
  <si>
    <t>- Add multi-sheet selection for Bubble Navigator
- Add Non-Capable CpK for Bubble Navigator</t>
  </si>
  <si>
    <t>G</t>
  </si>
  <si>
    <t>C</t>
  </si>
  <si>
    <t>E</t>
  </si>
  <si>
    <t>D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</si>
  <si>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</si>
  <si>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Ca</t>
  </si>
  <si>
    <t>Ca Level</t>
  </si>
  <si>
    <t>- Add Ca calculation along with Ca Level for each FAI/SPC Dimension
-Update the format conditions</t>
  </si>
  <si>
    <t>Rev 4.3</t>
  </si>
  <si>
    <t>9/22/2017</t>
  </si>
  <si>
    <t>4/17/2019</t>
  </si>
  <si>
    <t>7/8/2019</t>
  </si>
  <si>
    <t>- Update Ca formula
-Unlimited data qty each SPC dimension rather than 100 data max</t>
  </si>
  <si>
    <t>F-1</t>
  </si>
  <si>
    <t>F-2</t>
  </si>
  <si>
    <t>L</t>
  </si>
  <si>
    <t>M</t>
  </si>
  <si>
    <t>Q</t>
  </si>
  <si>
    <t>N-1</t>
  </si>
  <si>
    <t>N-2</t>
  </si>
  <si>
    <t>N-3</t>
  </si>
  <si>
    <t>N-4</t>
  </si>
  <si>
    <t>N-5</t>
  </si>
  <si>
    <t>O-1</t>
  </si>
  <si>
    <t>O-2</t>
  </si>
  <si>
    <t>O-3</t>
  </si>
  <si>
    <t>O-4</t>
  </si>
  <si>
    <t>O-5</t>
  </si>
  <si>
    <t>R</t>
  </si>
  <si>
    <t>S</t>
  </si>
  <si>
    <t>B</t>
    <phoneticPr fontId="14" type="noConversion"/>
  </si>
  <si>
    <t>A</t>
    <phoneticPr fontId="14" type="noConversion"/>
  </si>
  <si>
    <t>FAI5-2</t>
  </si>
  <si>
    <t>E</t>
    <phoneticPr fontId="14" type="noConversion"/>
  </si>
  <si>
    <t>FAI6-2</t>
  </si>
  <si>
    <t>F</t>
    <phoneticPr fontId="14" type="noConversion"/>
  </si>
  <si>
    <t>FAI7-2</t>
  </si>
  <si>
    <t>FAI7-3</t>
  </si>
  <si>
    <t>FAI7-4</t>
  </si>
  <si>
    <t>G</t>
    <phoneticPr fontId="14" type="noConversion"/>
  </si>
  <si>
    <t>FAI9-2</t>
  </si>
  <si>
    <t>I</t>
    <phoneticPr fontId="14" type="noConversion"/>
  </si>
  <si>
    <t>FAI10-2</t>
  </si>
  <si>
    <t>J</t>
    <phoneticPr fontId="14" type="noConversion"/>
  </si>
  <si>
    <t>L</t>
    <phoneticPr fontId="14" type="noConversion"/>
  </si>
  <si>
    <t>M</t>
    <phoneticPr fontId="14" type="noConversion"/>
  </si>
  <si>
    <t>Z stopper</t>
    <phoneticPr fontId="14" type="noConversion"/>
  </si>
  <si>
    <t>Distance</t>
    <phoneticPr fontId="14" type="noConversion"/>
  </si>
  <si>
    <t>Angle</t>
    <phoneticPr fontId="14" type="noConversion"/>
  </si>
  <si>
    <t>Dpamstech</t>
    <phoneticPr fontId="14" type="noConversion"/>
  </si>
  <si>
    <t>Inspector :</t>
    <phoneticPr fontId="14" type="noConversion"/>
  </si>
  <si>
    <t>FAI14</t>
  </si>
  <si>
    <t>FAI15</t>
  </si>
  <si>
    <t>FAI16</t>
  </si>
  <si>
    <t>FAI17-1</t>
  </si>
  <si>
    <t>FAI17-2</t>
  </si>
  <si>
    <t>FAI19-1</t>
  </si>
  <si>
    <t>FAI19-2</t>
  </si>
  <si>
    <t>FAI20</t>
  </si>
  <si>
    <t>FAI21</t>
  </si>
  <si>
    <t>FAI22</t>
  </si>
  <si>
    <t>FAI23</t>
  </si>
  <si>
    <t>FAI24-1</t>
  </si>
  <si>
    <t>FAI24-2</t>
  </si>
  <si>
    <t>FAI25-1</t>
  </si>
  <si>
    <t>FAI25-2</t>
  </si>
  <si>
    <t>FAI26</t>
  </si>
  <si>
    <t>FAI27-1</t>
  </si>
  <si>
    <t>FAI27-2</t>
  </si>
  <si>
    <t>FAI28</t>
  </si>
  <si>
    <t>FAI29</t>
  </si>
  <si>
    <t>FAI31</t>
  </si>
  <si>
    <t>FAI32</t>
  </si>
  <si>
    <t>FAI34-1</t>
  </si>
  <si>
    <t>FAI34-2</t>
  </si>
  <si>
    <t>FAI35-1</t>
  </si>
  <si>
    <t>FAI35-2</t>
  </si>
  <si>
    <t>FAI39-1</t>
  </si>
  <si>
    <t>FAI39-2</t>
  </si>
  <si>
    <t>FAI40</t>
  </si>
  <si>
    <t>FAI41</t>
  </si>
  <si>
    <t>FAI42</t>
  </si>
  <si>
    <t>FAI43</t>
  </si>
  <si>
    <t>FAI44-1</t>
  </si>
  <si>
    <t>FAI44-2</t>
  </si>
  <si>
    <t>FAI46</t>
  </si>
  <si>
    <t>FAI47</t>
  </si>
  <si>
    <t>FAI48</t>
  </si>
  <si>
    <t>FAI49</t>
  </si>
  <si>
    <t>FAI51-1</t>
  </si>
  <si>
    <t>FAI51-2</t>
  </si>
  <si>
    <t>FAI52-1</t>
  </si>
  <si>
    <t>FAI52-2</t>
  </si>
  <si>
    <t>FAI53-1</t>
  </si>
  <si>
    <t>FAI53-2</t>
  </si>
  <si>
    <t>FAI54-1</t>
  </si>
  <si>
    <t>FAI54-2</t>
  </si>
  <si>
    <t>FAI54-3</t>
  </si>
  <si>
    <t>FAI54-4</t>
  </si>
  <si>
    <t>FAI55-1</t>
  </si>
  <si>
    <t>FAI55-2</t>
  </si>
  <si>
    <t>FAI56-1</t>
  </si>
  <si>
    <t>FAI56-2</t>
  </si>
  <si>
    <t>P</t>
    <phoneticPr fontId="14" type="noConversion"/>
  </si>
  <si>
    <t>O</t>
    <phoneticPr fontId="14" type="noConversion"/>
  </si>
  <si>
    <t>O</t>
    <phoneticPr fontId="38" type="noConversion"/>
  </si>
  <si>
    <t>Flatness</t>
    <phoneticPr fontId="14" type="noConversion"/>
  </si>
  <si>
    <t>Bumper height</t>
  </si>
  <si>
    <t>Bumper height</t>
    <phoneticPr fontId="14" type="noConversion"/>
  </si>
  <si>
    <t>Distance</t>
  </si>
  <si>
    <t>Thickness</t>
    <phoneticPr fontId="14" type="noConversion"/>
  </si>
  <si>
    <t>Emboss height</t>
  </si>
  <si>
    <t>Emboss height</t>
    <phoneticPr fontId="14" type="noConversion"/>
  </si>
  <si>
    <t>FAI1</t>
  </si>
  <si>
    <t>FA2-1</t>
  </si>
  <si>
    <t>FA2-2</t>
  </si>
  <si>
    <t>FA2-3</t>
  </si>
  <si>
    <t>FA2-4</t>
  </si>
  <si>
    <t>FAI5-1</t>
  </si>
  <si>
    <t>FAI6-1</t>
  </si>
  <si>
    <t>FAI7-1</t>
  </si>
  <si>
    <t>FAI9-1</t>
  </si>
  <si>
    <t>FAI10-1</t>
  </si>
  <si>
    <t>FAI12</t>
  </si>
  <si>
    <t>FAI50-1</t>
    <phoneticPr fontId="38" type="noConversion"/>
  </si>
  <si>
    <t>FAI50-2</t>
    <phoneticPr fontId="38" type="noConversion"/>
  </si>
  <si>
    <t>FAI59</t>
    <phoneticPr fontId="38" type="noConversion"/>
  </si>
  <si>
    <t>FAI13</t>
    <phoneticPr fontId="38" type="noConversion"/>
  </si>
  <si>
    <t>Q</t>
    <phoneticPr fontId="38" type="noConversion"/>
  </si>
  <si>
    <t>R</t>
    <phoneticPr fontId="38" type="noConversion"/>
  </si>
  <si>
    <t>S</t>
    <phoneticPr fontId="9" type="noConversion"/>
  </si>
  <si>
    <t>T</t>
    <phoneticPr fontId="38" type="noConversion"/>
  </si>
  <si>
    <t>U</t>
    <phoneticPr fontId="38" type="noConversion"/>
  </si>
  <si>
    <t>V</t>
    <phoneticPr fontId="38" type="noConversion"/>
  </si>
  <si>
    <t>FAI60</t>
  </si>
  <si>
    <t>FAI61</t>
  </si>
  <si>
    <t>FAI62</t>
  </si>
  <si>
    <t>817-10714-05</t>
    <phoneticPr fontId="14" type="noConversion"/>
  </si>
  <si>
    <t>MSOP Rev.03</t>
    <phoneticPr fontId="14" type="noConversion"/>
  </si>
  <si>
    <t>PGM - Rev.03</t>
    <phoneticPr fontId="14" type="noConversion"/>
  </si>
  <si>
    <t>Dpamstech</t>
    <phoneticPr fontId="37" type="noConversion"/>
  </si>
  <si>
    <t>@@@@</t>
    <phoneticPr fontId="14" type="noConversion"/>
  </si>
  <si>
    <t>240@@@ (Lot.240@@@)</t>
    <phoneticPr fontId="14" type="noConversion"/>
  </si>
  <si>
    <t>1CAV</t>
    <phoneticPr fontId="38" type="noConversion"/>
  </si>
  <si>
    <t>2CAV</t>
  </si>
  <si>
    <t>3CAV</t>
  </si>
  <si>
    <t>4CAV</t>
  </si>
  <si>
    <t>FAI</t>
    <phoneticPr fontId="14" type="noConversion"/>
  </si>
  <si>
    <t>A</t>
  </si>
  <si>
    <t>F</t>
  </si>
  <si>
    <t>U</t>
  </si>
  <si>
    <t>T</t>
  </si>
  <si>
    <t>V</t>
  </si>
  <si>
    <t>136_1</t>
  </si>
  <si>
    <t>136_2</t>
  </si>
  <si>
    <t>136_3</t>
  </si>
  <si>
    <t>138_1</t>
  </si>
  <si>
    <t>138_2</t>
  </si>
  <si>
    <t>138_3</t>
  </si>
  <si>
    <t>BH</t>
  </si>
  <si>
    <t>BI</t>
  </si>
  <si>
    <t>BK</t>
  </si>
  <si>
    <t>BL</t>
  </si>
  <si>
    <t>BS</t>
  </si>
  <si>
    <t>145-1</t>
  </si>
  <si>
    <t>145-2</t>
  </si>
  <si>
    <t>145-3</t>
  </si>
  <si>
    <t>BT</t>
  </si>
  <si>
    <t>146-1</t>
  </si>
  <si>
    <t>146-2</t>
  </si>
  <si>
    <t>146-3</t>
  </si>
  <si>
    <t>BU</t>
  </si>
  <si>
    <t>BV</t>
  </si>
  <si>
    <t>149-1</t>
  </si>
  <si>
    <t>149-2</t>
  </si>
  <si>
    <t>BW</t>
  </si>
  <si>
    <t>BX</t>
  </si>
  <si>
    <t>BY</t>
  </si>
  <si>
    <t>CA</t>
  </si>
  <si>
    <t>CB</t>
  </si>
  <si>
    <t>B</t>
  </si>
  <si>
    <t>I</t>
  </si>
  <si>
    <t>J</t>
  </si>
  <si>
    <t>FAI13</t>
  </si>
  <si>
    <t>FAI50-1</t>
  </si>
  <si>
    <t>FAI50-2</t>
  </si>
  <si>
    <t>O</t>
  </si>
  <si>
    <t>FAI59</t>
  </si>
  <si>
    <t>판정</t>
    <phoneticPr fontId="38" type="noConversion"/>
  </si>
  <si>
    <t>FAI</t>
    <phoneticPr fontId="38" type="noConversion"/>
  </si>
  <si>
    <t>FAI33</t>
    <phoneticPr fontId="38" type="noConversion"/>
  </si>
  <si>
    <t>FAI33</t>
    <phoneticPr fontId="14" type="noConversion"/>
  </si>
  <si>
    <r>
      <t xml:space="preserve">Insert </t>
    </r>
    <r>
      <rPr>
        <sz val="10"/>
        <rFont val="맑은 고딕"/>
        <family val="2"/>
        <charset val="129"/>
      </rPr>
      <t>변경하여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진행</t>
    </r>
    <phoneticPr fontId="38" type="noConversion"/>
  </si>
  <si>
    <r>
      <t xml:space="preserve">Insert </t>
    </r>
    <r>
      <rPr>
        <sz val="10"/>
        <rFont val="맑은 고딕"/>
        <family val="3"/>
        <charset val="129"/>
      </rPr>
      <t>변경하여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진행</t>
    </r>
    <phoneticPr fontId="38" type="noConversion"/>
  </si>
  <si>
    <t>A3.1/ TF</t>
    <phoneticPr fontId="14" type="noConversion"/>
  </si>
  <si>
    <t>25@@@@ (Lot 25@@@@)</t>
    <phoneticPr fontId="38" type="noConversion"/>
  </si>
  <si>
    <t>817-10714</t>
    <phoneticPr fontId="37" type="noConversion"/>
  </si>
  <si>
    <t>Z Stopper</t>
    <phoneticPr fontId="0" type="noConversion"/>
  </si>
  <si>
    <t>FAI</t>
    <phoneticPr fontId="0" type="noConversion"/>
  </si>
  <si>
    <t>SPC</t>
    <phoneticPr fontId="0" type="noConversion"/>
  </si>
  <si>
    <t>Description</t>
    <phoneticPr fontId="0"/>
  </si>
  <si>
    <t>UCPK</t>
    <phoneticPr fontId="0" type="noConversion"/>
  </si>
  <si>
    <t>LCPK</t>
    <phoneticPr fontId="0" type="noConversion"/>
  </si>
  <si>
    <t>NO</t>
    <phoneticPr fontId="37" type="noConversion"/>
  </si>
  <si>
    <t>NO</t>
  </si>
  <si>
    <t>2-1</t>
    <phoneticPr fontId="37" type="noConversion"/>
  </si>
  <si>
    <t>2-2</t>
    <phoneticPr fontId="37" type="noConversion"/>
  </si>
  <si>
    <t>2-3</t>
    <phoneticPr fontId="37" type="noConversion"/>
  </si>
  <si>
    <t>2-4</t>
    <phoneticPr fontId="37" type="noConversion"/>
  </si>
  <si>
    <t>5-1</t>
    <phoneticPr fontId="37" type="noConversion"/>
  </si>
  <si>
    <t>5-2</t>
    <phoneticPr fontId="37" type="noConversion"/>
  </si>
  <si>
    <t>6-1</t>
    <phoneticPr fontId="37" type="noConversion"/>
  </si>
  <si>
    <t>6-2</t>
    <phoneticPr fontId="37" type="noConversion"/>
  </si>
  <si>
    <t>7-1</t>
    <phoneticPr fontId="37" type="noConversion"/>
  </si>
  <si>
    <t>7-2</t>
    <phoneticPr fontId="37" type="noConversion"/>
  </si>
  <si>
    <t>7-3</t>
    <phoneticPr fontId="37" type="noConversion"/>
  </si>
  <si>
    <t>7-4</t>
    <phoneticPr fontId="37" type="noConversion"/>
  </si>
  <si>
    <t>9-1</t>
    <phoneticPr fontId="37" type="noConversion"/>
  </si>
  <si>
    <t>9-2</t>
    <phoneticPr fontId="37" type="noConversion"/>
  </si>
  <si>
    <t>10-1</t>
    <phoneticPr fontId="37" type="noConversion"/>
  </si>
  <si>
    <t>10-2</t>
    <phoneticPr fontId="37" type="noConversion"/>
  </si>
  <si>
    <t>12</t>
    <phoneticPr fontId="37" type="noConversion"/>
  </si>
  <si>
    <t>13</t>
    <phoneticPr fontId="37" type="noConversion"/>
  </si>
  <si>
    <t>14</t>
    <phoneticPr fontId="37" type="noConversion"/>
  </si>
  <si>
    <t>15</t>
    <phoneticPr fontId="37" type="noConversion"/>
  </si>
  <si>
    <t>16</t>
    <phoneticPr fontId="37" type="noConversion"/>
  </si>
  <si>
    <t>17-1</t>
    <phoneticPr fontId="37" type="noConversion"/>
  </si>
  <si>
    <t>17-2</t>
    <phoneticPr fontId="37" type="noConversion"/>
  </si>
  <si>
    <t>19-1</t>
    <phoneticPr fontId="37" type="noConversion"/>
  </si>
  <si>
    <t>19-2</t>
    <phoneticPr fontId="37" type="noConversion"/>
  </si>
  <si>
    <t>20</t>
    <phoneticPr fontId="37" type="noConversion"/>
  </si>
  <si>
    <t>21</t>
    <phoneticPr fontId="37" type="noConversion"/>
  </si>
  <si>
    <t>22</t>
    <phoneticPr fontId="37" type="noConversion"/>
  </si>
  <si>
    <t>23</t>
    <phoneticPr fontId="37" type="noConversion"/>
  </si>
  <si>
    <t>24-1</t>
    <phoneticPr fontId="37" type="noConversion"/>
  </si>
  <si>
    <t>24-2</t>
    <phoneticPr fontId="37" type="noConversion"/>
  </si>
  <si>
    <t>25-1</t>
    <phoneticPr fontId="37" type="noConversion"/>
  </si>
  <si>
    <t>25-2</t>
    <phoneticPr fontId="37" type="noConversion"/>
  </si>
  <si>
    <t>26</t>
    <phoneticPr fontId="37" type="noConversion"/>
  </si>
  <si>
    <t>27-1</t>
    <phoneticPr fontId="37" type="noConversion"/>
  </si>
  <si>
    <t>27-2</t>
    <phoneticPr fontId="37" type="noConversion"/>
  </si>
  <si>
    <t>28</t>
    <phoneticPr fontId="37" type="noConversion"/>
  </si>
  <si>
    <t>29</t>
    <phoneticPr fontId="37" type="noConversion"/>
  </si>
  <si>
    <t>31</t>
    <phoneticPr fontId="37" type="noConversion"/>
  </si>
  <si>
    <t>32</t>
    <phoneticPr fontId="37" type="noConversion"/>
  </si>
  <si>
    <t>33</t>
    <phoneticPr fontId="37" type="noConversion"/>
  </si>
  <si>
    <t>34-1</t>
    <phoneticPr fontId="37" type="noConversion"/>
  </si>
  <si>
    <t>34-2</t>
    <phoneticPr fontId="37" type="noConversion"/>
  </si>
  <si>
    <t>35-1</t>
    <phoneticPr fontId="37" type="noConversion"/>
  </si>
  <si>
    <t>35-2</t>
    <phoneticPr fontId="37" type="noConversion"/>
  </si>
  <si>
    <t>39-1</t>
    <phoneticPr fontId="37" type="noConversion"/>
  </si>
  <si>
    <t>39-2</t>
    <phoneticPr fontId="37" type="noConversion"/>
  </si>
  <si>
    <t>40</t>
    <phoneticPr fontId="37" type="noConversion"/>
  </si>
  <si>
    <t>41</t>
    <phoneticPr fontId="37" type="noConversion"/>
  </si>
  <si>
    <t>42</t>
    <phoneticPr fontId="37" type="noConversion"/>
  </si>
  <si>
    <t>43</t>
    <phoneticPr fontId="37" type="noConversion"/>
  </si>
  <si>
    <t>44-1</t>
    <phoneticPr fontId="37" type="noConversion"/>
  </si>
  <si>
    <t>44-2</t>
    <phoneticPr fontId="37" type="noConversion"/>
  </si>
  <si>
    <t>46</t>
    <phoneticPr fontId="37" type="noConversion"/>
  </si>
  <si>
    <t>47</t>
    <phoneticPr fontId="37" type="noConversion"/>
  </si>
  <si>
    <t>48</t>
    <phoneticPr fontId="37" type="noConversion"/>
  </si>
  <si>
    <t>49</t>
    <phoneticPr fontId="37" type="noConversion"/>
  </si>
  <si>
    <t>50-1</t>
    <phoneticPr fontId="37" type="noConversion"/>
  </si>
  <si>
    <t>50-2</t>
    <phoneticPr fontId="37" type="noConversion"/>
  </si>
  <si>
    <t>51-1</t>
    <phoneticPr fontId="37" type="noConversion"/>
  </si>
  <si>
    <t>51-2</t>
    <phoneticPr fontId="37" type="noConversion"/>
  </si>
  <si>
    <t>52-1</t>
    <phoneticPr fontId="37" type="noConversion"/>
  </si>
  <si>
    <t>52-2</t>
    <phoneticPr fontId="37" type="noConversion"/>
  </si>
  <si>
    <t>53-1</t>
    <phoneticPr fontId="37" type="noConversion"/>
  </si>
  <si>
    <t>53-2</t>
    <phoneticPr fontId="37" type="noConversion"/>
  </si>
  <si>
    <t>54-1</t>
    <phoneticPr fontId="37" type="noConversion"/>
  </si>
  <si>
    <t>54-2</t>
    <phoneticPr fontId="37" type="noConversion"/>
  </si>
  <si>
    <t>54-3</t>
    <phoneticPr fontId="37" type="noConversion"/>
  </si>
  <si>
    <t>54-4</t>
    <phoneticPr fontId="37" type="noConversion"/>
  </si>
  <si>
    <t>55-1</t>
    <phoneticPr fontId="37" type="noConversion"/>
  </si>
  <si>
    <t>55-2</t>
    <phoneticPr fontId="37" type="noConversion"/>
  </si>
  <si>
    <t>56-1</t>
    <phoneticPr fontId="37" type="noConversion"/>
  </si>
  <si>
    <t>56-2</t>
    <phoneticPr fontId="37" type="noConversion"/>
  </si>
  <si>
    <t>59</t>
    <phoneticPr fontId="37" type="noConversion"/>
  </si>
  <si>
    <t>60</t>
    <phoneticPr fontId="37" type="noConversion"/>
  </si>
  <si>
    <t>61</t>
    <phoneticPr fontId="37" type="noConversion"/>
  </si>
  <si>
    <t>62</t>
    <phoneticPr fontId="37" type="noConversion"/>
  </si>
  <si>
    <t>OOC SPC</t>
  </si>
  <si>
    <t>Flatness</t>
  </si>
  <si>
    <t>Angle</t>
  </si>
  <si>
    <t>Thickness</t>
  </si>
  <si>
    <t>Dpamstech</t>
    <phoneticPr fontId="38" type="noConversion"/>
  </si>
  <si>
    <t>@@@</t>
    <phoneticPr fontId="38" type="noConversion"/>
  </si>
  <si>
    <r>
      <t>측정일</t>
    </r>
    <r>
      <rPr>
        <b/>
        <sz val="10"/>
        <rFont val="Arial"/>
        <family val="2"/>
      </rPr>
      <t xml:space="preserve"> : 25@@@@ / </t>
    </r>
    <r>
      <rPr>
        <b/>
        <sz val="10"/>
        <rFont val="Malgun Gothic"/>
        <family val="3"/>
        <charset val="129"/>
      </rPr>
      <t>사출일</t>
    </r>
    <r>
      <rPr>
        <b/>
        <sz val="10"/>
        <rFont val="Arial"/>
        <family val="2"/>
      </rPr>
      <t xml:space="preserve"> :25@@@@</t>
    </r>
    <phoneticPr fontId="38" type="noConversion"/>
  </si>
  <si>
    <t>Rev.03</t>
    <phoneticPr fontId="38" type="noConversion"/>
  </si>
  <si>
    <t>@ Tool / A2.0</t>
    <phoneticPr fontId="38" type="noConversion"/>
  </si>
  <si>
    <t>없는 캐비티</t>
    <phoneticPr fontId="37" type="noConversion"/>
  </si>
  <si>
    <t>들어간차수</t>
    <phoneticPr fontId="37" type="noConversion"/>
  </si>
  <si>
    <t>들어간 캐비티</t>
    <phoneticPr fontId="37" type="noConversion"/>
  </si>
  <si>
    <t>들어간 생산일</t>
    <phoneticPr fontId="37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</si>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</sst>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.0000"/>
    <numFmt numFmtId="182" formatCode="_-* #,##0.000_-;\-* #,##0.000_-;_-* &quot;-&quot;_-;_-@_-"/>
    <numFmt numFmtId="183" formatCode="0_);[Red]\(0\)"/>
  </numFmts>
  <fonts count="77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12"/>
      <color indexed="205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name val="맑은 고딕"/>
      <family val="3"/>
      <charset val="134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8"/>
      <name val="Arial"/>
      <family val="2"/>
    </font>
    <font>
      <sz val="11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2"/>
      <charset val="134"/>
    </font>
    <font>
      <b/>
      <i/>
      <sz val="10"/>
      <color theme="1"/>
      <name val="Arial"/>
      <family val="2"/>
    </font>
    <font>
      <b/>
      <sz val="9"/>
      <color theme="1"/>
      <name val="맑은 고딕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4"/>
      <color indexed="8"/>
      <name val="맑은 고딕"/>
      <family val="3"/>
      <charset val="129"/>
      <scheme val="minor"/>
    </font>
    <font>
      <b/>
      <sz val="10"/>
      <name val="Malgun Gothic"/>
      <family val="3"/>
      <charset val="129"/>
    </font>
    <font>
      <sz val="12"/>
      <color rgb="FF000000"/>
      <name val="Lucida Grande"/>
      <family val="2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i/>
      <sz val="8"/>
      <color theme="1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E4DFEC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611">
    <xf numFmtId="0" fontId="0" fillId="0" borderId="0"/>
    <xf numFmtId="0" fontId="13" fillId="0" borderId="0"/>
    <xf numFmtId="9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3" fillId="0" borderId="0"/>
    <xf numFmtId="9" fontId="27" fillId="0" borderId="0" applyFont="0" applyFill="0" applyBorder="0" applyAlignment="0" applyProtection="0"/>
    <xf numFmtId="0" fontId="28" fillId="0" borderId="0"/>
    <xf numFmtId="178" fontId="6" fillId="0" borderId="0" applyFill="0" applyBorder="0" applyAlignment="0"/>
    <xf numFmtId="179" fontId="6" fillId="0" borderId="0" applyFill="0" applyBorder="0" applyAlignment="0"/>
    <xf numFmtId="0" fontId="12" fillId="0" borderId="10" applyNumberFormat="0" applyAlignment="0" applyProtection="0">
      <alignment horizontal="left" vertical="center"/>
    </xf>
    <xf numFmtId="0" fontId="12" fillId="0" borderId="6">
      <alignment horizontal="left" vertical="center"/>
    </xf>
    <xf numFmtId="179" fontId="6" fillId="0" borderId="0" applyFill="0" applyBorder="0" applyAlignment="0"/>
    <xf numFmtId="0" fontId="13" fillId="0" borderId="0"/>
    <xf numFmtId="179" fontId="6" fillId="0" borderId="0" applyFill="0" applyBorder="0" applyAlignment="0"/>
    <xf numFmtId="49" fontId="29" fillId="0" borderId="0" applyFill="0" applyBorder="0" applyAlignment="0"/>
    <xf numFmtId="179" fontId="6" fillId="0" borderId="0" applyFill="0" applyBorder="0" applyAlignment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16" applyNumberFormat="0" applyAlignment="0" applyProtection="0">
      <alignment vertical="center"/>
    </xf>
    <xf numFmtId="0" fontId="49" fillId="11" borderId="17" applyNumberFormat="0" applyAlignment="0" applyProtection="0">
      <alignment vertical="center"/>
    </xf>
    <xf numFmtId="0" fontId="50" fillId="11" borderId="16" applyNumberFormat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12" borderId="1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20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2" fillId="13" borderId="20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20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12">
    <xf numFmtId="0" fontId="0" fillId="0" borderId="0" xfId="0"/>
    <xf numFmtId="0" fontId="6" fillId="2" borderId="0" xfId="0" applyFont="1" applyFill="1" applyProtection="1">
      <protection locked="0"/>
    </xf>
    <xf numFmtId="176" fontId="18" fillId="0" borderId="4" xfId="0" applyNumberFormat="1" applyFont="1" applyBorder="1" applyAlignment="1">
      <alignment horizontal="center"/>
    </xf>
    <xf numFmtId="177" fontId="6" fillId="2" borderId="4" xfId="7" applyNumberFormat="1" applyFont="1" applyFill="1" applyBorder="1" applyAlignment="1">
      <alignment horizontal="center"/>
    </xf>
    <xf numFmtId="177" fontId="6" fillId="2" borderId="4" xfId="1" applyNumberFormat="1" applyFont="1" applyFill="1" applyBorder="1" applyAlignment="1">
      <alignment horizontal="center"/>
    </xf>
    <xf numFmtId="176" fontId="6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6" fillId="2" borderId="0" xfId="0" applyFont="1" applyFill="1"/>
    <xf numFmtId="0" fontId="20" fillId="2" borderId="0" xfId="0" applyFont="1" applyFill="1"/>
    <xf numFmtId="0" fontId="6" fillId="2" borderId="0" xfId="0" applyFont="1" applyFill="1" applyAlignment="1">
      <alignment horizontal="center"/>
    </xf>
    <xf numFmtId="0" fontId="19" fillId="2" borderId="0" xfId="0" applyFont="1" applyFill="1"/>
    <xf numFmtId="14" fontId="8" fillId="4" borderId="4" xfId="0" applyNumberFormat="1" applyFont="1" applyFill="1" applyBorder="1" applyProtection="1">
      <protection locked="0"/>
    </xf>
    <xf numFmtId="49" fontId="6" fillId="4" borderId="4" xfId="1" applyNumberFormat="1" applyFont="1" applyFill="1" applyBorder="1" applyAlignment="1" applyProtection="1">
      <alignment horizontal="center" wrapText="1"/>
      <protection locked="0"/>
    </xf>
    <xf numFmtId="176" fontId="6" fillId="4" borderId="4" xfId="7" applyNumberFormat="1" applyFont="1" applyFill="1" applyBorder="1" applyAlignment="1" applyProtection="1">
      <alignment horizontal="center" wrapText="1"/>
      <protection locked="0"/>
    </xf>
    <xf numFmtId="49" fontId="6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6" fillId="3" borderId="7" xfId="0" applyNumberFormat="1" applyFont="1" applyFill="1" applyBorder="1" applyAlignment="1" applyProtection="1">
      <alignment horizontal="center"/>
      <protection locked="0"/>
    </xf>
    <xf numFmtId="0" fontId="23" fillId="6" borderId="0" xfId="0" applyFont="1" applyFill="1"/>
    <xf numFmtId="0" fontId="11" fillId="2" borderId="4" xfId="7" applyFont="1" applyFill="1" applyBorder="1" applyAlignment="1" applyProtection="1">
      <alignment horizontal="center"/>
      <protection locked="0"/>
    </xf>
    <xf numFmtId="0" fontId="25" fillId="6" borderId="0" xfId="0" applyFont="1" applyFill="1"/>
    <xf numFmtId="0" fontId="26" fillId="0" borderId="0" xfId="0" applyFont="1"/>
    <xf numFmtId="176" fontId="6" fillId="3" borderId="1" xfId="0" applyNumberFormat="1" applyFont="1" applyFill="1" applyBorder="1" applyAlignment="1" applyProtection="1">
      <alignment horizontal="center"/>
      <protection locked="0"/>
    </xf>
    <xf numFmtId="0" fontId="21" fillId="5" borderId="9" xfId="0" applyFont="1" applyFill="1" applyBorder="1"/>
    <xf numFmtId="0" fontId="24" fillId="6" borderId="5" xfId="0" applyFont="1" applyFill="1" applyBorder="1"/>
    <xf numFmtId="0" fontId="25" fillId="6" borderId="5" xfId="0" applyFont="1" applyFill="1" applyBorder="1"/>
    <xf numFmtId="0" fontId="23" fillId="6" borderId="5" xfId="0" applyFont="1" applyFill="1" applyBorder="1"/>
    <xf numFmtId="176" fontId="6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1" fillId="5" borderId="5" xfId="0" applyFont="1" applyFill="1" applyBorder="1"/>
    <xf numFmtId="176" fontId="6" fillId="2" borderId="1" xfId="2" applyNumberFormat="1" applyFont="1" applyFill="1" applyBorder="1" applyAlignment="1" applyProtection="1">
      <alignment horizontal="center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14" fontId="8" fillId="3" borderId="5" xfId="0" applyNumberFormat="1" applyFont="1" applyFill="1" applyBorder="1" applyProtection="1">
      <protection locked="0"/>
    </xf>
    <xf numFmtId="0" fontId="6" fillId="2" borderId="11" xfId="0" applyFont="1" applyFill="1" applyBorder="1" applyProtection="1">
      <protection locked="0"/>
    </xf>
    <xf numFmtId="0" fontId="19" fillId="2" borderId="0" xfId="0" applyFont="1" applyFill="1" applyAlignment="1">
      <alignment horizontal="center"/>
    </xf>
    <xf numFmtId="176" fontId="11" fillId="2" borderId="9" xfId="1" applyNumberFormat="1" applyFont="1" applyFill="1" applyBorder="1"/>
    <xf numFmtId="0" fontId="11" fillId="2" borderId="9" xfId="1" applyFont="1" applyFill="1" applyBorder="1"/>
    <xf numFmtId="2" fontId="11" fillId="2" borderId="9" xfId="1" applyNumberFormat="1" applyFont="1" applyFill="1" applyBorder="1"/>
    <xf numFmtId="0" fontId="11" fillId="2" borderId="3" xfId="1" applyFont="1" applyFill="1" applyBorder="1" applyAlignment="1" applyProtection="1">
      <alignment horizontal="center" wrapText="1"/>
      <protection locked="0"/>
    </xf>
    <xf numFmtId="0" fontId="11" fillId="2" borderId="3" xfId="1" applyFont="1" applyFill="1" applyBorder="1" applyAlignment="1">
      <alignment horizontal="center" vertical="center"/>
    </xf>
    <xf numFmtId="2" fontId="11" fillId="2" borderId="3" xfId="1" applyNumberFormat="1" applyFont="1" applyFill="1" applyBorder="1" applyAlignment="1">
      <alignment horizontal="center" vertical="center"/>
    </xf>
    <xf numFmtId="176" fontId="11" fillId="2" borderId="3" xfId="1" applyNumberFormat="1" applyFont="1" applyFill="1" applyBorder="1" applyAlignment="1">
      <alignment horizontal="center" vertical="center"/>
    </xf>
    <xf numFmtId="0" fontId="32" fillId="0" borderId="9" xfId="1" applyFont="1" applyBorder="1" applyAlignment="1" applyProtection="1">
      <alignment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wrapText="1"/>
    </xf>
    <xf numFmtId="58" fontId="11" fillId="3" borderId="9" xfId="1" applyNumberFormat="1" applyFont="1" applyFill="1" applyBorder="1" applyAlignment="1" applyProtection="1">
      <alignment wrapText="1"/>
      <protection locked="0"/>
    </xf>
    <xf numFmtId="2" fontId="11" fillId="3" borderId="9" xfId="1" applyNumberFormat="1" applyFont="1" applyFill="1" applyBorder="1" applyAlignment="1" applyProtection="1">
      <alignment wrapText="1"/>
      <protection locked="0"/>
    </xf>
    <xf numFmtId="58" fontId="11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1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wrapText="1"/>
    </xf>
    <xf numFmtId="176" fontId="11" fillId="2" borderId="3" xfId="1" quotePrefix="1" applyNumberFormat="1" applyFont="1" applyFill="1" applyBorder="1" applyAlignment="1">
      <alignment horizontal="center" vertical="center"/>
    </xf>
    <xf numFmtId="176" fontId="11" fillId="2" borderId="3" xfId="1" quotePrefix="1" applyNumberFormat="1" applyFont="1" applyFill="1" applyBorder="1" applyAlignment="1">
      <alignment horizontal="center" vertical="center" wrapText="1"/>
    </xf>
    <xf numFmtId="0" fontId="21" fillId="5" borderId="12" xfId="0" applyFont="1" applyFill="1" applyBorder="1"/>
    <xf numFmtId="0" fontId="24" fillId="6" borderId="12" xfId="0" applyFont="1" applyFill="1" applyBorder="1"/>
    <xf numFmtId="0" fontId="11" fillId="3" borderId="0" xfId="7" applyFont="1" applyFill="1" applyAlignment="1" applyProtection="1">
      <alignment horizontal="center"/>
      <protection locked="0"/>
    </xf>
    <xf numFmtId="0" fontId="11" fillId="3" borderId="12" xfId="7" applyFont="1" applyFill="1" applyBorder="1" applyAlignment="1" applyProtection="1">
      <alignment horizontal="center"/>
      <protection locked="0"/>
    </xf>
    <xf numFmtId="0" fontId="30" fillId="0" borderId="4" xfId="0" applyFont="1" applyBorder="1" applyAlignment="1">
      <alignment horizontal="center" vertical="center"/>
    </xf>
    <xf numFmtId="49" fontId="3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1" fillId="2" borderId="9" xfId="1" applyFont="1" applyFill="1" applyBorder="1" applyAlignment="1">
      <alignment wrapText="1"/>
    </xf>
    <xf numFmtId="0" fontId="21" fillId="3" borderId="0" xfId="0" applyFont="1" applyFill="1" applyAlignment="1">
      <alignment vertical="center"/>
    </xf>
    <xf numFmtId="0" fontId="21" fillId="3" borderId="12" xfId="0" applyFont="1" applyFill="1" applyBorder="1" applyAlignment="1">
      <alignment vertical="center"/>
    </xf>
    <xf numFmtId="0" fontId="21" fillId="3" borderId="9" xfId="0" applyFont="1" applyFill="1" applyBorder="1" applyAlignment="1">
      <alignment vertical="center"/>
    </xf>
    <xf numFmtId="49" fontId="11" fillId="3" borderId="3" xfId="0" quotePrefix="1" applyNumberFormat="1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9" fontId="6" fillId="2" borderId="1" xfId="2" applyFont="1" applyFill="1" applyBorder="1" applyAlignment="1" applyProtection="1">
      <alignment horizontal="center"/>
    </xf>
    <xf numFmtId="176" fontId="11" fillId="3" borderId="3" xfId="1" quotePrefix="1" applyNumberFormat="1" applyFont="1" applyFill="1" applyBorder="1" applyAlignment="1">
      <alignment horizontal="center" vertical="center"/>
    </xf>
    <xf numFmtId="49" fontId="6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1" fillId="0" borderId="4" xfId="7" applyFont="1" applyBorder="1" applyAlignment="1" applyProtection="1">
      <alignment horizontal="left"/>
      <protection locked="0"/>
    </xf>
    <xf numFmtId="10" fontId="6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36" fillId="0" borderId="0" xfId="0" applyFont="1"/>
    <xf numFmtId="0" fontId="8" fillId="4" borderId="4" xfId="0" quotePrefix="1" applyFont="1" applyFill="1" applyBorder="1" applyAlignment="1" applyProtection="1">
      <alignment horizontal="left"/>
      <protection locked="0"/>
    </xf>
    <xf numFmtId="176" fontId="29" fillId="0" borderId="4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11" fillId="2" borderId="4" xfId="1" applyFont="1" applyFill="1" applyBorder="1" applyAlignment="1" applyProtection="1">
      <alignment horizontal="center" vertical="center"/>
      <protection locked="0"/>
    </xf>
    <xf numFmtId="0" fontId="34" fillId="4" borderId="3" xfId="0" applyFont="1" applyFill="1" applyBorder="1" applyAlignment="1" applyProtection="1">
      <alignment horizontal="center"/>
      <protection locked="0"/>
    </xf>
    <xf numFmtId="0" fontId="34" fillId="4" borderId="8" xfId="0" applyFont="1" applyFill="1" applyBorder="1" applyAlignment="1" applyProtection="1">
      <alignment horizontal="center"/>
      <protection locked="0"/>
    </xf>
    <xf numFmtId="0" fontId="34" fillId="38" borderId="8" xfId="0" applyFont="1" applyFill="1" applyBorder="1" applyAlignment="1" applyProtection="1">
      <alignment horizontal="center"/>
      <protection locked="0"/>
    </xf>
    <xf numFmtId="0" fontId="6" fillId="38" borderId="8" xfId="0" applyFont="1" applyFill="1" applyBorder="1" applyAlignment="1" applyProtection="1">
      <alignment horizontal="center" wrapText="1"/>
      <protection locked="0"/>
    </xf>
    <xf numFmtId="0" fontId="34" fillId="38" borderId="3" xfId="0" applyFont="1" applyFill="1" applyBorder="1" applyAlignment="1" applyProtection="1">
      <alignment horizontal="center"/>
      <protection locked="0"/>
    </xf>
    <xf numFmtId="176" fontId="6" fillId="38" borderId="4" xfId="7" applyNumberFormat="1" applyFont="1" applyFill="1" applyBorder="1" applyAlignment="1" applyProtection="1">
      <alignment horizontal="center" wrapText="1"/>
      <protection locked="0"/>
    </xf>
    <xf numFmtId="1" fontId="34" fillId="4" borderId="8" xfId="0" quotePrefix="1" applyNumberFormat="1" applyFont="1" applyFill="1" applyBorder="1" applyAlignment="1" applyProtection="1">
      <alignment horizontal="center"/>
      <protection locked="0"/>
    </xf>
    <xf numFmtId="2" fontId="34" fillId="4" borderId="8" xfId="0" quotePrefix="1" applyNumberFormat="1" applyFont="1" applyFill="1" applyBorder="1" applyAlignment="1" applyProtection="1">
      <alignment horizontal="center"/>
      <protection locked="0"/>
    </xf>
    <xf numFmtId="2" fontId="34" fillId="38" borderId="8" xfId="0" quotePrefix="1" applyNumberFormat="1" applyFont="1" applyFill="1" applyBorder="1" applyAlignment="1" applyProtection="1">
      <alignment horizontal="center"/>
      <protection locked="0"/>
    </xf>
    <xf numFmtId="1" fontId="34" fillId="38" borderId="8" xfId="0" quotePrefix="1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2" borderId="0" xfId="0" applyFont="1" applyFill="1" applyAlignment="1" applyProtection="1">
      <alignment horizontal="center" vertical="center"/>
      <protection locked="0"/>
    </xf>
    <xf numFmtId="9" fontId="6" fillId="2" borderId="0" xfId="0" applyNumberFormat="1" applyFont="1" applyFill="1" applyProtection="1">
      <protection locked="0"/>
    </xf>
    <xf numFmtId="0" fontId="59" fillId="2" borderId="4" xfId="0" applyFont="1" applyFill="1" applyBorder="1" applyAlignment="1" applyProtection="1">
      <alignment horizontal="center" vertical="center"/>
      <protection locked="0"/>
    </xf>
    <xf numFmtId="0" fontId="34" fillId="39" borderId="3" xfId="0" applyFont="1" applyFill="1" applyBorder="1" applyAlignment="1" applyProtection="1">
      <alignment horizontal="center"/>
      <protection locked="0"/>
    </xf>
    <xf numFmtId="0" fontId="34" fillId="39" borderId="8" xfId="0" applyFont="1" applyFill="1" applyBorder="1" applyAlignment="1" applyProtection="1">
      <alignment horizontal="center"/>
      <protection locked="0"/>
    </xf>
    <xf numFmtId="0" fontId="6" fillId="39" borderId="8" xfId="0" applyFont="1" applyFill="1" applyBorder="1" applyAlignment="1" applyProtection="1">
      <alignment horizontal="center" wrapText="1"/>
      <protection locked="0"/>
    </xf>
    <xf numFmtId="176" fontId="8" fillId="40" borderId="4" xfId="0" applyNumberFormat="1" applyFont="1" applyFill="1" applyBorder="1" applyAlignment="1" applyProtection="1">
      <alignment horizontal="center"/>
      <protection locked="0"/>
    </xf>
    <xf numFmtId="181" fontId="6" fillId="40" borderId="4" xfId="7" applyNumberFormat="1" applyFont="1" applyFill="1" applyBorder="1" applyAlignment="1" applyProtection="1">
      <alignment horizontal="center" wrapText="1"/>
      <protection locked="0"/>
    </xf>
    <xf numFmtId="176" fontId="6" fillId="40" borderId="4" xfId="7" applyNumberFormat="1" applyFont="1" applyFill="1" applyBorder="1" applyAlignment="1" applyProtection="1">
      <alignment horizontal="center" wrapText="1"/>
      <protection locked="0"/>
    </xf>
    <xf numFmtId="181" fontId="0" fillId="0" borderId="4" xfId="0" applyNumberFormat="1" applyBorder="1" applyAlignment="1">
      <alignment horizontal="center" vertical="center"/>
    </xf>
    <xf numFmtId="182" fontId="0" fillId="0" borderId="4" xfId="2610" applyNumberFormat="1" applyFont="1" applyBorder="1" applyAlignment="1">
      <alignment horizontal="center" vertical="center"/>
    </xf>
    <xf numFmtId="1" fontId="34" fillId="39" borderId="8" xfId="0" quotePrefix="1" applyNumberFormat="1" applyFont="1" applyFill="1" applyBorder="1" applyAlignment="1" applyProtection="1">
      <alignment horizontal="center"/>
      <protection locked="0"/>
    </xf>
    <xf numFmtId="2" fontId="34" fillId="39" borderId="8" xfId="0" quotePrefix="1" applyNumberFormat="1" applyFont="1" applyFill="1" applyBorder="1" applyAlignment="1" applyProtection="1">
      <alignment horizontal="center"/>
      <protection locked="0"/>
    </xf>
    <xf numFmtId="0" fontId="34" fillId="40" borderId="3" xfId="0" applyFont="1" applyFill="1" applyBorder="1" applyAlignment="1" applyProtection="1">
      <alignment horizontal="center"/>
      <protection locked="0"/>
    </xf>
    <xf numFmtId="2" fontId="34" fillId="40" borderId="8" xfId="0" quotePrefix="1" applyNumberFormat="1" applyFont="1" applyFill="1" applyBorder="1" applyAlignment="1" applyProtection="1">
      <alignment horizontal="center"/>
      <protection locked="0"/>
    </xf>
    <xf numFmtId="183" fontId="34" fillId="39" borderId="8" xfId="0" quotePrefix="1" applyNumberFormat="1" applyFont="1" applyFill="1" applyBorder="1" applyAlignment="1" applyProtection="1">
      <alignment horizontal="center"/>
      <protection locked="0"/>
    </xf>
    <xf numFmtId="1" fontId="34" fillId="40" borderId="8" xfId="0" quotePrefix="1" applyNumberFormat="1" applyFont="1" applyFill="1" applyBorder="1" applyAlignment="1" applyProtection="1">
      <alignment horizontal="center"/>
      <protection locked="0"/>
    </xf>
    <xf numFmtId="0" fontId="60" fillId="6" borderId="3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 applyProtection="1">
      <alignment horizontal="center"/>
      <protection locked="0"/>
    </xf>
    <xf numFmtId="176" fontId="34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14" fontId="8" fillId="40" borderId="4" xfId="0" applyNumberFormat="1" applyFont="1" applyFill="1" applyBorder="1" applyProtection="1">
      <protection locked="0"/>
    </xf>
    <xf numFmtId="14" fontId="8" fillId="3" borderId="5" xfId="0" applyNumberFormat="1" applyFont="1" applyFill="1" applyBorder="1"/>
    <xf numFmtId="0" fontId="6" fillId="2" borderId="11" xfId="0" applyFont="1" applyFill="1" applyBorder="1"/>
    <xf numFmtId="0" fontId="8" fillId="40" borderId="4" xfId="0" applyFont="1" applyFill="1" applyBorder="1" applyAlignment="1" applyProtection="1">
      <alignment horizontal="left"/>
      <protection locked="0"/>
    </xf>
    <xf numFmtId="58" fontId="11" fillId="3" borderId="9" xfId="1" applyNumberFormat="1" applyFont="1" applyFill="1" applyBorder="1" applyAlignment="1">
      <alignment wrapText="1"/>
    </xf>
    <xf numFmtId="2" fontId="11" fillId="3" borderId="9" xfId="1" applyNumberFormat="1" applyFont="1" applyFill="1" applyBorder="1" applyAlignment="1">
      <alignment wrapText="1"/>
    </xf>
    <xf numFmtId="0" fontId="32" fillId="0" borderId="9" xfId="1" applyFont="1" applyBorder="1" applyAlignment="1">
      <alignment wrapText="1"/>
    </xf>
    <xf numFmtId="0" fontId="21" fillId="5" borderId="7" xfId="0" applyFont="1" applyFill="1" applyBorder="1" applyAlignment="1">
      <alignment vertical="center"/>
    </xf>
    <xf numFmtId="0" fontId="21" fillId="5" borderId="22" xfId="0" applyFont="1" applyFill="1" applyBorder="1" applyAlignment="1">
      <alignment vertical="center"/>
    </xf>
    <xf numFmtId="58" fontId="11" fillId="3" borderId="3" xfId="1" applyNumberFormat="1" applyFont="1" applyFill="1" applyBorder="1" applyAlignment="1">
      <alignment horizontal="center" vertical="center" wrapText="1"/>
    </xf>
    <xf numFmtId="2" fontId="11" fillId="3" borderId="3" xfId="1" applyNumberFormat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/>
    </xf>
    <xf numFmtId="49" fontId="63" fillId="40" borderId="6" xfId="0" applyNumberFormat="1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horizontal="center" vertical="center" wrapText="1"/>
    </xf>
    <xf numFmtId="176" fontId="6" fillId="40" borderId="4" xfId="0" applyNumberFormat="1" applyFont="1" applyFill="1" applyBorder="1" applyAlignment="1" applyProtection="1">
      <alignment horizontal="center"/>
      <protection locked="0"/>
    </xf>
    <xf numFmtId="49" fontId="6" fillId="40" borderId="7" xfId="7" applyNumberFormat="1" applyFont="1" applyFill="1" applyBorder="1" applyAlignment="1" applyProtection="1">
      <alignment horizontal="center" vertical="center" wrapText="1"/>
      <protection locked="0"/>
    </xf>
    <xf numFmtId="176" fontId="6" fillId="3" borderId="7" xfId="0" applyNumberFormat="1" applyFont="1" applyFill="1" applyBorder="1" applyAlignment="1">
      <alignment horizontal="center"/>
    </xf>
    <xf numFmtId="176" fontId="6" fillId="2" borderId="4" xfId="7" applyNumberFormat="1" applyFont="1" applyFill="1" applyBorder="1" applyAlignment="1">
      <alignment horizontal="center"/>
    </xf>
    <xf numFmtId="0" fontId="11" fillId="2" borderId="4" xfId="7" applyFont="1" applyFill="1" applyBorder="1" applyAlignment="1">
      <alignment horizontal="center"/>
    </xf>
    <xf numFmtId="0" fontId="11" fillId="0" borderId="4" xfId="7" applyFont="1" applyBorder="1" applyAlignment="1">
      <alignment horizontal="left"/>
    </xf>
    <xf numFmtId="0" fontId="11" fillId="3" borderId="0" xfId="7" applyFont="1" applyFill="1" applyAlignment="1">
      <alignment horizontal="center"/>
    </xf>
    <xf numFmtId="0" fontId="11" fillId="3" borderId="12" xfId="7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176" fontId="64" fillId="0" borderId="4" xfId="0" applyNumberFormat="1" applyFont="1" applyBorder="1" applyAlignment="1">
      <alignment horizontal="center"/>
    </xf>
    <xf numFmtId="178" fontId="6" fillId="2" borderId="1" xfId="2" applyNumberFormat="1" applyFont="1" applyFill="1" applyBorder="1" applyAlignment="1" applyProtection="1">
      <alignment horizontal="center"/>
    </xf>
    <xf numFmtId="0" fontId="30" fillId="6" borderId="0" xfId="0" applyFont="1" applyFill="1"/>
    <xf numFmtId="0" fontId="65" fillId="6" borderId="5" xfId="0" applyFont="1" applyFill="1" applyBorder="1"/>
    <xf numFmtId="49" fontId="63" fillId="40" borderId="6" xfId="0" quotePrefix="1" applyNumberFormat="1" applyFont="1" applyFill="1" applyBorder="1" applyAlignment="1">
      <alignment horizontal="center" vertical="center" wrapText="1"/>
    </xf>
    <xf numFmtId="176" fontId="6" fillId="40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68" fillId="3" borderId="0" xfId="0" applyFont="1" applyFill="1"/>
    <xf numFmtId="9" fontId="68" fillId="3" borderId="0" xfId="0" applyNumberFormat="1" applyFont="1" applyFill="1"/>
    <xf numFmtId="0" fontId="71" fillId="2" borderId="0" xfId="0" applyFont="1" applyFill="1" applyAlignment="1" applyProtection="1">
      <alignment horizontal="center" vertical="center"/>
      <protection locked="0"/>
    </xf>
    <xf numFmtId="0" fontId="72" fillId="2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0" fontId="74" fillId="0" borderId="0" xfId="0" applyFont="1" applyAlignment="1" applyProtection="1">
      <alignment horizontal="center" vertical="center"/>
      <protection locked="0"/>
    </xf>
    <xf numFmtId="0" fontId="75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36" fillId="0" borderId="29" xfId="0" applyFont="1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21" fillId="3" borderId="0" xfId="0" applyFont="1" applyFill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4" fontId="8" fillId="40" borderId="1" xfId="0" quotePrefix="1" applyNumberFormat="1" applyFont="1" applyFill="1" applyBorder="1" applyAlignment="1" applyProtection="1">
      <alignment horizontal="left"/>
      <protection locked="0"/>
    </xf>
    <xf numFmtId="14" fontId="8" fillId="40" borderId="6" xfId="0" applyNumberFormat="1" applyFont="1" applyFill="1" applyBorder="1" applyAlignment="1" applyProtection="1">
      <alignment horizontal="left"/>
      <protection locked="0"/>
    </xf>
    <xf numFmtId="14" fontId="8" fillId="40" borderId="2" xfId="0" applyNumberFormat="1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14" fontId="69" fillId="40" borderId="1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4" fontId="8" fillId="40" borderId="1" xfId="0" applyNumberFormat="1" applyFont="1" applyFill="1" applyBorder="1" applyAlignment="1" applyProtection="1">
      <alignment horizontal="left"/>
      <protection locked="0"/>
    </xf>
    <xf numFmtId="0" fontId="6" fillId="4" borderId="1" xfId="0" quotePrefix="1" applyFont="1" applyFill="1" applyBorder="1" applyAlignment="1">
      <alignment horizontal="left"/>
    </xf>
    <xf numFmtId="0" fontId="21" fillId="5" borderId="11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 applyProtection="1">
      <alignment horizontal="left"/>
      <protection locked="0"/>
    </xf>
    <xf numFmtId="14" fontId="8" fillId="4" borderId="6" xfId="0" applyNumberFormat="1" applyFont="1" applyFill="1" applyBorder="1" applyAlignment="1" applyProtection="1">
      <alignment horizontal="left"/>
      <protection locked="0"/>
    </xf>
    <xf numFmtId="14" fontId="8" fillId="4" borderId="2" xfId="0" applyNumberFormat="1" applyFont="1" applyFill="1" applyBorder="1" applyAlignment="1" applyProtection="1">
      <alignment horizontal="left"/>
      <protection locked="0"/>
    </xf>
    <xf numFmtId="14" fontId="57" fillId="4" borderId="1" xfId="0" quotePrefix="1" applyNumberFormat="1" applyFont="1" applyFill="1" applyBorder="1" applyAlignment="1" applyProtection="1">
      <alignment horizontal="left"/>
      <protection locked="0"/>
    </xf>
    <xf numFmtId="14" fontId="57" fillId="4" borderId="6" xfId="0" applyNumberFormat="1" applyFont="1" applyFill="1" applyBorder="1" applyAlignment="1" applyProtection="1">
      <alignment horizontal="left"/>
      <protection locked="0"/>
    </xf>
    <xf numFmtId="14" fontId="57" fillId="4" borderId="2" xfId="0" applyNumberFormat="1" applyFont="1" applyFill="1" applyBorder="1" applyAlignment="1" applyProtection="1">
      <alignment horizontal="left"/>
      <protection locked="0"/>
    </xf>
    <xf numFmtId="0" fontId="60" fillId="6" borderId="9" xfId="0" applyFont="1" applyFill="1" applyBorder="1" applyAlignment="1">
      <alignment horizontal="center" vertical="center" wrapText="1"/>
    </xf>
    <xf numFmtId="0" fontId="60" fillId="6" borderId="5" xfId="0" applyFont="1" applyFill="1" applyBorder="1" applyAlignment="1">
      <alignment horizontal="center" vertical="center" wrapText="1"/>
    </xf>
    <xf numFmtId="0" fontId="60" fillId="6" borderId="9" xfId="0" applyFont="1" applyFill="1" applyBorder="1" applyAlignment="1">
      <alignment horizontal="center" vertical="center"/>
    </xf>
    <xf numFmtId="0" fontId="60" fillId="6" borderId="5" xfId="0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 vertical="center"/>
    </xf>
    <xf numFmtId="14" fontId="39" fillId="4" borderId="1" xfId="0" quotePrefix="1" applyNumberFormat="1" applyFont="1" applyFill="1" applyBorder="1" applyAlignment="1" applyProtection="1">
      <alignment horizontal="left"/>
      <protection locked="0"/>
    </xf>
    <xf numFmtId="0" fontId="11" fillId="2" borderId="24" xfId="1" applyFont="1" applyFill="1" applyBorder="1" applyAlignment="1">
      <alignment horizontal="center" vertical="center"/>
    </xf>
    <xf numFmtId="0" fontId="11" fillId="2" borderId="25" xfId="1" applyFont="1" applyFill="1" applyBorder="1" applyAlignment="1">
      <alignment horizontal="center" vertical="center"/>
    </xf>
    <xf numFmtId="0" fontId="58" fillId="2" borderId="4" xfId="0" applyFont="1" applyFill="1" applyBorder="1" applyAlignment="1" applyProtection="1">
      <alignment horizontal="center" vertical="center"/>
      <protection locked="0"/>
    </xf>
    <xf numFmtId="14" fontId="8" fillId="4" borderId="1" xfId="0" quotePrefix="1" applyNumberFormat="1" applyFont="1" applyFill="1" applyBorder="1" applyAlignment="1" applyProtection="1">
      <alignment horizontal="left"/>
      <protection locked="0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</cellXfs>
  <cellStyles count="2611">
    <cellStyle name="___CPK__" xfId="40" xr:uid="{00000000-0005-0000-0000-000000000000}"/>
    <cellStyle name="20% - 강조색1" xfId="2524" builtinId="30" customBuiltin="1"/>
    <cellStyle name="20% - 강조색1 2" xfId="2551" xr:uid="{00000000-0005-0000-0000-000002000000}"/>
    <cellStyle name="20% - 강조색1 3" xfId="2572" xr:uid="{00000000-0005-0000-0000-000003000000}"/>
    <cellStyle name="20% - 강조색1 4" xfId="2592" xr:uid="{00000000-0005-0000-0000-000004000000}"/>
    <cellStyle name="20% - 강조색2" xfId="2528" builtinId="34" customBuiltin="1"/>
    <cellStyle name="20% - 강조색2 2" xfId="2554" xr:uid="{00000000-0005-0000-0000-000006000000}"/>
    <cellStyle name="20% - 강조색2 3" xfId="2575" xr:uid="{00000000-0005-0000-0000-000007000000}"/>
    <cellStyle name="20% - 강조색2 4" xfId="2595" xr:uid="{00000000-0005-0000-0000-000008000000}"/>
    <cellStyle name="20% - 강조색3" xfId="2532" builtinId="38" customBuiltin="1"/>
    <cellStyle name="20% - 강조색3 2" xfId="2557" xr:uid="{00000000-0005-0000-0000-00000A000000}"/>
    <cellStyle name="20% - 강조색3 3" xfId="2578" xr:uid="{00000000-0005-0000-0000-00000B000000}"/>
    <cellStyle name="20% - 강조색3 4" xfId="2598" xr:uid="{00000000-0005-0000-0000-00000C000000}"/>
    <cellStyle name="20% - 강조색4" xfId="2536" builtinId="42" customBuiltin="1"/>
    <cellStyle name="20% - 강조색4 2" xfId="2560" xr:uid="{00000000-0005-0000-0000-00000E000000}"/>
    <cellStyle name="20% - 강조색4 3" xfId="2581" xr:uid="{00000000-0005-0000-0000-00000F000000}"/>
    <cellStyle name="20% - 강조색4 4" xfId="2601" xr:uid="{00000000-0005-0000-0000-000010000000}"/>
    <cellStyle name="20% - 강조색5" xfId="2540" builtinId="46" customBuiltin="1"/>
    <cellStyle name="20% - 강조색5 2" xfId="2563" xr:uid="{00000000-0005-0000-0000-000012000000}"/>
    <cellStyle name="20% - 강조색5 3" xfId="2584" xr:uid="{00000000-0005-0000-0000-000013000000}"/>
    <cellStyle name="20% - 강조색5 4" xfId="2604" xr:uid="{00000000-0005-0000-0000-000014000000}"/>
    <cellStyle name="20% - 강조색6" xfId="2544" builtinId="50" customBuiltin="1"/>
    <cellStyle name="20% - 강조색6 2" xfId="2566" xr:uid="{00000000-0005-0000-0000-000016000000}"/>
    <cellStyle name="20% - 강조색6 3" xfId="2587" xr:uid="{00000000-0005-0000-0000-000017000000}"/>
    <cellStyle name="20% - 강조색6 4" xfId="2607" xr:uid="{00000000-0005-0000-0000-000018000000}"/>
    <cellStyle name="40% - 강조색1" xfId="2525" builtinId="31" customBuiltin="1"/>
    <cellStyle name="40% - 강조색1 2" xfId="2552" xr:uid="{00000000-0005-0000-0000-00001A000000}"/>
    <cellStyle name="40% - 강조색1 3" xfId="2573" xr:uid="{00000000-0005-0000-0000-00001B000000}"/>
    <cellStyle name="40% - 강조색1 4" xfId="2593" xr:uid="{00000000-0005-0000-0000-00001C000000}"/>
    <cellStyle name="40% - 강조색2" xfId="2529" builtinId="35" customBuiltin="1"/>
    <cellStyle name="40% - 강조색2 2" xfId="2555" xr:uid="{00000000-0005-0000-0000-00001E000000}"/>
    <cellStyle name="40% - 강조색2 3" xfId="2576" xr:uid="{00000000-0005-0000-0000-00001F000000}"/>
    <cellStyle name="40% - 강조색2 4" xfId="2596" xr:uid="{00000000-0005-0000-0000-000020000000}"/>
    <cellStyle name="40% - 강조색3" xfId="2533" builtinId="39" customBuiltin="1"/>
    <cellStyle name="40% - 강조색3 2" xfId="2558" xr:uid="{00000000-0005-0000-0000-000022000000}"/>
    <cellStyle name="40% - 강조색3 3" xfId="2579" xr:uid="{00000000-0005-0000-0000-000023000000}"/>
    <cellStyle name="40% - 강조색3 4" xfId="2599" xr:uid="{00000000-0005-0000-0000-000024000000}"/>
    <cellStyle name="40% - 강조색4" xfId="2537" builtinId="43" customBuiltin="1"/>
    <cellStyle name="40% - 강조색4 2" xfId="2561" xr:uid="{00000000-0005-0000-0000-000026000000}"/>
    <cellStyle name="40% - 강조색4 3" xfId="2582" xr:uid="{00000000-0005-0000-0000-000027000000}"/>
    <cellStyle name="40% - 강조색4 4" xfId="2602" xr:uid="{00000000-0005-0000-0000-000028000000}"/>
    <cellStyle name="40% - 강조색5" xfId="2541" builtinId="47" customBuiltin="1"/>
    <cellStyle name="40% - 강조색5 2" xfId="2564" xr:uid="{00000000-0005-0000-0000-00002A000000}"/>
    <cellStyle name="40% - 강조색5 3" xfId="2585" xr:uid="{00000000-0005-0000-0000-00002B000000}"/>
    <cellStyle name="40% - 강조색5 4" xfId="2605" xr:uid="{00000000-0005-0000-0000-00002C000000}"/>
    <cellStyle name="40% - 강조색6" xfId="2545" builtinId="51" customBuiltin="1"/>
    <cellStyle name="40% - 강조색6 2" xfId="2567" xr:uid="{00000000-0005-0000-0000-00002E000000}"/>
    <cellStyle name="40% - 강조색6 3" xfId="2588" xr:uid="{00000000-0005-0000-0000-00002F000000}"/>
    <cellStyle name="40% - 강조색6 4" xfId="2608" xr:uid="{00000000-0005-0000-0000-000030000000}"/>
    <cellStyle name="60% - 강조색1" xfId="2526" builtinId="32" customBuiltin="1"/>
    <cellStyle name="60% - 강조색1 2" xfId="2553" xr:uid="{00000000-0005-0000-0000-000032000000}"/>
    <cellStyle name="60% - 강조색1 3" xfId="2574" xr:uid="{00000000-0005-0000-0000-000033000000}"/>
    <cellStyle name="60% - 강조색1 4" xfId="2594" xr:uid="{00000000-0005-0000-0000-000034000000}"/>
    <cellStyle name="60% - 강조색2" xfId="2530" builtinId="36" customBuiltin="1"/>
    <cellStyle name="60% - 강조색2 2" xfId="2556" xr:uid="{00000000-0005-0000-0000-000036000000}"/>
    <cellStyle name="60% - 강조색2 3" xfId="2577" xr:uid="{00000000-0005-0000-0000-000037000000}"/>
    <cellStyle name="60% - 강조색2 4" xfId="2597" xr:uid="{00000000-0005-0000-0000-000038000000}"/>
    <cellStyle name="60% - 강조색3" xfId="2534" builtinId="40" customBuiltin="1"/>
    <cellStyle name="60% - 강조색3 2" xfId="2559" xr:uid="{00000000-0005-0000-0000-00003A000000}"/>
    <cellStyle name="60% - 강조색3 3" xfId="2580" xr:uid="{00000000-0005-0000-0000-00003B000000}"/>
    <cellStyle name="60% - 강조색3 4" xfId="2600" xr:uid="{00000000-0005-0000-0000-00003C000000}"/>
    <cellStyle name="60% - 강조색4" xfId="2538" builtinId="44" customBuiltin="1"/>
    <cellStyle name="60% - 강조색4 2" xfId="2562" xr:uid="{00000000-0005-0000-0000-00003E000000}"/>
    <cellStyle name="60% - 강조색4 3" xfId="2583" xr:uid="{00000000-0005-0000-0000-00003F000000}"/>
    <cellStyle name="60% - 강조색4 4" xfId="2603" xr:uid="{00000000-0005-0000-0000-000040000000}"/>
    <cellStyle name="60% - 강조색5" xfId="2542" builtinId="48" customBuiltin="1"/>
    <cellStyle name="60% - 강조색5 2" xfId="2565" xr:uid="{00000000-0005-0000-0000-000042000000}"/>
    <cellStyle name="60% - 강조색5 3" xfId="2586" xr:uid="{00000000-0005-0000-0000-000043000000}"/>
    <cellStyle name="60% - 강조색5 4" xfId="2606" xr:uid="{00000000-0005-0000-0000-000044000000}"/>
    <cellStyle name="60% - 강조색6" xfId="2546" builtinId="52" customBuiltin="1"/>
    <cellStyle name="60% - 강조색6 2" xfId="2568" xr:uid="{00000000-0005-0000-0000-000046000000}"/>
    <cellStyle name="60% - 강조색6 3" xfId="2589" xr:uid="{00000000-0005-0000-0000-000047000000}"/>
    <cellStyle name="60% - 강조색6 4" xfId="2609" xr:uid="{00000000-0005-0000-0000-000048000000}"/>
    <cellStyle name="Calc Percent (0)" xfId="41" xr:uid="{00000000-0005-0000-0000-000049000000}"/>
    <cellStyle name="Enter Currency (0)" xfId="42" xr:uid="{00000000-0005-0000-0000-00004A000000}"/>
    <cellStyle name="Header1" xfId="43" xr:uid="{00000000-0005-0000-0000-00004B000000}"/>
    <cellStyle name="Header2" xfId="44" xr:uid="{00000000-0005-0000-0000-00004C000000}"/>
    <cellStyle name="Link Currency (0)" xfId="45" xr:uid="{00000000-0005-0000-0000-00004D000000}"/>
    <cellStyle name="Normal 2" xfId="38" xr:uid="{00000000-0005-0000-0000-00004E000000}"/>
    <cellStyle name="Normal 2 2" xfId="46" xr:uid="{00000000-0005-0000-0000-00004F000000}"/>
    <cellStyle name="Normal_Capability Study - IPEG EVT1 0713a.xls" xfId="7" xr:uid="{00000000-0005-0000-0000-000050000000}"/>
    <cellStyle name="Percent 2" xfId="39" xr:uid="{00000000-0005-0000-0000-000051000000}"/>
    <cellStyle name="PrePop Currency (0)" xfId="47" xr:uid="{00000000-0005-0000-0000-000052000000}"/>
    <cellStyle name="Text Indent A" xfId="48" xr:uid="{00000000-0005-0000-0000-000053000000}"/>
    <cellStyle name="Text Indent B" xfId="49" xr:uid="{00000000-0005-0000-0000-000054000000}"/>
    <cellStyle name="강조색1" xfId="2523" builtinId="29" customBuiltin="1"/>
    <cellStyle name="강조색2" xfId="2527" builtinId="33" customBuiltin="1"/>
    <cellStyle name="강조색3" xfId="2531" builtinId="37" customBuiltin="1"/>
    <cellStyle name="강조색4" xfId="2535" builtinId="41" customBuiltin="1"/>
    <cellStyle name="강조색5" xfId="2539" builtinId="45" customBuiltin="1"/>
    <cellStyle name="강조색6" xfId="2543" builtinId="49" customBuiltin="1"/>
    <cellStyle name="경고문" xfId="2520" builtinId="11" customBuiltin="1"/>
    <cellStyle name="계산" xfId="2517" builtinId="22" customBuiltin="1"/>
    <cellStyle name="나쁨" xfId="2513" builtinId="27" customBuiltin="1"/>
    <cellStyle name="메모 2" xfId="2548" xr:uid="{00000000-0005-0000-0000-00005E000000}"/>
    <cellStyle name="메모 3" xfId="2550" xr:uid="{00000000-0005-0000-0000-00005F000000}"/>
    <cellStyle name="메모 4" xfId="2571" xr:uid="{00000000-0005-0000-0000-000060000000}"/>
    <cellStyle name="메모 5" xfId="2591" xr:uid="{00000000-0005-0000-0000-000061000000}"/>
    <cellStyle name="백분율" xfId="2" builtinId="5"/>
    <cellStyle name="보통" xfId="2514" builtinId="28" customBuiltin="1"/>
    <cellStyle name="常规 2" xfId="2569" xr:uid="{00000000-0005-0000-0000-000064000000}"/>
    <cellStyle name="常规_8364B 2009415" xfId="1" xr:uid="{00000000-0005-0000-0000-000065000000}"/>
    <cellStyle name="설명 텍스트" xfId="2521" builtinId="53" customBuiltin="1"/>
    <cellStyle name="셀 확인" xfId="2519" builtinId="23" customBuiltin="1"/>
    <cellStyle name="쉼표 [0]" xfId="2610" builtinId="6"/>
    <cellStyle name="연결된 셀" xfId="2518" builtinId="24" customBuiltin="1"/>
    <cellStyle name="열어 본 하이퍼링크" xfId="4" builtinId="9" hidden="1"/>
    <cellStyle name="열어 본 하이퍼링크" xfId="6" builtinId="9" hidden="1"/>
    <cellStyle name="열어 본 하이퍼링크" xfId="9" builtinId="9" hidden="1"/>
    <cellStyle name="열어 본 하이퍼링크" xfId="11" builtinId="9" hidden="1"/>
    <cellStyle name="열어 본 하이퍼링크" xfId="13" builtinId="9" hidden="1"/>
    <cellStyle name="열어 본 하이퍼링크" xfId="15" builtinId="9" hidden="1"/>
    <cellStyle name="열어 본 하이퍼링크" xfId="17" builtinId="9" hidden="1"/>
    <cellStyle name="열어 본 하이퍼링크" xfId="19" builtinId="9" hidden="1"/>
    <cellStyle name="열어 본 하이퍼링크" xfId="21" builtinId="9" hidden="1"/>
    <cellStyle name="열어 본 하이퍼링크" xfId="23" builtinId="9" hidden="1"/>
    <cellStyle name="열어 본 하이퍼링크" xfId="25" builtinId="9" hidden="1"/>
    <cellStyle name="열어 본 하이퍼링크" xfId="27" builtinId="9" hidden="1"/>
    <cellStyle name="열어 본 하이퍼링크" xfId="29" builtinId="9" hidden="1"/>
    <cellStyle name="열어 본 하이퍼링크" xfId="31" builtinId="9" hidden="1"/>
    <cellStyle name="열어 본 하이퍼링크" xfId="33" builtinId="9" hidden="1"/>
    <cellStyle name="열어 본 하이퍼링크" xfId="35" builtinId="9" hidden="1"/>
    <cellStyle name="열어 본 하이퍼링크" xfId="37" builtinId="9" hidden="1"/>
    <cellStyle name="열어 본 하이퍼링크" xfId="51" builtinId="9" hidden="1"/>
    <cellStyle name="열어 본 하이퍼링크" xfId="53" builtinId="9" hidden="1"/>
    <cellStyle name="열어 본 하이퍼링크" xfId="55" builtinId="9" hidden="1"/>
    <cellStyle name="열어 본 하이퍼링크" xfId="57" builtinId="9" hidden="1"/>
    <cellStyle name="열어 본 하이퍼링크" xfId="59" builtinId="9" hidden="1"/>
    <cellStyle name="열어 본 하이퍼링크" xfId="61" builtinId="9" hidden="1"/>
    <cellStyle name="열어 본 하이퍼링크" xfId="63" builtinId="9" hidden="1"/>
    <cellStyle name="열어 본 하이퍼링크" xfId="65" builtinId="9" hidden="1"/>
    <cellStyle name="열어 본 하이퍼링크" xfId="67" builtinId="9" hidden="1"/>
    <cellStyle name="열어 본 하이퍼링크" xfId="69" builtinId="9" hidden="1"/>
    <cellStyle name="열어 본 하이퍼링크" xfId="71" builtinId="9" hidden="1"/>
    <cellStyle name="열어 본 하이퍼링크" xfId="73" builtinId="9" hidden="1"/>
    <cellStyle name="열어 본 하이퍼링크" xfId="75" builtinId="9" hidden="1"/>
    <cellStyle name="열어 본 하이퍼링크" xfId="77" builtinId="9" hidden="1"/>
    <cellStyle name="열어 본 하이퍼링크" xfId="79" builtinId="9" hidden="1"/>
    <cellStyle name="열어 본 하이퍼링크" xfId="81" builtinId="9" hidden="1"/>
    <cellStyle name="열어 본 하이퍼링크" xfId="83" builtinId="9" hidden="1"/>
    <cellStyle name="열어 본 하이퍼링크" xfId="85" builtinId="9" hidden="1"/>
    <cellStyle name="열어 본 하이퍼링크" xfId="87" builtinId="9" hidden="1"/>
    <cellStyle name="열어 본 하이퍼링크" xfId="89" builtinId="9" hidden="1"/>
    <cellStyle name="열어 본 하이퍼링크" xfId="91" builtinId="9" hidden="1"/>
    <cellStyle name="열어 본 하이퍼링크" xfId="93" builtinId="9" hidden="1"/>
    <cellStyle name="열어 본 하이퍼링크" xfId="95" builtinId="9" hidden="1"/>
    <cellStyle name="열어 본 하이퍼링크" xfId="97" builtinId="9" hidden="1"/>
    <cellStyle name="열어 본 하이퍼링크" xfId="99" builtinId="9" hidden="1"/>
    <cellStyle name="열어 본 하이퍼링크" xfId="101" builtinId="9" hidden="1"/>
    <cellStyle name="열어 본 하이퍼링크" xfId="103" builtinId="9" hidden="1"/>
    <cellStyle name="열어 본 하이퍼링크" xfId="105" builtinId="9" hidden="1"/>
    <cellStyle name="열어 본 하이퍼링크" xfId="107" builtinId="9" hidden="1"/>
    <cellStyle name="열어 본 하이퍼링크" xfId="109" builtinId="9" hidden="1"/>
    <cellStyle name="열어 본 하이퍼링크" xfId="111" builtinId="9" hidden="1"/>
    <cellStyle name="열어 본 하이퍼링크" xfId="113" builtinId="9" hidden="1"/>
    <cellStyle name="열어 본 하이퍼링크" xfId="115" builtinId="9" hidden="1"/>
    <cellStyle name="열어 본 하이퍼링크" xfId="117" builtinId="9" hidden="1"/>
    <cellStyle name="열어 본 하이퍼링크" xfId="119" builtinId="9" hidden="1"/>
    <cellStyle name="열어 본 하이퍼링크" xfId="121" builtinId="9" hidden="1"/>
    <cellStyle name="열어 본 하이퍼링크" xfId="123" builtinId="9" hidden="1"/>
    <cellStyle name="열어 본 하이퍼링크" xfId="125" builtinId="9" hidden="1"/>
    <cellStyle name="열어 본 하이퍼링크" xfId="127" builtinId="9" hidden="1"/>
    <cellStyle name="열어 본 하이퍼링크" xfId="129" builtinId="9" hidden="1"/>
    <cellStyle name="열어 본 하이퍼링크" xfId="131" builtinId="9" hidden="1"/>
    <cellStyle name="열어 본 하이퍼링크" xfId="133" builtinId="9" hidden="1"/>
    <cellStyle name="열어 본 하이퍼링크" xfId="135" builtinId="9" hidden="1"/>
    <cellStyle name="열어 본 하이퍼링크" xfId="137" builtinId="9" hidden="1"/>
    <cellStyle name="열어 본 하이퍼링크" xfId="139" builtinId="9" hidden="1"/>
    <cellStyle name="열어 본 하이퍼링크" xfId="141" builtinId="9" hidden="1"/>
    <cellStyle name="열어 본 하이퍼링크" xfId="143" builtinId="9" hidden="1"/>
    <cellStyle name="열어 본 하이퍼링크" xfId="145" builtinId="9" hidden="1"/>
    <cellStyle name="열어 본 하이퍼링크" xfId="147" builtinId="9" hidden="1"/>
    <cellStyle name="열어 본 하이퍼링크" xfId="149" builtinId="9" hidden="1"/>
    <cellStyle name="열어 본 하이퍼링크" xfId="151" builtinId="9" hidden="1"/>
    <cellStyle name="열어 본 하이퍼링크" xfId="153" builtinId="9" hidden="1"/>
    <cellStyle name="열어 본 하이퍼링크" xfId="155" builtinId="9" hidden="1"/>
    <cellStyle name="열어 본 하이퍼링크" xfId="157" builtinId="9" hidden="1"/>
    <cellStyle name="열어 본 하이퍼링크" xfId="159" builtinId="9" hidden="1"/>
    <cellStyle name="열어 본 하이퍼링크" xfId="161" builtinId="9" hidden="1"/>
    <cellStyle name="열어 본 하이퍼링크" xfId="163" builtinId="9" hidden="1"/>
    <cellStyle name="열어 본 하이퍼링크" xfId="165" builtinId="9" hidden="1"/>
    <cellStyle name="열어 본 하이퍼링크" xfId="167" builtinId="9" hidden="1"/>
    <cellStyle name="열어 본 하이퍼링크" xfId="169" builtinId="9" hidden="1"/>
    <cellStyle name="열어 본 하이퍼링크" xfId="171" builtinId="9" hidden="1"/>
    <cellStyle name="열어 본 하이퍼링크" xfId="173" builtinId="9" hidden="1"/>
    <cellStyle name="열어 본 하이퍼링크" xfId="175" builtinId="9" hidden="1"/>
    <cellStyle name="열어 본 하이퍼링크" xfId="177" builtinId="9" hidden="1"/>
    <cellStyle name="열어 본 하이퍼링크" xfId="179" builtinId="9" hidden="1"/>
    <cellStyle name="열어 본 하이퍼링크" xfId="181" builtinId="9" hidden="1"/>
    <cellStyle name="열어 본 하이퍼링크" xfId="183" builtinId="9" hidden="1"/>
    <cellStyle name="열어 본 하이퍼링크" xfId="185" builtinId="9" hidden="1"/>
    <cellStyle name="열어 본 하이퍼링크" xfId="187" builtinId="9" hidden="1"/>
    <cellStyle name="열어 본 하이퍼링크" xfId="189" builtinId="9" hidden="1"/>
    <cellStyle name="열어 본 하이퍼링크" xfId="191" builtinId="9" hidden="1"/>
    <cellStyle name="열어 본 하이퍼링크" xfId="193" builtinId="9" hidden="1"/>
    <cellStyle name="열어 본 하이퍼링크" xfId="195" builtinId="9" hidden="1"/>
    <cellStyle name="열어 본 하이퍼링크" xfId="197" builtinId="9" hidden="1"/>
    <cellStyle name="열어 본 하이퍼링크" xfId="199" builtinId="9" hidden="1"/>
    <cellStyle name="열어 본 하이퍼링크" xfId="201" builtinId="9" hidden="1"/>
    <cellStyle name="열어 본 하이퍼링크" xfId="203" builtinId="9" hidden="1"/>
    <cellStyle name="열어 본 하이퍼링크" xfId="205" builtinId="9" hidden="1"/>
    <cellStyle name="열어 본 하이퍼링크" xfId="207" builtinId="9" hidden="1"/>
    <cellStyle name="열어 본 하이퍼링크" xfId="209" builtinId="9" hidden="1"/>
    <cellStyle name="열어 본 하이퍼링크" xfId="211" builtinId="9" hidden="1"/>
    <cellStyle name="열어 본 하이퍼링크" xfId="213" builtinId="9" hidden="1"/>
    <cellStyle name="열어 본 하이퍼링크" xfId="215" builtinId="9" hidden="1"/>
    <cellStyle name="열어 본 하이퍼링크" xfId="217" builtinId="9" hidden="1"/>
    <cellStyle name="열어 본 하이퍼링크" xfId="219" builtinId="9" hidden="1"/>
    <cellStyle name="열어 본 하이퍼링크" xfId="221" builtinId="9" hidden="1"/>
    <cellStyle name="열어 본 하이퍼링크" xfId="223" builtinId="9" hidden="1"/>
    <cellStyle name="열어 본 하이퍼링크" xfId="225" builtinId="9" hidden="1"/>
    <cellStyle name="열어 본 하이퍼링크" xfId="227" builtinId="9" hidden="1"/>
    <cellStyle name="열어 본 하이퍼링크" xfId="229" builtinId="9" hidden="1"/>
    <cellStyle name="열어 본 하이퍼링크" xfId="231" builtinId="9" hidden="1"/>
    <cellStyle name="열어 본 하이퍼링크" xfId="233" builtinId="9" hidden="1"/>
    <cellStyle name="열어 본 하이퍼링크" xfId="235" builtinId="9" hidden="1"/>
    <cellStyle name="열어 본 하이퍼링크" xfId="237" builtinId="9" hidden="1"/>
    <cellStyle name="열어 본 하이퍼링크" xfId="239" builtinId="9" hidden="1"/>
    <cellStyle name="열어 본 하이퍼링크" xfId="241" builtinId="9" hidden="1"/>
    <cellStyle name="열어 본 하이퍼링크" xfId="243" builtinId="9" hidden="1"/>
    <cellStyle name="열어 본 하이퍼링크" xfId="245" builtinId="9" hidden="1"/>
    <cellStyle name="열어 본 하이퍼링크" xfId="247" builtinId="9" hidden="1"/>
    <cellStyle name="열어 본 하이퍼링크" xfId="249" builtinId="9" hidden="1"/>
    <cellStyle name="열어 본 하이퍼링크" xfId="251" builtinId="9" hidden="1"/>
    <cellStyle name="열어 본 하이퍼링크" xfId="253" builtinId="9" hidden="1"/>
    <cellStyle name="열어 본 하이퍼링크" xfId="255" builtinId="9" hidden="1"/>
    <cellStyle name="열어 본 하이퍼링크" xfId="257" builtinId="9" hidden="1"/>
    <cellStyle name="열어 본 하이퍼링크" xfId="259" builtinId="9" hidden="1"/>
    <cellStyle name="열어 본 하이퍼링크" xfId="261" builtinId="9" hidden="1"/>
    <cellStyle name="열어 본 하이퍼링크" xfId="263" builtinId="9" hidden="1"/>
    <cellStyle name="열어 본 하이퍼링크" xfId="265" builtinId="9" hidden="1"/>
    <cellStyle name="열어 본 하이퍼링크" xfId="267" builtinId="9" hidden="1"/>
    <cellStyle name="열어 본 하이퍼링크" xfId="269" builtinId="9" hidden="1"/>
    <cellStyle name="열어 본 하이퍼링크" xfId="271" builtinId="9" hidden="1"/>
    <cellStyle name="열어 본 하이퍼링크" xfId="273" builtinId="9" hidden="1"/>
    <cellStyle name="열어 본 하이퍼링크" xfId="275" builtinId="9" hidden="1"/>
    <cellStyle name="열어 본 하이퍼링크" xfId="277" builtinId="9" hidden="1"/>
    <cellStyle name="열어 본 하이퍼링크" xfId="279" builtinId="9" hidden="1"/>
    <cellStyle name="열어 본 하이퍼링크" xfId="281" builtinId="9" hidden="1"/>
    <cellStyle name="열어 본 하이퍼링크" xfId="283" builtinId="9" hidden="1"/>
    <cellStyle name="열어 본 하이퍼링크" xfId="285" builtinId="9" hidden="1"/>
    <cellStyle name="열어 본 하이퍼링크" xfId="287" builtinId="9" hidden="1"/>
    <cellStyle name="열어 본 하이퍼링크" xfId="289" builtinId="9" hidden="1"/>
    <cellStyle name="열어 본 하이퍼링크" xfId="291" builtinId="9" hidden="1"/>
    <cellStyle name="열어 본 하이퍼링크" xfId="293" builtinId="9" hidden="1"/>
    <cellStyle name="열어 본 하이퍼링크" xfId="295" builtinId="9" hidden="1"/>
    <cellStyle name="열어 본 하이퍼링크" xfId="297" builtinId="9" hidden="1"/>
    <cellStyle name="열어 본 하이퍼링크" xfId="299" builtinId="9" hidden="1"/>
    <cellStyle name="열어 본 하이퍼링크" xfId="301" builtinId="9" hidden="1"/>
    <cellStyle name="열어 본 하이퍼링크" xfId="303" builtinId="9" hidden="1"/>
    <cellStyle name="열어 본 하이퍼링크" xfId="305" builtinId="9" hidden="1"/>
    <cellStyle name="열어 본 하이퍼링크" xfId="307" builtinId="9" hidden="1"/>
    <cellStyle name="열어 본 하이퍼링크" xfId="309" builtinId="9" hidden="1"/>
    <cellStyle name="열어 본 하이퍼링크" xfId="311" builtinId="9" hidden="1"/>
    <cellStyle name="열어 본 하이퍼링크" xfId="313" builtinId="9" hidden="1"/>
    <cellStyle name="열어 본 하이퍼링크" xfId="315" builtinId="9" hidden="1"/>
    <cellStyle name="열어 본 하이퍼링크" xfId="317" builtinId="9" hidden="1"/>
    <cellStyle name="열어 본 하이퍼링크" xfId="319" builtinId="9" hidden="1"/>
    <cellStyle name="열어 본 하이퍼링크" xfId="321" builtinId="9" hidden="1"/>
    <cellStyle name="열어 본 하이퍼링크" xfId="323" builtinId="9" hidden="1"/>
    <cellStyle name="열어 본 하이퍼링크" xfId="325" builtinId="9" hidden="1"/>
    <cellStyle name="열어 본 하이퍼링크" xfId="327" builtinId="9" hidden="1"/>
    <cellStyle name="열어 본 하이퍼링크" xfId="329" builtinId="9" hidden="1"/>
    <cellStyle name="열어 본 하이퍼링크" xfId="331" builtinId="9" hidden="1"/>
    <cellStyle name="열어 본 하이퍼링크" xfId="333" builtinId="9" hidden="1"/>
    <cellStyle name="열어 본 하이퍼링크" xfId="335" builtinId="9" hidden="1"/>
    <cellStyle name="열어 본 하이퍼링크" xfId="337" builtinId="9" hidden="1"/>
    <cellStyle name="열어 본 하이퍼링크" xfId="339" builtinId="9" hidden="1"/>
    <cellStyle name="열어 본 하이퍼링크" xfId="341" builtinId="9" hidden="1"/>
    <cellStyle name="열어 본 하이퍼링크" xfId="343" builtinId="9" hidden="1"/>
    <cellStyle name="열어 본 하이퍼링크" xfId="345" builtinId="9" hidden="1"/>
    <cellStyle name="열어 본 하이퍼링크" xfId="347" builtinId="9" hidden="1"/>
    <cellStyle name="열어 본 하이퍼링크" xfId="349" builtinId="9" hidden="1"/>
    <cellStyle name="열어 본 하이퍼링크" xfId="351" builtinId="9" hidden="1"/>
    <cellStyle name="열어 본 하이퍼링크" xfId="353" builtinId="9" hidden="1"/>
    <cellStyle name="열어 본 하이퍼링크" xfId="355" builtinId="9" hidden="1"/>
    <cellStyle name="열어 본 하이퍼링크" xfId="357" builtinId="9" hidden="1"/>
    <cellStyle name="열어 본 하이퍼링크" xfId="359" builtinId="9" hidden="1"/>
    <cellStyle name="열어 본 하이퍼링크" xfId="361" builtinId="9" hidden="1"/>
    <cellStyle name="열어 본 하이퍼링크" xfId="363" builtinId="9" hidden="1"/>
    <cellStyle name="열어 본 하이퍼링크" xfId="365" builtinId="9" hidden="1"/>
    <cellStyle name="열어 본 하이퍼링크" xfId="367" builtinId="9" hidden="1"/>
    <cellStyle name="열어 본 하이퍼링크" xfId="369" builtinId="9" hidden="1"/>
    <cellStyle name="열어 본 하이퍼링크" xfId="371" builtinId="9" hidden="1"/>
    <cellStyle name="열어 본 하이퍼링크" xfId="373" builtinId="9" hidden="1"/>
    <cellStyle name="열어 본 하이퍼링크" xfId="375" builtinId="9" hidden="1"/>
    <cellStyle name="열어 본 하이퍼링크" xfId="377" builtinId="9" hidden="1"/>
    <cellStyle name="열어 본 하이퍼링크" xfId="379" builtinId="9" hidden="1"/>
    <cellStyle name="열어 본 하이퍼링크" xfId="381" builtinId="9" hidden="1"/>
    <cellStyle name="열어 본 하이퍼링크" xfId="383" builtinId="9" hidden="1"/>
    <cellStyle name="열어 본 하이퍼링크" xfId="385" builtinId="9" hidden="1"/>
    <cellStyle name="열어 본 하이퍼링크" xfId="387" builtinId="9" hidden="1"/>
    <cellStyle name="열어 본 하이퍼링크" xfId="389" builtinId="9" hidden="1"/>
    <cellStyle name="열어 본 하이퍼링크" xfId="391" builtinId="9" hidden="1"/>
    <cellStyle name="열어 본 하이퍼링크" xfId="393" builtinId="9" hidden="1"/>
    <cellStyle name="열어 본 하이퍼링크" xfId="395" builtinId="9" hidden="1"/>
    <cellStyle name="열어 본 하이퍼링크" xfId="397" builtinId="9" hidden="1"/>
    <cellStyle name="열어 본 하이퍼링크" xfId="399" builtinId="9" hidden="1"/>
    <cellStyle name="열어 본 하이퍼링크" xfId="401" builtinId="9" hidden="1"/>
    <cellStyle name="열어 본 하이퍼링크" xfId="403" builtinId="9" hidden="1"/>
    <cellStyle name="열어 본 하이퍼링크" xfId="405" builtinId="9" hidden="1"/>
    <cellStyle name="열어 본 하이퍼링크" xfId="407" builtinId="9" hidden="1"/>
    <cellStyle name="열어 본 하이퍼링크" xfId="409" builtinId="9" hidden="1"/>
    <cellStyle name="열어 본 하이퍼링크" xfId="411" builtinId="9" hidden="1"/>
    <cellStyle name="열어 본 하이퍼링크" xfId="413" builtinId="9" hidden="1"/>
    <cellStyle name="열어 본 하이퍼링크" xfId="415" builtinId="9" hidden="1"/>
    <cellStyle name="열어 본 하이퍼링크" xfId="417" builtinId="9" hidden="1"/>
    <cellStyle name="열어 본 하이퍼링크" xfId="419" builtinId="9" hidden="1"/>
    <cellStyle name="열어 본 하이퍼링크" xfId="421" builtinId="9" hidden="1"/>
    <cellStyle name="열어 본 하이퍼링크" xfId="423" builtinId="9" hidden="1"/>
    <cellStyle name="열어 본 하이퍼링크" xfId="425" builtinId="9" hidden="1"/>
    <cellStyle name="열어 본 하이퍼링크" xfId="427" builtinId="9" hidden="1"/>
    <cellStyle name="열어 본 하이퍼링크" xfId="429" builtinId="9" hidden="1"/>
    <cellStyle name="열어 본 하이퍼링크" xfId="431" builtinId="9" hidden="1"/>
    <cellStyle name="열어 본 하이퍼링크" xfId="433" builtinId="9" hidden="1"/>
    <cellStyle name="열어 본 하이퍼링크" xfId="435" builtinId="9" hidden="1"/>
    <cellStyle name="열어 본 하이퍼링크" xfId="437" builtinId="9" hidden="1"/>
    <cellStyle name="열어 본 하이퍼링크" xfId="439" builtinId="9" hidden="1"/>
    <cellStyle name="열어 본 하이퍼링크" xfId="441" builtinId="9" hidden="1"/>
    <cellStyle name="열어 본 하이퍼링크" xfId="443" builtinId="9" hidden="1"/>
    <cellStyle name="열어 본 하이퍼링크" xfId="445" builtinId="9" hidden="1"/>
    <cellStyle name="열어 본 하이퍼링크" xfId="447" builtinId="9" hidden="1"/>
    <cellStyle name="열어 본 하이퍼링크" xfId="449" builtinId="9" hidden="1"/>
    <cellStyle name="열어 본 하이퍼링크" xfId="451" builtinId="9" hidden="1"/>
    <cellStyle name="열어 본 하이퍼링크" xfId="453" builtinId="9" hidden="1"/>
    <cellStyle name="열어 본 하이퍼링크" xfId="455" builtinId="9" hidden="1"/>
    <cellStyle name="열어 본 하이퍼링크" xfId="457" builtinId="9" hidden="1"/>
    <cellStyle name="열어 본 하이퍼링크" xfId="459" builtinId="9" hidden="1"/>
    <cellStyle name="열어 본 하이퍼링크" xfId="461" builtinId="9" hidden="1"/>
    <cellStyle name="열어 본 하이퍼링크" xfId="463" builtinId="9" hidden="1"/>
    <cellStyle name="열어 본 하이퍼링크" xfId="465" builtinId="9" hidden="1"/>
    <cellStyle name="열어 본 하이퍼링크" xfId="467" builtinId="9" hidden="1"/>
    <cellStyle name="열어 본 하이퍼링크" xfId="469" builtinId="9" hidden="1"/>
    <cellStyle name="열어 본 하이퍼링크" xfId="471" builtinId="9" hidden="1"/>
    <cellStyle name="열어 본 하이퍼링크" xfId="473" builtinId="9" hidden="1"/>
    <cellStyle name="열어 본 하이퍼링크" xfId="475" builtinId="9" hidden="1"/>
    <cellStyle name="열어 본 하이퍼링크" xfId="477" builtinId="9" hidden="1"/>
    <cellStyle name="열어 본 하이퍼링크" xfId="479" builtinId="9" hidden="1"/>
    <cellStyle name="열어 본 하이퍼링크" xfId="481" builtinId="9" hidden="1"/>
    <cellStyle name="열어 본 하이퍼링크" xfId="483" builtinId="9" hidden="1"/>
    <cellStyle name="열어 본 하이퍼링크" xfId="485" builtinId="9" hidden="1"/>
    <cellStyle name="열어 본 하이퍼링크" xfId="487" builtinId="9" hidden="1"/>
    <cellStyle name="열어 본 하이퍼링크" xfId="489" builtinId="9" hidden="1"/>
    <cellStyle name="열어 본 하이퍼링크" xfId="491" builtinId="9" hidden="1"/>
    <cellStyle name="열어 본 하이퍼링크" xfId="493" builtinId="9" hidden="1"/>
    <cellStyle name="열어 본 하이퍼링크" xfId="495" builtinId="9" hidden="1"/>
    <cellStyle name="열어 본 하이퍼링크" xfId="497" builtinId="9" hidden="1"/>
    <cellStyle name="열어 본 하이퍼링크" xfId="499" builtinId="9" hidden="1"/>
    <cellStyle name="열어 본 하이퍼링크" xfId="501" builtinId="9" hidden="1"/>
    <cellStyle name="열어 본 하이퍼링크" xfId="503" builtinId="9" hidden="1"/>
    <cellStyle name="열어 본 하이퍼링크" xfId="505" builtinId="9" hidden="1"/>
    <cellStyle name="열어 본 하이퍼링크" xfId="507" builtinId="9" hidden="1"/>
    <cellStyle name="열어 본 하이퍼링크" xfId="509" builtinId="9" hidden="1"/>
    <cellStyle name="열어 본 하이퍼링크" xfId="511" builtinId="9" hidden="1"/>
    <cellStyle name="열어 본 하이퍼링크" xfId="513" builtinId="9" hidden="1"/>
    <cellStyle name="열어 본 하이퍼링크" xfId="515" builtinId="9" hidden="1"/>
    <cellStyle name="열어 본 하이퍼링크" xfId="517" builtinId="9" hidden="1"/>
    <cellStyle name="열어 본 하이퍼링크" xfId="519" builtinId="9" hidden="1"/>
    <cellStyle name="열어 본 하이퍼링크" xfId="521" builtinId="9" hidden="1"/>
    <cellStyle name="열어 본 하이퍼링크" xfId="523" builtinId="9" hidden="1"/>
    <cellStyle name="열어 본 하이퍼링크" xfId="525" builtinId="9" hidden="1"/>
    <cellStyle name="열어 본 하이퍼링크" xfId="527" builtinId="9" hidden="1"/>
    <cellStyle name="열어 본 하이퍼링크" xfId="529" builtinId="9" hidden="1"/>
    <cellStyle name="열어 본 하이퍼링크" xfId="531" builtinId="9" hidden="1"/>
    <cellStyle name="열어 본 하이퍼링크" xfId="533" builtinId="9" hidden="1"/>
    <cellStyle name="열어 본 하이퍼링크" xfId="535" builtinId="9" hidden="1"/>
    <cellStyle name="열어 본 하이퍼링크" xfId="537" builtinId="9" hidden="1"/>
    <cellStyle name="열어 본 하이퍼링크" xfId="539" builtinId="9" hidden="1"/>
    <cellStyle name="열어 본 하이퍼링크" xfId="541" builtinId="9" hidden="1"/>
    <cellStyle name="열어 본 하이퍼링크" xfId="543" builtinId="9" hidden="1"/>
    <cellStyle name="열어 본 하이퍼링크" xfId="545" builtinId="9" hidden="1"/>
    <cellStyle name="열어 본 하이퍼링크" xfId="547" builtinId="9" hidden="1"/>
    <cellStyle name="열어 본 하이퍼링크" xfId="549" builtinId="9" hidden="1"/>
    <cellStyle name="열어 본 하이퍼링크" xfId="551" builtinId="9" hidden="1"/>
    <cellStyle name="열어 본 하이퍼링크" xfId="553" builtinId="9" hidden="1"/>
    <cellStyle name="열어 본 하이퍼링크" xfId="555" builtinId="9" hidden="1"/>
    <cellStyle name="열어 본 하이퍼링크" xfId="557" builtinId="9" hidden="1"/>
    <cellStyle name="열어 본 하이퍼링크" xfId="559" builtinId="9" hidden="1"/>
    <cellStyle name="열어 본 하이퍼링크" xfId="561" builtinId="9" hidden="1"/>
    <cellStyle name="열어 본 하이퍼링크" xfId="563" builtinId="9" hidden="1"/>
    <cellStyle name="열어 본 하이퍼링크" xfId="565" builtinId="9" hidden="1"/>
    <cellStyle name="열어 본 하이퍼링크" xfId="567" builtinId="9" hidden="1"/>
    <cellStyle name="열어 본 하이퍼링크" xfId="569" builtinId="9" hidden="1"/>
    <cellStyle name="열어 본 하이퍼링크" xfId="571" builtinId="9" hidden="1"/>
    <cellStyle name="열어 본 하이퍼링크" xfId="573" builtinId="9" hidden="1"/>
    <cellStyle name="열어 본 하이퍼링크" xfId="575" builtinId="9" hidden="1"/>
    <cellStyle name="열어 본 하이퍼링크" xfId="577" builtinId="9" hidden="1"/>
    <cellStyle name="열어 본 하이퍼링크" xfId="579" builtinId="9" hidden="1"/>
    <cellStyle name="열어 본 하이퍼링크" xfId="581" builtinId="9" hidden="1"/>
    <cellStyle name="열어 본 하이퍼링크" xfId="583" builtinId="9" hidden="1"/>
    <cellStyle name="열어 본 하이퍼링크" xfId="585" builtinId="9" hidden="1"/>
    <cellStyle name="열어 본 하이퍼링크" xfId="587" builtinId="9" hidden="1"/>
    <cellStyle name="열어 본 하이퍼링크" xfId="589" builtinId="9" hidden="1"/>
    <cellStyle name="열어 본 하이퍼링크" xfId="591" builtinId="9" hidden="1"/>
    <cellStyle name="열어 본 하이퍼링크" xfId="593" builtinId="9" hidden="1"/>
    <cellStyle name="열어 본 하이퍼링크" xfId="595" builtinId="9" hidden="1"/>
    <cellStyle name="열어 본 하이퍼링크" xfId="597" builtinId="9" hidden="1"/>
    <cellStyle name="열어 본 하이퍼링크" xfId="599" builtinId="9" hidden="1"/>
    <cellStyle name="열어 본 하이퍼링크" xfId="601" builtinId="9" hidden="1"/>
    <cellStyle name="열어 본 하이퍼링크" xfId="603" builtinId="9" hidden="1"/>
    <cellStyle name="열어 본 하이퍼링크" xfId="605" builtinId="9" hidden="1"/>
    <cellStyle name="열어 본 하이퍼링크" xfId="607" builtinId="9" hidden="1"/>
    <cellStyle name="열어 본 하이퍼링크" xfId="609" builtinId="9" hidden="1"/>
    <cellStyle name="열어 본 하이퍼링크" xfId="611" builtinId="9" hidden="1"/>
    <cellStyle name="열어 본 하이퍼링크" xfId="613" builtinId="9" hidden="1"/>
    <cellStyle name="열어 본 하이퍼링크" xfId="615" builtinId="9" hidden="1"/>
    <cellStyle name="열어 본 하이퍼링크" xfId="617" builtinId="9" hidden="1"/>
    <cellStyle name="열어 본 하이퍼링크" xfId="619" builtinId="9" hidden="1"/>
    <cellStyle name="열어 본 하이퍼링크" xfId="621" builtinId="9" hidden="1"/>
    <cellStyle name="열어 본 하이퍼링크" xfId="623" builtinId="9" hidden="1"/>
    <cellStyle name="열어 본 하이퍼링크" xfId="625" builtinId="9" hidden="1"/>
    <cellStyle name="열어 본 하이퍼링크" xfId="627" builtinId="9" hidden="1"/>
    <cellStyle name="열어 본 하이퍼링크" xfId="629" builtinId="9" hidden="1"/>
    <cellStyle name="열어 본 하이퍼링크" xfId="631" builtinId="9" hidden="1"/>
    <cellStyle name="열어 본 하이퍼링크" xfId="633" builtinId="9" hidden="1"/>
    <cellStyle name="열어 본 하이퍼링크" xfId="635" builtinId="9" hidden="1"/>
    <cellStyle name="열어 본 하이퍼링크" xfId="637" builtinId="9" hidden="1"/>
    <cellStyle name="열어 본 하이퍼링크" xfId="639" builtinId="9" hidden="1"/>
    <cellStyle name="열어 본 하이퍼링크" xfId="641" builtinId="9" hidden="1"/>
    <cellStyle name="열어 본 하이퍼링크" xfId="643" builtinId="9" hidden="1"/>
    <cellStyle name="열어 본 하이퍼링크" xfId="645" builtinId="9" hidden="1"/>
    <cellStyle name="열어 본 하이퍼링크" xfId="647" builtinId="9" hidden="1"/>
    <cellStyle name="열어 본 하이퍼링크" xfId="649" builtinId="9" hidden="1"/>
    <cellStyle name="열어 본 하이퍼링크" xfId="651" builtinId="9" hidden="1"/>
    <cellStyle name="열어 본 하이퍼링크" xfId="653" builtinId="9" hidden="1"/>
    <cellStyle name="열어 본 하이퍼링크" xfId="655" builtinId="9" hidden="1"/>
    <cellStyle name="열어 본 하이퍼링크" xfId="657" builtinId="9" hidden="1"/>
    <cellStyle name="열어 본 하이퍼링크" xfId="659" builtinId="9" hidden="1"/>
    <cellStyle name="열어 본 하이퍼링크" xfId="661" builtinId="9" hidden="1"/>
    <cellStyle name="열어 본 하이퍼링크" xfId="663" builtinId="9" hidden="1"/>
    <cellStyle name="열어 본 하이퍼링크" xfId="665" builtinId="9" hidden="1"/>
    <cellStyle name="열어 본 하이퍼링크" xfId="667" builtinId="9" hidden="1"/>
    <cellStyle name="열어 본 하이퍼링크" xfId="669" builtinId="9" hidden="1"/>
    <cellStyle name="열어 본 하이퍼링크" xfId="671" builtinId="9" hidden="1"/>
    <cellStyle name="열어 본 하이퍼링크" xfId="673" builtinId="9" hidden="1"/>
    <cellStyle name="열어 본 하이퍼링크" xfId="675" builtinId="9" hidden="1"/>
    <cellStyle name="열어 본 하이퍼링크" xfId="677" builtinId="9" hidden="1"/>
    <cellStyle name="열어 본 하이퍼링크" xfId="679" builtinId="9" hidden="1"/>
    <cellStyle name="열어 본 하이퍼링크" xfId="681" builtinId="9" hidden="1"/>
    <cellStyle name="열어 본 하이퍼링크" xfId="683" builtinId="9" hidden="1"/>
    <cellStyle name="열어 본 하이퍼링크" xfId="685" builtinId="9" hidden="1"/>
    <cellStyle name="열어 본 하이퍼링크" xfId="687" builtinId="9" hidden="1"/>
    <cellStyle name="열어 본 하이퍼링크" xfId="689" builtinId="9" hidden="1"/>
    <cellStyle name="열어 본 하이퍼링크" xfId="691" builtinId="9" hidden="1"/>
    <cellStyle name="열어 본 하이퍼링크" xfId="693" builtinId="9" hidden="1"/>
    <cellStyle name="열어 본 하이퍼링크" xfId="695" builtinId="9" hidden="1"/>
    <cellStyle name="열어 본 하이퍼링크" xfId="697" builtinId="9" hidden="1"/>
    <cellStyle name="열어 본 하이퍼링크" xfId="699" builtinId="9" hidden="1"/>
    <cellStyle name="열어 본 하이퍼링크" xfId="701" builtinId="9" hidden="1"/>
    <cellStyle name="열어 본 하이퍼링크" xfId="703" builtinId="9" hidden="1"/>
    <cellStyle name="열어 본 하이퍼링크" xfId="705" builtinId="9" hidden="1"/>
    <cellStyle name="열어 본 하이퍼링크" xfId="707" builtinId="9" hidden="1"/>
    <cellStyle name="열어 본 하이퍼링크" xfId="709" builtinId="9" hidden="1"/>
    <cellStyle name="열어 본 하이퍼링크" xfId="711" builtinId="9" hidden="1"/>
    <cellStyle name="열어 본 하이퍼링크" xfId="713" builtinId="9" hidden="1"/>
    <cellStyle name="열어 본 하이퍼링크" xfId="715" builtinId="9" hidden="1"/>
    <cellStyle name="열어 본 하이퍼링크" xfId="717" builtinId="9" hidden="1"/>
    <cellStyle name="열어 본 하이퍼링크" xfId="719" builtinId="9" hidden="1"/>
    <cellStyle name="열어 본 하이퍼링크" xfId="721" builtinId="9" hidden="1"/>
    <cellStyle name="열어 본 하이퍼링크" xfId="723" builtinId="9" hidden="1"/>
    <cellStyle name="열어 본 하이퍼링크" xfId="725" builtinId="9" hidden="1"/>
    <cellStyle name="열어 본 하이퍼링크" xfId="727" builtinId="9" hidden="1"/>
    <cellStyle name="열어 본 하이퍼링크" xfId="729" builtinId="9" hidden="1"/>
    <cellStyle name="열어 본 하이퍼링크" xfId="731" builtinId="9" hidden="1"/>
    <cellStyle name="열어 본 하이퍼링크" xfId="733" builtinId="9" hidden="1"/>
    <cellStyle name="열어 본 하이퍼링크" xfId="735" builtinId="9" hidden="1"/>
    <cellStyle name="열어 본 하이퍼링크" xfId="737" builtinId="9" hidden="1"/>
    <cellStyle name="열어 본 하이퍼링크" xfId="739" builtinId="9" hidden="1"/>
    <cellStyle name="열어 본 하이퍼링크" xfId="741" builtinId="9" hidden="1"/>
    <cellStyle name="열어 본 하이퍼링크" xfId="743" builtinId="9" hidden="1"/>
    <cellStyle name="열어 본 하이퍼링크" xfId="745" builtinId="9" hidden="1"/>
    <cellStyle name="열어 본 하이퍼링크" xfId="747" builtinId="9" hidden="1"/>
    <cellStyle name="열어 본 하이퍼링크" xfId="749" builtinId="9" hidden="1"/>
    <cellStyle name="열어 본 하이퍼링크" xfId="751" builtinId="9" hidden="1"/>
    <cellStyle name="열어 본 하이퍼링크" xfId="753" builtinId="9" hidden="1"/>
    <cellStyle name="열어 본 하이퍼링크" xfId="755" builtinId="9" hidden="1"/>
    <cellStyle name="열어 본 하이퍼링크" xfId="757" builtinId="9" hidden="1"/>
    <cellStyle name="열어 본 하이퍼링크" xfId="759" builtinId="9" hidden="1"/>
    <cellStyle name="열어 본 하이퍼링크" xfId="761" builtinId="9" hidden="1"/>
    <cellStyle name="열어 본 하이퍼링크" xfId="763" builtinId="9" hidden="1"/>
    <cellStyle name="열어 본 하이퍼링크" xfId="765" builtinId="9" hidden="1"/>
    <cellStyle name="열어 본 하이퍼링크" xfId="767" builtinId="9" hidden="1"/>
    <cellStyle name="열어 본 하이퍼링크" xfId="769" builtinId="9" hidden="1"/>
    <cellStyle name="열어 본 하이퍼링크" xfId="771" builtinId="9" hidden="1"/>
    <cellStyle name="열어 본 하이퍼링크" xfId="773" builtinId="9" hidden="1"/>
    <cellStyle name="열어 본 하이퍼링크" xfId="775" builtinId="9" hidden="1"/>
    <cellStyle name="열어 본 하이퍼링크" xfId="777" builtinId="9" hidden="1"/>
    <cellStyle name="열어 본 하이퍼링크" xfId="779" builtinId="9" hidden="1"/>
    <cellStyle name="열어 본 하이퍼링크" xfId="781" builtinId="9" hidden="1"/>
    <cellStyle name="열어 본 하이퍼링크" xfId="783" builtinId="9" hidden="1"/>
    <cellStyle name="열어 본 하이퍼링크" xfId="785" builtinId="9" hidden="1"/>
    <cellStyle name="열어 본 하이퍼링크" xfId="787" builtinId="9" hidden="1"/>
    <cellStyle name="열어 본 하이퍼링크" xfId="789" builtinId="9" hidden="1"/>
    <cellStyle name="열어 본 하이퍼링크" xfId="791" builtinId="9" hidden="1"/>
    <cellStyle name="열어 본 하이퍼링크" xfId="793" builtinId="9" hidden="1"/>
    <cellStyle name="열어 본 하이퍼링크" xfId="795" builtinId="9" hidden="1"/>
    <cellStyle name="열어 본 하이퍼링크" xfId="797" builtinId="9" hidden="1"/>
    <cellStyle name="열어 본 하이퍼링크" xfId="799" builtinId="9" hidden="1"/>
    <cellStyle name="열어 본 하이퍼링크" xfId="801" builtinId="9" hidden="1"/>
    <cellStyle name="열어 본 하이퍼링크" xfId="803" builtinId="9" hidden="1"/>
    <cellStyle name="열어 본 하이퍼링크" xfId="805" builtinId="9" hidden="1"/>
    <cellStyle name="열어 본 하이퍼링크" xfId="807" builtinId="9" hidden="1"/>
    <cellStyle name="열어 본 하이퍼링크" xfId="809" builtinId="9" hidden="1"/>
    <cellStyle name="열어 본 하이퍼링크" xfId="811" builtinId="9" hidden="1"/>
    <cellStyle name="열어 본 하이퍼링크" xfId="813" builtinId="9" hidden="1"/>
    <cellStyle name="열어 본 하이퍼링크" xfId="815" builtinId="9" hidden="1"/>
    <cellStyle name="열어 본 하이퍼링크" xfId="817" builtinId="9" hidden="1"/>
    <cellStyle name="열어 본 하이퍼링크" xfId="819" builtinId="9" hidden="1"/>
    <cellStyle name="열어 본 하이퍼링크" xfId="821" builtinId="9" hidden="1"/>
    <cellStyle name="열어 본 하이퍼링크" xfId="823" builtinId="9" hidden="1"/>
    <cellStyle name="열어 본 하이퍼링크" xfId="825" builtinId="9" hidden="1"/>
    <cellStyle name="열어 본 하이퍼링크" xfId="827" builtinId="9" hidden="1"/>
    <cellStyle name="열어 본 하이퍼링크" xfId="829" builtinId="9" hidden="1"/>
    <cellStyle name="열어 본 하이퍼링크" xfId="831" builtinId="9" hidden="1"/>
    <cellStyle name="열어 본 하이퍼링크" xfId="833" builtinId="9" hidden="1"/>
    <cellStyle name="열어 본 하이퍼링크" xfId="835" builtinId="9" hidden="1"/>
    <cellStyle name="열어 본 하이퍼링크" xfId="837" builtinId="9" hidden="1"/>
    <cellStyle name="열어 본 하이퍼링크" xfId="839" builtinId="9" hidden="1"/>
    <cellStyle name="열어 본 하이퍼링크" xfId="841" builtinId="9" hidden="1"/>
    <cellStyle name="열어 본 하이퍼링크" xfId="843" builtinId="9" hidden="1"/>
    <cellStyle name="열어 본 하이퍼링크" xfId="845" builtinId="9" hidden="1"/>
    <cellStyle name="열어 본 하이퍼링크" xfId="847" builtinId="9" hidden="1"/>
    <cellStyle name="열어 본 하이퍼링크" xfId="849" builtinId="9" hidden="1"/>
    <cellStyle name="열어 본 하이퍼링크" xfId="851" builtinId="9" hidden="1"/>
    <cellStyle name="열어 본 하이퍼링크" xfId="853" builtinId="9" hidden="1"/>
    <cellStyle name="열어 본 하이퍼링크" xfId="855" builtinId="9" hidden="1"/>
    <cellStyle name="열어 본 하이퍼링크" xfId="857" builtinId="9" hidden="1"/>
    <cellStyle name="열어 본 하이퍼링크" xfId="859" builtinId="9" hidden="1"/>
    <cellStyle name="열어 본 하이퍼링크" xfId="861" builtinId="9" hidden="1"/>
    <cellStyle name="열어 본 하이퍼링크" xfId="863" builtinId="9" hidden="1"/>
    <cellStyle name="열어 본 하이퍼링크" xfId="865" builtinId="9" hidden="1"/>
    <cellStyle name="열어 본 하이퍼링크" xfId="867" builtinId="9" hidden="1"/>
    <cellStyle name="열어 본 하이퍼링크" xfId="869" builtinId="9" hidden="1"/>
    <cellStyle name="열어 본 하이퍼링크" xfId="871" builtinId="9" hidden="1"/>
    <cellStyle name="열어 본 하이퍼링크" xfId="873" builtinId="9" hidden="1"/>
    <cellStyle name="열어 본 하이퍼링크" xfId="875" builtinId="9" hidden="1"/>
    <cellStyle name="열어 본 하이퍼링크" xfId="877" builtinId="9" hidden="1"/>
    <cellStyle name="열어 본 하이퍼링크" xfId="879" builtinId="9" hidden="1"/>
    <cellStyle name="열어 본 하이퍼링크" xfId="881" builtinId="9" hidden="1"/>
    <cellStyle name="열어 본 하이퍼링크" xfId="883" builtinId="9" hidden="1"/>
    <cellStyle name="열어 본 하이퍼링크" xfId="885" builtinId="9" hidden="1"/>
    <cellStyle name="열어 본 하이퍼링크" xfId="887" builtinId="9" hidden="1"/>
    <cellStyle name="열어 본 하이퍼링크" xfId="889" builtinId="9" hidden="1"/>
    <cellStyle name="열어 본 하이퍼링크" xfId="891" builtinId="9" hidden="1"/>
    <cellStyle name="열어 본 하이퍼링크" xfId="893" builtinId="9" hidden="1"/>
    <cellStyle name="열어 본 하이퍼링크" xfId="895" builtinId="9" hidden="1"/>
    <cellStyle name="열어 본 하이퍼링크" xfId="897" builtinId="9" hidden="1"/>
    <cellStyle name="열어 본 하이퍼링크" xfId="899" builtinId="9" hidden="1"/>
    <cellStyle name="열어 본 하이퍼링크" xfId="901" builtinId="9" hidden="1"/>
    <cellStyle name="열어 본 하이퍼링크" xfId="903" builtinId="9" hidden="1"/>
    <cellStyle name="열어 본 하이퍼링크" xfId="905" builtinId="9" hidden="1"/>
    <cellStyle name="열어 본 하이퍼링크" xfId="907" builtinId="9" hidden="1"/>
    <cellStyle name="열어 본 하이퍼링크" xfId="909" builtinId="9" hidden="1"/>
    <cellStyle name="열어 본 하이퍼링크" xfId="911" builtinId="9" hidden="1"/>
    <cellStyle name="열어 본 하이퍼링크" xfId="913" builtinId="9" hidden="1"/>
    <cellStyle name="열어 본 하이퍼링크" xfId="915" builtinId="9" hidden="1"/>
    <cellStyle name="열어 본 하이퍼링크" xfId="917" builtinId="9" hidden="1"/>
    <cellStyle name="열어 본 하이퍼링크" xfId="919" builtinId="9" hidden="1"/>
    <cellStyle name="열어 본 하이퍼링크" xfId="921" builtinId="9" hidden="1"/>
    <cellStyle name="열어 본 하이퍼링크" xfId="923" builtinId="9" hidden="1"/>
    <cellStyle name="열어 본 하이퍼링크" xfId="925" builtinId="9" hidden="1"/>
    <cellStyle name="열어 본 하이퍼링크" xfId="927" builtinId="9" hidden="1"/>
    <cellStyle name="열어 본 하이퍼링크" xfId="929" builtinId="9" hidden="1"/>
    <cellStyle name="열어 본 하이퍼링크" xfId="931" builtinId="9" hidden="1"/>
    <cellStyle name="열어 본 하이퍼링크" xfId="933" builtinId="9" hidden="1"/>
    <cellStyle name="열어 본 하이퍼링크" xfId="935" builtinId="9" hidden="1"/>
    <cellStyle name="열어 본 하이퍼링크" xfId="937" builtinId="9" hidden="1"/>
    <cellStyle name="열어 본 하이퍼링크" xfId="939" builtinId="9" hidden="1"/>
    <cellStyle name="열어 본 하이퍼링크" xfId="941" builtinId="9" hidden="1"/>
    <cellStyle name="열어 본 하이퍼링크" xfId="943" builtinId="9" hidden="1"/>
    <cellStyle name="열어 본 하이퍼링크" xfId="945" builtinId="9" hidden="1"/>
    <cellStyle name="열어 본 하이퍼링크" xfId="947" builtinId="9" hidden="1"/>
    <cellStyle name="열어 본 하이퍼링크" xfId="949" builtinId="9" hidden="1"/>
    <cellStyle name="열어 본 하이퍼링크" xfId="951" builtinId="9" hidden="1"/>
    <cellStyle name="열어 본 하이퍼링크" xfId="953" builtinId="9" hidden="1"/>
    <cellStyle name="열어 본 하이퍼링크" xfId="955" builtinId="9" hidden="1"/>
    <cellStyle name="열어 본 하이퍼링크" xfId="957" builtinId="9" hidden="1"/>
    <cellStyle name="열어 본 하이퍼링크" xfId="959" builtinId="9" hidden="1"/>
    <cellStyle name="열어 본 하이퍼링크" xfId="961" builtinId="9" hidden="1"/>
    <cellStyle name="열어 본 하이퍼링크" xfId="963" builtinId="9" hidden="1"/>
    <cellStyle name="열어 본 하이퍼링크" xfId="965" builtinId="9" hidden="1"/>
    <cellStyle name="열어 본 하이퍼링크" xfId="967" builtinId="9" hidden="1"/>
    <cellStyle name="열어 본 하이퍼링크" xfId="969" builtinId="9" hidden="1"/>
    <cellStyle name="열어 본 하이퍼링크" xfId="971" builtinId="9" hidden="1"/>
    <cellStyle name="열어 본 하이퍼링크" xfId="973" builtinId="9" hidden="1"/>
    <cellStyle name="열어 본 하이퍼링크" xfId="975" builtinId="9" hidden="1"/>
    <cellStyle name="열어 본 하이퍼링크" xfId="977" builtinId="9" hidden="1"/>
    <cellStyle name="열어 본 하이퍼링크" xfId="979" builtinId="9" hidden="1"/>
    <cellStyle name="열어 본 하이퍼링크" xfId="981" builtinId="9" hidden="1"/>
    <cellStyle name="열어 본 하이퍼링크" xfId="983" builtinId="9" hidden="1"/>
    <cellStyle name="열어 본 하이퍼링크" xfId="985" builtinId="9" hidden="1"/>
    <cellStyle name="열어 본 하이퍼링크" xfId="987" builtinId="9" hidden="1"/>
    <cellStyle name="열어 본 하이퍼링크" xfId="989" builtinId="9" hidden="1"/>
    <cellStyle name="열어 본 하이퍼링크" xfId="991" builtinId="9" hidden="1"/>
    <cellStyle name="열어 본 하이퍼링크" xfId="993" builtinId="9" hidden="1"/>
    <cellStyle name="열어 본 하이퍼링크" xfId="995" builtinId="9" hidden="1"/>
    <cellStyle name="열어 본 하이퍼링크" xfId="997" builtinId="9" hidden="1"/>
    <cellStyle name="열어 본 하이퍼링크" xfId="999" builtinId="9" hidden="1"/>
    <cellStyle name="열어 본 하이퍼링크" xfId="1001" builtinId="9" hidden="1"/>
    <cellStyle name="열어 본 하이퍼링크" xfId="1003" builtinId="9" hidden="1"/>
    <cellStyle name="열어 본 하이퍼링크" xfId="1005" builtinId="9" hidden="1"/>
    <cellStyle name="열어 본 하이퍼링크" xfId="1007" builtinId="9" hidden="1"/>
    <cellStyle name="열어 본 하이퍼링크" xfId="1009" builtinId="9" hidden="1"/>
    <cellStyle name="열어 본 하이퍼링크" xfId="1011" builtinId="9" hidden="1"/>
    <cellStyle name="열어 본 하이퍼링크" xfId="1013" builtinId="9" hidden="1"/>
    <cellStyle name="열어 본 하이퍼링크" xfId="1015" builtinId="9" hidden="1"/>
    <cellStyle name="열어 본 하이퍼링크" xfId="1017" builtinId="9" hidden="1"/>
    <cellStyle name="열어 본 하이퍼링크" xfId="1019" builtinId="9" hidden="1"/>
    <cellStyle name="열어 본 하이퍼링크" xfId="1021" builtinId="9" hidden="1"/>
    <cellStyle name="열어 본 하이퍼링크" xfId="1023" builtinId="9" hidden="1"/>
    <cellStyle name="열어 본 하이퍼링크" xfId="1025" builtinId="9" hidden="1"/>
    <cellStyle name="열어 본 하이퍼링크" xfId="1027" builtinId="9" hidden="1"/>
    <cellStyle name="열어 본 하이퍼링크" xfId="1029" builtinId="9" hidden="1"/>
    <cellStyle name="열어 본 하이퍼링크" xfId="1031" builtinId="9" hidden="1"/>
    <cellStyle name="열어 본 하이퍼링크" xfId="1033" builtinId="9" hidden="1"/>
    <cellStyle name="열어 본 하이퍼링크" xfId="1035" builtinId="9" hidden="1"/>
    <cellStyle name="열어 본 하이퍼링크" xfId="1037" builtinId="9" hidden="1"/>
    <cellStyle name="열어 본 하이퍼링크" xfId="1039" builtinId="9" hidden="1"/>
    <cellStyle name="열어 본 하이퍼링크" xfId="1041" builtinId="9" hidden="1"/>
    <cellStyle name="열어 본 하이퍼링크" xfId="1043" builtinId="9" hidden="1"/>
    <cellStyle name="열어 본 하이퍼링크" xfId="1045" builtinId="9" hidden="1"/>
    <cellStyle name="열어 본 하이퍼링크" xfId="1047" builtinId="9" hidden="1"/>
    <cellStyle name="열어 본 하이퍼링크" xfId="1049" builtinId="9" hidden="1"/>
    <cellStyle name="열어 본 하이퍼링크" xfId="1051" builtinId="9" hidden="1"/>
    <cellStyle name="열어 본 하이퍼링크" xfId="1053" builtinId="9" hidden="1"/>
    <cellStyle name="열어 본 하이퍼링크" xfId="1055" builtinId="9" hidden="1"/>
    <cellStyle name="열어 본 하이퍼링크" xfId="1057" builtinId="9" hidden="1"/>
    <cellStyle name="열어 본 하이퍼링크" xfId="1059" builtinId="9" hidden="1"/>
    <cellStyle name="열어 본 하이퍼링크" xfId="1061" builtinId="9" hidden="1"/>
    <cellStyle name="열어 본 하이퍼링크" xfId="1063" builtinId="9" hidden="1"/>
    <cellStyle name="열어 본 하이퍼링크" xfId="1065" builtinId="9" hidden="1"/>
    <cellStyle name="열어 본 하이퍼링크" xfId="1067" builtinId="9" hidden="1"/>
    <cellStyle name="열어 본 하이퍼링크" xfId="1069" builtinId="9" hidden="1"/>
    <cellStyle name="열어 본 하이퍼링크" xfId="1071" builtinId="9" hidden="1"/>
    <cellStyle name="열어 본 하이퍼링크" xfId="1073" builtinId="9" hidden="1"/>
    <cellStyle name="열어 본 하이퍼링크" xfId="1075" builtinId="9" hidden="1"/>
    <cellStyle name="열어 본 하이퍼링크" xfId="1077" builtinId="9" hidden="1"/>
    <cellStyle name="열어 본 하이퍼링크" xfId="1079" builtinId="9" hidden="1"/>
    <cellStyle name="열어 본 하이퍼링크" xfId="1081" builtinId="9" hidden="1"/>
    <cellStyle name="열어 본 하이퍼링크" xfId="1083" builtinId="9" hidden="1"/>
    <cellStyle name="열어 본 하이퍼링크" xfId="1085" builtinId="9" hidden="1"/>
    <cellStyle name="열어 본 하이퍼링크" xfId="1087" builtinId="9" hidden="1"/>
    <cellStyle name="열어 본 하이퍼링크" xfId="1089" builtinId="9" hidden="1"/>
    <cellStyle name="열어 본 하이퍼링크" xfId="1091" builtinId="9" hidden="1"/>
    <cellStyle name="열어 본 하이퍼링크" xfId="1093" builtinId="9" hidden="1"/>
    <cellStyle name="열어 본 하이퍼링크" xfId="1095" builtinId="9" hidden="1"/>
    <cellStyle name="열어 본 하이퍼링크" xfId="1097" builtinId="9" hidden="1"/>
    <cellStyle name="열어 본 하이퍼링크" xfId="1099" builtinId="9" hidden="1"/>
    <cellStyle name="열어 본 하이퍼링크" xfId="1101" builtinId="9" hidden="1"/>
    <cellStyle name="열어 본 하이퍼링크" xfId="1103" builtinId="9" hidden="1"/>
    <cellStyle name="열어 본 하이퍼링크" xfId="1105" builtinId="9" hidden="1"/>
    <cellStyle name="열어 본 하이퍼링크" xfId="1107" builtinId="9" hidden="1"/>
    <cellStyle name="열어 본 하이퍼링크" xfId="1109" builtinId="9" hidden="1"/>
    <cellStyle name="열어 본 하이퍼링크" xfId="1111" builtinId="9" hidden="1"/>
    <cellStyle name="열어 본 하이퍼링크" xfId="1113" builtinId="9" hidden="1"/>
    <cellStyle name="열어 본 하이퍼링크" xfId="1115" builtinId="9" hidden="1"/>
    <cellStyle name="열어 본 하이퍼링크" xfId="1117" builtinId="9" hidden="1"/>
    <cellStyle name="열어 본 하이퍼링크" xfId="1119" builtinId="9" hidden="1"/>
    <cellStyle name="열어 본 하이퍼링크" xfId="1121" builtinId="9" hidden="1"/>
    <cellStyle name="열어 본 하이퍼링크" xfId="1123" builtinId="9" hidden="1"/>
    <cellStyle name="열어 본 하이퍼링크" xfId="1125" builtinId="9" hidden="1"/>
    <cellStyle name="열어 본 하이퍼링크" xfId="1127" builtinId="9" hidden="1"/>
    <cellStyle name="열어 본 하이퍼링크" xfId="1129" builtinId="9" hidden="1"/>
    <cellStyle name="열어 본 하이퍼링크" xfId="1131" builtinId="9" hidden="1"/>
    <cellStyle name="열어 본 하이퍼링크" xfId="1133" builtinId="9" hidden="1"/>
    <cellStyle name="열어 본 하이퍼링크" xfId="1135" builtinId="9" hidden="1"/>
    <cellStyle name="열어 본 하이퍼링크" xfId="1137" builtinId="9" hidden="1"/>
    <cellStyle name="열어 본 하이퍼링크" xfId="1139" builtinId="9" hidden="1"/>
    <cellStyle name="열어 본 하이퍼링크" xfId="1141" builtinId="9" hidden="1"/>
    <cellStyle name="열어 본 하이퍼링크" xfId="1143" builtinId="9" hidden="1"/>
    <cellStyle name="열어 본 하이퍼링크" xfId="1145" builtinId="9" hidden="1"/>
    <cellStyle name="열어 본 하이퍼링크" xfId="1147" builtinId="9" hidden="1"/>
    <cellStyle name="열어 본 하이퍼링크" xfId="1149" builtinId="9" hidden="1"/>
    <cellStyle name="열어 본 하이퍼링크" xfId="1151" builtinId="9" hidden="1"/>
    <cellStyle name="열어 본 하이퍼링크" xfId="1153" builtinId="9" hidden="1"/>
    <cellStyle name="열어 본 하이퍼링크" xfId="1155" builtinId="9" hidden="1"/>
    <cellStyle name="열어 본 하이퍼링크" xfId="1157" builtinId="9" hidden="1"/>
    <cellStyle name="열어 본 하이퍼링크" xfId="1159" builtinId="9" hidden="1"/>
    <cellStyle name="열어 본 하이퍼링크" xfId="1161" builtinId="9" hidden="1"/>
    <cellStyle name="열어 본 하이퍼링크" xfId="1163" builtinId="9" hidden="1"/>
    <cellStyle name="열어 본 하이퍼링크" xfId="1165" builtinId="9" hidden="1"/>
    <cellStyle name="열어 본 하이퍼링크" xfId="1167" builtinId="9" hidden="1"/>
    <cellStyle name="열어 본 하이퍼링크" xfId="1169" builtinId="9" hidden="1"/>
    <cellStyle name="열어 본 하이퍼링크" xfId="1171" builtinId="9" hidden="1"/>
    <cellStyle name="열어 본 하이퍼링크" xfId="1173" builtinId="9" hidden="1"/>
    <cellStyle name="열어 본 하이퍼링크" xfId="1175" builtinId="9" hidden="1"/>
    <cellStyle name="열어 본 하이퍼링크" xfId="1177" builtinId="9" hidden="1"/>
    <cellStyle name="열어 본 하이퍼링크" xfId="1179" builtinId="9" hidden="1"/>
    <cellStyle name="열어 본 하이퍼링크" xfId="1181" builtinId="9" hidden="1"/>
    <cellStyle name="열어 본 하이퍼링크" xfId="1183" builtinId="9" hidden="1"/>
    <cellStyle name="열어 본 하이퍼링크" xfId="1185" builtinId="9" hidden="1"/>
    <cellStyle name="열어 본 하이퍼링크" xfId="1187" builtinId="9" hidden="1"/>
    <cellStyle name="열어 본 하이퍼링크" xfId="1189" builtinId="9" hidden="1"/>
    <cellStyle name="열어 본 하이퍼링크" xfId="1191" builtinId="9" hidden="1"/>
    <cellStyle name="열어 본 하이퍼링크" xfId="1193" builtinId="9" hidden="1"/>
    <cellStyle name="열어 본 하이퍼링크" xfId="1195" builtinId="9" hidden="1"/>
    <cellStyle name="열어 본 하이퍼링크" xfId="1197" builtinId="9" hidden="1"/>
    <cellStyle name="열어 본 하이퍼링크" xfId="1199" builtinId="9" hidden="1"/>
    <cellStyle name="열어 본 하이퍼링크" xfId="1201" builtinId="9" hidden="1"/>
    <cellStyle name="열어 본 하이퍼링크" xfId="1203" builtinId="9" hidden="1"/>
    <cellStyle name="열어 본 하이퍼링크" xfId="1205" builtinId="9" hidden="1"/>
    <cellStyle name="열어 본 하이퍼링크" xfId="1207" builtinId="9" hidden="1"/>
    <cellStyle name="열어 본 하이퍼링크" xfId="1209" builtinId="9" hidden="1"/>
    <cellStyle name="열어 본 하이퍼링크" xfId="1211" builtinId="9" hidden="1"/>
    <cellStyle name="열어 본 하이퍼링크" xfId="1213" builtinId="9" hidden="1"/>
    <cellStyle name="열어 본 하이퍼링크" xfId="1215" builtinId="9" hidden="1"/>
    <cellStyle name="열어 본 하이퍼링크" xfId="1217" builtinId="9" hidden="1"/>
    <cellStyle name="열어 본 하이퍼링크" xfId="1219" builtinId="9" hidden="1"/>
    <cellStyle name="열어 본 하이퍼링크" xfId="1221" builtinId="9" hidden="1"/>
    <cellStyle name="열어 본 하이퍼링크" xfId="1223" builtinId="9" hidden="1"/>
    <cellStyle name="열어 본 하이퍼링크" xfId="1225" builtinId="9" hidden="1"/>
    <cellStyle name="열어 본 하이퍼링크" xfId="1227" builtinId="9" hidden="1"/>
    <cellStyle name="열어 본 하이퍼링크" xfId="1229" builtinId="9" hidden="1"/>
    <cellStyle name="열어 본 하이퍼링크" xfId="1231" builtinId="9" hidden="1"/>
    <cellStyle name="열어 본 하이퍼링크" xfId="1233" builtinId="9" hidden="1"/>
    <cellStyle name="열어 본 하이퍼링크" xfId="1235" builtinId="9" hidden="1"/>
    <cellStyle name="열어 본 하이퍼링크" xfId="1237" builtinId="9" hidden="1"/>
    <cellStyle name="열어 본 하이퍼링크" xfId="1239" builtinId="9" hidden="1"/>
    <cellStyle name="열어 본 하이퍼링크" xfId="1241" builtinId="9" hidden="1"/>
    <cellStyle name="열어 본 하이퍼링크" xfId="1243" builtinId="9" hidden="1"/>
    <cellStyle name="열어 본 하이퍼링크" xfId="1245" builtinId="9" hidden="1"/>
    <cellStyle name="열어 본 하이퍼링크" xfId="1247" builtinId="9" hidden="1"/>
    <cellStyle name="열어 본 하이퍼링크" xfId="1249" builtinId="9" hidden="1"/>
    <cellStyle name="열어 본 하이퍼링크" xfId="1251" builtinId="9" hidden="1"/>
    <cellStyle name="열어 본 하이퍼링크" xfId="1253" builtinId="9" hidden="1"/>
    <cellStyle name="열어 본 하이퍼링크" xfId="1255" builtinId="9" hidden="1"/>
    <cellStyle name="열어 본 하이퍼링크" xfId="1257" builtinId="9" hidden="1"/>
    <cellStyle name="열어 본 하이퍼링크" xfId="1259" builtinId="9" hidden="1"/>
    <cellStyle name="열어 본 하이퍼링크" xfId="1261" builtinId="9" hidden="1"/>
    <cellStyle name="열어 본 하이퍼링크" xfId="1263" builtinId="9" hidden="1"/>
    <cellStyle name="열어 본 하이퍼링크" xfId="1265" builtinId="9" hidden="1"/>
    <cellStyle name="열어 본 하이퍼링크" xfId="1267" builtinId="9" hidden="1"/>
    <cellStyle name="열어 본 하이퍼링크" xfId="1269" builtinId="9" hidden="1"/>
    <cellStyle name="열어 본 하이퍼링크" xfId="1271" builtinId="9" hidden="1"/>
    <cellStyle name="열어 본 하이퍼링크" xfId="1273" builtinId="9" hidden="1"/>
    <cellStyle name="열어 본 하이퍼링크" xfId="1275" builtinId="9" hidden="1"/>
    <cellStyle name="열어 본 하이퍼링크" xfId="1277" builtinId="9" hidden="1"/>
    <cellStyle name="열어 본 하이퍼링크" xfId="1279" builtinId="9" hidden="1"/>
    <cellStyle name="열어 본 하이퍼링크" xfId="1281" builtinId="9" hidden="1"/>
    <cellStyle name="열어 본 하이퍼링크" xfId="1283" builtinId="9" hidden="1"/>
    <cellStyle name="열어 본 하이퍼링크" xfId="1285" builtinId="9" hidden="1"/>
    <cellStyle name="열어 본 하이퍼링크" xfId="1287" builtinId="9" hidden="1"/>
    <cellStyle name="열어 본 하이퍼링크" xfId="1289" builtinId="9" hidden="1"/>
    <cellStyle name="열어 본 하이퍼링크" xfId="1291" builtinId="9" hidden="1"/>
    <cellStyle name="열어 본 하이퍼링크" xfId="1293" builtinId="9" hidden="1"/>
    <cellStyle name="열어 본 하이퍼링크" xfId="1295" builtinId="9" hidden="1"/>
    <cellStyle name="열어 본 하이퍼링크" xfId="1297" builtinId="9" hidden="1"/>
    <cellStyle name="열어 본 하이퍼링크" xfId="1299" builtinId="9" hidden="1"/>
    <cellStyle name="열어 본 하이퍼링크" xfId="1301" builtinId="9" hidden="1"/>
    <cellStyle name="열어 본 하이퍼링크" xfId="1303" builtinId="9" hidden="1"/>
    <cellStyle name="열어 본 하이퍼링크" xfId="1305" builtinId="9" hidden="1"/>
    <cellStyle name="열어 본 하이퍼링크" xfId="1307" builtinId="9" hidden="1"/>
    <cellStyle name="열어 본 하이퍼링크" xfId="1309" builtinId="9" hidden="1"/>
    <cellStyle name="열어 본 하이퍼링크" xfId="1311" builtinId="9" hidden="1"/>
    <cellStyle name="열어 본 하이퍼링크" xfId="1313" builtinId="9" hidden="1"/>
    <cellStyle name="열어 본 하이퍼링크" xfId="1315" builtinId="9" hidden="1"/>
    <cellStyle name="열어 본 하이퍼링크" xfId="1317" builtinId="9" hidden="1"/>
    <cellStyle name="열어 본 하이퍼링크" xfId="1319" builtinId="9" hidden="1"/>
    <cellStyle name="열어 본 하이퍼링크" xfId="1321" builtinId="9" hidden="1"/>
    <cellStyle name="열어 본 하이퍼링크" xfId="1323" builtinId="9" hidden="1"/>
    <cellStyle name="열어 본 하이퍼링크" xfId="1325" builtinId="9" hidden="1"/>
    <cellStyle name="열어 본 하이퍼링크" xfId="1327" builtinId="9" hidden="1"/>
    <cellStyle name="열어 본 하이퍼링크" xfId="1329" builtinId="9" hidden="1"/>
    <cellStyle name="열어 본 하이퍼링크" xfId="1331" builtinId="9" hidden="1"/>
    <cellStyle name="열어 본 하이퍼링크" xfId="1333" builtinId="9" hidden="1"/>
    <cellStyle name="열어 본 하이퍼링크" xfId="1335" builtinId="9" hidden="1"/>
    <cellStyle name="열어 본 하이퍼링크" xfId="1337" builtinId="9" hidden="1"/>
    <cellStyle name="열어 본 하이퍼링크" xfId="1339" builtinId="9" hidden="1"/>
    <cellStyle name="열어 본 하이퍼링크" xfId="1341" builtinId="9" hidden="1"/>
    <cellStyle name="열어 본 하이퍼링크" xfId="1343" builtinId="9" hidden="1"/>
    <cellStyle name="열어 본 하이퍼링크" xfId="1345" builtinId="9" hidden="1"/>
    <cellStyle name="열어 본 하이퍼링크" xfId="1347" builtinId="9" hidden="1"/>
    <cellStyle name="열어 본 하이퍼링크" xfId="1349" builtinId="9" hidden="1"/>
    <cellStyle name="열어 본 하이퍼링크" xfId="1351" builtinId="9" hidden="1"/>
    <cellStyle name="열어 본 하이퍼링크" xfId="1353" builtinId="9" hidden="1"/>
    <cellStyle name="열어 본 하이퍼링크" xfId="1355" builtinId="9" hidden="1"/>
    <cellStyle name="열어 본 하이퍼링크" xfId="1357" builtinId="9" hidden="1"/>
    <cellStyle name="열어 본 하이퍼링크" xfId="1359" builtinId="9" hidden="1"/>
    <cellStyle name="열어 본 하이퍼링크" xfId="1361" builtinId="9" hidden="1"/>
    <cellStyle name="열어 본 하이퍼링크" xfId="1363" builtinId="9" hidden="1"/>
    <cellStyle name="열어 본 하이퍼링크" xfId="1365" builtinId="9" hidden="1"/>
    <cellStyle name="열어 본 하이퍼링크" xfId="1367" builtinId="9" hidden="1"/>
    <cellStyle name="열어 본 하이퍼링크" xfId="1369" builtinId="9" hidden="1"/>
    <cellStyle name="열어 본 하이퍼링크" xfId="1371" builtinId="9" hidden="1"/>
    <cellStyle name="열어 본 하이퍼링크" xfId="1373" builtinId="9" hidden="1"/>
    <cellStyle name="열어 본 하이퍼링크" xfId="1375" builtinId="9" hidden="1"/>
    <cellStyle name="열어 본 하이퍼링크" xfId="1377" builtinId="9" hidden="1"/>
    <cellStyle name="열어 본 하이퍼링크" xfId="1379" builtinId="9" hidden="1"/>
    <cellStyle name="열어 본 하이퍼링크" xfId="1381" builtinId="9" hidden="1"/>
    <cellStyle name="열어 본 하이퍼링크" xfId="1383" builtinId="9" hidden="1"/>
    <cellStyle name="열어 본 하이퍼링크" xfId="1385" builtinId="9" hidden="1"/>
    <cellStyle name="열어 본 하이퍼링크" xfId="1387" builtinId="9" hidden="1"/>
    <cellStyle name="열어 본 하이퍼링크" xfId="1389" builtinId="9" hidden="1"/>
    <cellStyle name="열어 본 하이퍼링크" xfId="1391" builtinId="9" hidden="1"/>
    <cellStyle name="열어 본 하이퍼링크" xfId="1393" builtinId="9" hidden="1"/>
    <cellStyle name="열어 본 하이퍼링크" xfId="1395" builtinId="9" hidden="1"/>
    <cellStyle name="열어 본 하이퍼링크" xfId="1397" builtinId="9" hidden="1"/>
    <cellStyle name="열어 본 하이퍼링크" xfId="1399" builtinId="9" hidden="1"/>
    <cellStyle name="열어 본 하이퍼링크" xfId="1401" builtinId="9" hidden="1"/>
    <cellStyle name="열어 본 하이퍼링크" xfId="1403" builtinId="9" hidden="1"/>
    <cellStyle name="열어 본 하이퍼링크" xfId="1405" builtinId="9" hidden="1"/>
    <cellStyle name="열어 본 하이퍼링크" xfId="1407" builtinId="9" hidden="1"/>
    <cellStyle name="열어 본 하이퍼링크" xfId="1409" builtinId="9" hidden="1"/>
    <cellStyle name="열어 본 하이퍼링크" xfId="1411" builtinId="9" hidden="1"/>
    <cellStyle name="열어 본 하이퍼링크" xfId="1413" builtinId="9" hidden="1"/>
    <cellStyle name="열어 본 하이퍼링크" xfId="1415" builtinId="9" hidden="1"/>
    <cellStyle name="열어 본 하이퍼링크" xfId="1417" builtinId="9" hidden="1"/>
    <cellStyle name="열어 본 하이퍼링크" xfId="1419" builtinId="9" hidden="1"/>
    <cellStyle name="열어 본 하이퍼링크" xfId="1421" builtinId="9" hidden="1"/>
    <cellStyle name="열어 본 하이퍼링크" xfId="1423" builtinId="9" hidden="1"/>
    <cellStyle name="열어 본 하이퍼링크" xfId="1425" builtinId="9" hidden="1"/>
    <cellStyle name="열어 본 하이퍼링크" xfId="1427" builtinId="9" hidden="1"/>
    <cellStyle name="열어 본 하이퍼링크" xfId="1429" builtinId="9" hidden="1"/>
    <cellStyle name="열어 본 하이퍼링크" xfId="1431" builtinId="9" hidden="1"/>
    <cellStyle name="열어 본 하이퍼링크" xfId="1433" builtinId="9" hidden="1"/>
    <cellStyle name="열어 본 하이퍼링크" xfId="1435" builtinId="9" hidden="1"/>
    <cellStyle name="열어 본 하이퍼링크" xfId="1437" builtinId="9" hidden="1"/>
    <cellStyle name="열어 본 하이퍼링크" xfId="1439" builtinId="9" hidden="1"/>
    <cellStyle name="열어 본 하이퍼링크" xfId="1441" builtinId="9" hidden="1"/>
    <cellStyle name="열어 본 하이퍼링크" xfId="1443" builtinId="9" hidden="1"/>
    <cellStyle name="열어 본 하이퍼링크" xfId="1445" builtinId="9" hidden="1"/>
    <cellStyle name="열어 본 하이퍼링크" xfId="1447" builtinId="9" hidden="1"/>
    <cellStyle name="열어 본 하이퍼링크" xfId="1449" builtinId="9" hidden="1"/>
    <cellStyle name="열어 본 하이퍼링크" xfId="1451" builtinId="9" hidden="1"/>
    <cellStyle name="열어 본 하이퍼링크" xfId="1453" builtinId="9" hidden="1"/>
    <cellStyle name="열어 본 하이퍼링크" xfId="1455" builtinId="9" hidden="1"/>
    <cellStyle name="열어 본 하이퍼링크" xfId="1457" builtinId="9" hidden="1"/>
    <cellStyle name="열어 본 하이퍼링크" xfId="1459" builtinId="9" hidden="1"/>
    <cellStyle name="열어 본 하이퍼링크" xfId="1461" builtinId="9" hidden="1"/>
    <cellStyle name="열어 본 하이퍼링크" xfId="1463" builtinId="9" hidden="1"/>
    <cellStyle name="열어 본 하이퍼링크" xfId="1465" builtinId="9" hidden="1"/>
    <cellStyle name="열어 본 하이퍼링크" xfId="1467" builtinId="9" hidden="1"/>
    <cellStyle name="열어 본 하이퍼링크" xfId="1469" builtinId="9" hidden="1"/>
    <cellStyle name="열어 본 하이퍼링크" xfId="1471" builtinId="9" hidden="1"/>
    <cellStyle name="열어 본 하이퍼링크" xfId="1473" builtinId="9" hidden="1"/>
    <cellStyle name="열어 본 하이퍼링크" xfId="1475" builtinId="9" hidden="1"/>
    <cellStyle name="열어 본 하이퍼링크" xfId="1477" builtinId="9" hidden="1"/>
    <cellStyle name="열어 본 하이퍼링크" xfId="1479" builtinId="9" hidden="1"/>
    <cellStyle name="열어 본 하이퍼링크" xfId="1481" builtinId="9" hidden="1"/>
    <cellStyle name="열어 본 하이퍼링크" xfId="1483" builtinId="9" hidden="1"/>
    <cellStyle name="열어 본 하이퍼링크" xfId="1485" builtinId="9" hidden="1"/>
    <cellStyle name="열어 본 하이퍼링크" xfId="1487" builtinId="9" hidden="1"/>
    <cellStyle name="열어 본 하이퍼링크" xfId="1489" builtinId="9" hidden="1"/>
    <cellStyle name="열어 본 하이퍼링크" xfId="1491" builtinId="9" hidden="1"/>
    <cellStyle name="열어 본 하이퍼링크" xfId="1493" builtinId="9" hidden="1"/>
    <cellStyle name="열어 본 하이퍼링크" xfId="1495" builtinId="9" hidden="1"/>
    <cellStyle name="열어 본 하이퍼링크" xfId="1497" builtinId="9" hidden="1"/>
    <cellStyle name="열어 본 하이퍼링크" xfId="1499" builtinId="9" hidden="1"/>
    <cellStyle name="열어 본 하이퍼링크" xfId="1501" builtinId="9" hidden="1"/>
    <cellStyle name="열어 본 하이퍼링크" xfId="1503" builtinId="9" hidden="1"/>
    <cellStyle name="열어 본 하이퍼링크" xfId="1505" builtinId="9" hidden="1"/>
    <cellStyle name="열어 본 하이퍼링크" xfId="1507" builtinId="9" hidden="1"/>
    <cellStyle name="열어 본 하이퍼링크" xfId="1509" builtinId="9" hidden="1"/>
    <cellStyle name="열어 본 하이퍼링크" xfId="1511" builtinId="9" hidden="1"/>
    <cellStyle name="열어 본 하이퍼링크" xfId="1513" builtinId="9" hidden="1"/>
    <cellStyle name="열어 본 하이퍼링크" xfId="1515" builtinId="9" hidden="1"/>
    <cellStyle name="열어 본 하이퍼링크" xfId="1517" builtinId="9" hidden="1"/>
    <cellStyle name="열어 본 하이퍼링크" xfId="1519" builtinId="9" hidden="1"/>
    <cellStyle name="열어 본 하이퍼링크" xfId="1521" builtinId="9" hidden="1"/>
    <cellStyle name="열어 본 하이퍼링크" xfId="1523" builtinId="9" hidden="1"/>
    <cellStyle name="열어 본 하이퍼링크" xfId="1525" builtinId="9" hidden="1"/>
    <cellStyle name="열어 본 하이퍼링크" xfId="1527" builtinId="9" hidden="1"/>
    <cellStyle name="열어 본 하이퍼링크" xfId="1529" builtinId="9" hidden="1"/>
    <cellStyle name="열어 본 하이퍼링크" xfId="1531" builtinId="9" hidden="1"/>
    <cellStyle name="열어 본 하이퍼링크" xfId="1533" builtinId="9" hidden="1"/>
    <cellStyle name="열어 본 하이퍼링크" xfId="1535" builtinId="9" hidden="1"/>
    <cellStyle name="열어 본 하이퍼링크" xfId="1537" builtinId="9" hidden="1"/>
    <cellStyle name="열어 본 하이퍼링크" xfId="1539" builtinId="9" hidden="1"/>
    <cellStyle name="열어 본 하이퍼링크" xfId="1541" builtinId="9" hidden="1"/>
    <cellStyle name="열어 본 하이퍼링크" xfId="1543" builtinId="9" hidden="1"/>
    <cellStyle name="열어 본 하이퍼링크" xfId="1545" builtinId="9" hidden="1"/>
    <cellStyle name="열어 본 하이퍼링크" xfId="1547" builtinId="9" hidden="1"/>
    <cellStyle name="열어 본 하이퍼링크" xfId="1549" builtinId="9" hidden="1"/>
    <cellStyle name="열어 본 하이퍼링크" xfId="1551" builtinId="9" hidden="1"/>
    <cellStyle name="열어 본 하이퍼링크" xfId="1553" builtinId="9" hidden="1"/>
    <cellStyle name="열어 본 하이퍼링크" xfId="1555" builtinId="9" hidden="1"/>
    <cellStyle name="열어 본 하이퍼링크" xfId="1557" builtinId="9" hidden="1"/>
    <cellStyle name="열어 본 하이퍼링크" xfId="1559" builtinId="9" hidden="1"/>
    <cellStyle name="열어 본 하이퍼링크" xfId="1561" builtinId="9" hidden="1"/>
    <cellStyle name="열어 본 하이퍼링크" xfId="1563" builtinId="9" hidden="1"/>
    <cellStyle name="열어 본 하이퍼링크" xfId="1565" builtinId="9" hidden="1"/>
    <cellStyle name="열어 본 하이퍼링크" xfId="1567" builtinId="9" hidden="1"/>
    <cellStyle name="열어 본 하이퍼링크" xfId="1569" builtinId="9" hidden="1"/>
    <cellStyle name="열어 본 하이퍼링크" xfId="1571" builtinId="9" hidden="1"/>
    <cellStyle name="열어 본 하이퍼링크" xfId="1573" builtinId="9" hidden="1"/>
    <cellStyle name="열어 본 하이퍼링크" xfId="1575" builtinId="9" hidden="1"/>
    <cellStyle name="열어 본 하이퍼링크" xfId="1577" builtinId="9" hidden="1"/>
    <cellStyle name="열어 본 하이퍼링크" xfId="1579" builtinId="9" hidden="1"/>
    <cellStyle name="열어 본 하이퍼링크" xfId="1581" builtinId="9" hidden="1"/>
    <cellStyle name="열어 본 하이퍼링크" xfId="1583" builtinId="9" hidden="1"/>
    <cellStyle name="열어 본 하이퍼링크" xfId="1585" builtinId="9" hidden="1"/>
    <cellStyle name="열어 본 하이퍼링크" xfId="1587" builtinId="9" hidden="1"/>
    <cellStyle name="열어 본 하이퍼링크" xfId="1589" builtinId="9" hidden="1"/>
    <cellStyle name="열어 본 하이퍼링크" xfId="1591" builtinId="9" hidden="1"/>
    <cellStyle name="열어 본 하이퍼링크" xfId="1593" builtinId="9" hidden="1"/>
    <cellStyle name="열어 본 하이퍼링크" xfId="1595" builtinId="9" hidden="1"/>
    <cellStyle name="열어 본 하이퍼링크" xfId="1597" builtinId="9" hidden="1"/>
    <cellStyle name="열어 본 하이퍼링크" xfId="1599" builtinId="9" hidden="1"/>
    <cellStyle name="열어 본 하이퍼링크" xfId="1601" builtinId="9" hidden="1"/>
    <cellStyle name="열어 본 하이퍼링크" xfId="1603" builtinId="9" hidden="1"/>
    <cellStyle name="열어 본 하이퍼링크" xfId="1605" builtinId="9" hidden="1"/>
    <cellStyle name="열어 본 하이퍼링크" xfId="1607" builtinId="9" hidden="1"/>
    <cellStyle name="열어 본 하이퍼링크" xfId="1609" builtinId="9" hidden="1"/>
    <cellStyle name="열어 본 하이퍼링크" xfId="1611" builtinId="9" hidden="1"/>
    <cellStyle name="열어 본 하이퍼링크" xfId="1613" builtinId="9" hidden="1"/>
    <cellStyle name="열어 본 하이퍼링크" xfId="1615" builtinId="9" hidden="1"/>
    <cellStyle name="열어 본 하이퍼링크" xfId="1617" builtinId="9" hidden="1"/>
    <cellStyle name="열어 본 하이퍼링크" xfId="1619" builtinId="9" hidden="1"/>
    <cellStyle name="열어 본 하이퍼링크" xfId="1621" builtinId="9" hidden="1"/>
    <cellStyle name="열어 본 하이퍼링크" xfId="1623" builtinId="9" hidden="1"/>
    <cellStyle name="열어 본 하이퍼링크" xfId="1625" builtinId="9" hidden="1"/>
    <cellStyle name="열어 본 하이퍼링크" xfId="1627" builtinId="9" hidden="1"/>
    <cellStyle name="열어 본 하이퍼링크" xfId="1629" builtinId="9" hidden="1"/>
    <cellStyle name="열어 본 하이퍼링크" xfId="1631" builtinId="9" hidden="1"/>
    <cellStyle name="열어 본 하이퍼링크" xfId="1633" builtinId="9" hidden="1"/>
    <cellStyle name="열어 본 하이퍼링크" xfId="1635" builtinId="9" hidden="1"/>
    <cellStyle name="열어 본 하이퍼링크" xfId="1637" builtinId="9" hidden="1"/>
    <cellStyle name="열어 본 하이퍼링크" xfId="1639" builtinId="9" hidden="1"/>
    <cellStyle name="열어 본 하이퍼링크" xfId="1641" builtinId="9" hidden="1"/>
    <cellStyle name="열어 본 하이퍼링크" xfId="1643" builtinId="9" hidden="1"/>
    <cellStyle name="열어 본 하이퍼링크" xfId="1645" builtinId="9" hidden="1"/>
    <cellStyle name="열어 본 하이퍼링크" xfId="1647" builtinId="9" hidden="1"/>
    <cellStyle name="열어 본 하이퍼링크" xfId="1649" builtinId="9" hidden="1"/>
    <cellStyle name="열어 본 하이퍼링크" xfId="1651" builtinId="9" hidden="1"/>
    <cellStyle name="열어 본 하이퍼링크" xfId="1653" builtinId="9" hidden="1"/>
    <cellStyle name="열어 본 하이퍼링크" xfId="1655" builtinId="9" hidden="1"/>
    <cellStyle name="열어 본 하이퍼링크" xfId="1657" builtinId="9" hidden="1"/>
    <cellStyle name="열어 본 하이퍼링크" xfId="1659" builtinId="9" hidden="1"/>
    <cellStyle name="열어 본 하이퍼링크" xfId="1661" builtinId="9" hidden="1"/>
    <cellStyle name="열어 본 하이퍼링크" xfId="1663" builtinId="9" hidden="1"/>
    <cellStyle name="열어 본 하이퍼링크" xfId="1665" builtinId="9" hidden="1"/>
    <cellStyle name="열어 본 하이퍼링크" xfId="1667" builtinId="9" hidden="1"/>
    <cellStyle name="열어 본 하이퍼링크" xfId="1669" builtinId="9" hidden="1"/>
    <cellStyle name="열어 본 하이퍼링크" xfId="1671" builtinId="9" hidden="1"/>
    <cellStyle name="열어 본 하이퍼링크" xfId="1673" builtinId="9" hidden="1"/>
    <cellStyle name="열어 본 하이퍼링크" xfId="1675" builtinId="9" hidden="1"/>
    <cellStyle name="열어 본 하이퍼링크" xfId="1677" builtinId="9" hidden="1"/>
    <cellStyle name="열어 본 하이퍼링크" xfId="1679" builtinId="9" hidden="1"/>
    <cellStyle name="열어 본 하이퍼링크" xfId="1681" builtinId="9" hidden="1"/>
    <cellStyle name="열어 본 하이퍼링크" xfId="1683" builtinId="9" hidden="1"/>
    <cellStyle name="열어 본 하이퍼링크" xfId="1685" builtinId="9" hidden="1"/>
    <cellStyle name="열어 본 하이퍼링크" xfId="1687" builtinId="9" hidden="1"/>
    <cellStyle name="열어 본 하이퍼링크" xfId="1689" builtinId="9" hidden="1"/>
    <cellStyle name="열어 본 하이퍼링크" xfId="1691" builtinId="9" hidden="1"/>
    <cellStyle name="열어 본 하이퍼링크" xfId="1693" builtinId="9" hidden="1"/>
    <cellStyle name="열어 본 하이퍼링크" xfId="1695" builtinId="9" hidden="1"/>
    <cellStyle name="열어 본 하이퍼링크" xfId="1697" builtinId="9" hidden="1"/>
    <cellStyle name="열어 본 하이퍼링크" xfId="1699" builtinId="9" hidden="1"/>
    <cellStyle name="열어 본 하이퍼링크" xfId="1701" builtinId="9" hidden="1"/>
    <cellStyle name="열어 본 하이퍼링크" xfId="1703" builtinId="9" hidden="1"/>
    <cellStyle name="열어 본 하이퍼링크" xfId="1705" builtinId="9" hidden="1"/>
    <cellStyle name="열어 본 하이퍼링크" xfId="1707" builtinId="9" hidden="1"/>
    <cellStyle name="열어 본 하이퍼링크" xfId="1709" builtinId="9" hidden="1"/>
    <cellStyle name="열어 본 하이퍼링크" xfId="1711" builtinId="9" hidden="1"/>
    <cellStyle name="열어 본 하이퍼링크" xfId="1713" builtinId="9" hidden="1"/>
    <cellStyle name="열어 본 하이퍼링크" xfId="1715" builtinId="9" hidden="1"/>
    <cellStyle name="열어 본 하이퍼링크" xfId="1717" builtinId="9" hidden="1"/>
    <cellStyle name="열어 본 하이퍼링크" xfId="1719" builtinId="9" hidden="1"/>
    <cellStyle name="열어 본 하이퍼링크" xfId="1721" builtinId="9" hidden="1"/>
    <cellStyle name="열어 본 하이퍼링크" xfId="1723" builtinId="9" hidden="1"/>
    <cellStyle name="열어 본 하이퍼링크" xfId="1725" builtinId="9" hidden="1"/>
    <cellStyle name="열어 본 하이퍼링크" xfId="1727" builtinId="9" hidden="1"/>
    <cellStyle name="열어 본 하이퍼링크" xfId="1729" builtinId="9" hidden="1"/>
    <cellStyle name="열어 본 하이퍼링크" xfId="1731" builtinId="9" hidden="1"/>
    <cellStyle name="열어 본 하이퍼링크" xfId="1733" builtinId="9" hidden="1"/>
    <cellStyle name="열어 본 하이퍼링크" xfId="1735" builtinId="9" hidden="1"/>
    <cellStyle name="열어 본 하이퍼링크" xfId="1737" builtinId="9" hidden="1"/>
    <cellStyle name="열어 본 하이퍼링크" xfId="1739" builtinId="9" hidden="1"/>
    <cellStyle name="열어 본 하이퍼링크" xfId="1741" builtinId="9" hidden="1"/>
    <cellStyle name="열어 본 하이퍼링크" xfId="1743" builtinId="9" hidden="1"/>
    <cellStyle name="열어 본 하이퍼링크" xfId="1745" builtinId="9" hidden="1"/>
    <cellStyle name="열어 본 하이퍼링크" xfId="1747" builtinId="9" hidden="1"/>
    <cellStyle name="열어 본 하이퍼링크" xfId="1749" builtinId="9" hidden="1"/>
    <cellStyle name="열어 본 하이퍼링크" xfId="1751" builtinId="9" hidden="1"/>
    <cellStyle name="열어 본 하이퍼링크" xfId="1753" builtinId="9" hidden="1"/>
    <cellStyle name="열어 본 하이퍼링크" xfId="1755" builtinId="9" hidden="1"/>
    <cellStyle name="열어 본 하이퍼링크" xfId="1757" builtinId="9" hidden="1"/>
    <cellStyle name="열어 본 하이퍼링크" xfId="1759" builtinId="9" hidden="1"/>
    <cellStyle name="열어 본 하이퍼링크" xfId="1761" builtinId="9" hidden="1"/>
    <cellStyle name="열어 본 하이퍼링크" xfId="1763" builtinId="9" hidden="1"/>
    <cellStyle name="열어 본 하이퍼링크" xfId="1765" builtinId="9" hidden="1"/>
    <cellStyle name="열어 본 하이퍼링크" xfId="1767" builtinId="9" hidden="1"/>
    <cellStyle name="열어 본 하이퍼링크" xfId="1769" builtinId="9" hidden="1"/>
    <cellStyle name="열어 본 하이퍼링크" xfId="1771" builtinId="9" hidden="1"/>
    <cellStyle name="열어 본 하이퍼링크" xfId="1773" builtinId="9" hidden="1"/>
    <cellStyle name="열어 본 하이퍼링크" xfId="1775" builtinId="9" hidden="1"/>
    <cellStyle name="열어 본 하이퍼링크" xfId="1777" builtinId="9" hidden="1"/>
    <cellStyle name="열어 본 하이퍼링크" xfId="1779" builtinId="9" hidden="1"/>
    <cellStyle name="열어 본 하이퍼링크" xfId="1781" builtinId="9" hidden="1"/>
    <cellStyle name="열어 본 하이퍼링크" xfId="1783" builtinId="9" hidden="1"/>
    <cellStyle name="열어 본 하이퍼링크" xfId="1785" builtinId="9" hidden="1"/>
    <cellStyle name="열어 본 하이퍼링크" xfId="1787" builtinId="9" hidden="1"/>
    <cellStyle name="열어 본 하이퍼링크" xfId="1789" builtinId="9" hidden="1"/>
    <cellStyle name="열어 본 하이퍼링크" xfId="1791" builtinId="9" hidden="1"/>
    <cellStyle name="열어 본 하이퍼링크" xfId="1793" builtinId="9" hidden="1"/>
    <cellStyle name="열어 본 하이퍼링크" xfId="1795" builtinId="9" hidden="1"/>
    <cellStyle name="열어 본 하이퍼링크" xfId="1797" builtinId="9" hidden="1"/>
    <cellStyle name="열어 본 하이퍼링크" xfId="1799" builtinId="9" hidden="1"/>
    <cellStyle name="열어 본 하이퍼링크" xfId="1801" builtinId="9" hidden="1"/>
    <cellStyle name="열어 본 하이퍼링크" xfId="1803" builtinId="9" hidden="1"/>
    <cellStyle name="열어 본 하이퍼링크" xfId="1805" builtinId="9" hidden="1"/>
    <cellStyle name="열어 본 하이퍼링크" xfId="1807" builtinId="9" hidden="1"/>
    <cellStyle name="열어 본 하이퍼링크" xfId="1809" builtinId="9" hidden="1"/>
    <cellStyle name="열어 본 하이퍼링크" xfId="1811" builtinId="9" hidden="1"/>
    <cellStyle name="열어 본 하이퍼링크" xfId="1813" builtinId="9" hidden="1"/>
    <cellStyle name="열어 본 하이퍼링크" xfId="1815" builtinId="9" hidden="1"/>
    <cellStyle name="열어 본 하이퍼링크" xfId="1817" builtinId="9" hidden="1"/>
    <cellStyle name="열어 본 하이퍼링크" xfId="1819" builtinId="9" hidden="1"/>
    <cellStyle name="열어 본 하이퍼링크" xfId="1821" builtinId="9" hidden="1"/>
    <cellStyle name="열어 본 하이퍼링크" xfId="1823" builtinId="9" hidden="1"/>
    <cellStyle name="열어 본 하이퍼링크" xfId="1825" builtinId="9" hidden="1"/>
    <cellStyle name="열어 본 하이퍼링크" xfId="1827" builtinId="9" hidden="1"/>
    <cellStyle name="열어 본 하이퍼링크" xfId="1829" builtinId="9" hidden="1"/>
    <cellStyle name="열어 본 하이퍼링크" xfId="1831" builtinId="9" hidden="1"/>
    <cellStyle name="열어 본 하이퍼링크" xfId="1833" builtinId="9" hidden="1"/>
    <cellStyle name="열어 본 하이퍼링크" xfId="1835" builtinId="9" hidden="1"/>
    <cellStyle name="열어 본 하이퍼링크" xfId="1837" builtinId="9" hidden="1"/>
    <cellStyle name="열어 본 하이퍼링크" xfId="1839" builtinId="9" hidden="1"/>
    <cellStyle name="열어 본 하이퍼링크" xfId="1841" builtinId="9" hidden="1"/>
    <cellStyle name="열어 본 하이퍼링크" xfId="1843" builtinId="9" hidden="1"/>
    <cellStyle name="열어 본 하이퍼링크" xfId="1845" builtinId="9" hidden="1"/>
    <cellStyle name="열어 본 하이퍼링크" xfId="1847" builtinId="9" hidden="1"/>
    <cellStyle name="열어 본 하이퍼링크" xfId="1849" builtinId="9" hidden="1"/>
    <cellStyle name="열어 본 하이퍼링크" xfId="1851" builtinId="9" hidden="1"/>
    <cellStyle name="열어 본 하이퍼링크" xfId="1853" builtinId="9" hidden="1"/>
    <cellStyle name="열어 본 하이퍼링크" xfId="1855" builtinId="9" hidden="1"/>
    <cellStyle name="열어 본 하이퍼링크" xfId="1857" builtinId="9" hidden="1"/>
    <cellStyle name="열어 본 하이퍼링크" xfId="1859" builtinId="9" hidden="1"/>
    <cellStyle name="열어 본 하이퍼링크" xfId="1861" builtinId="9" hidden="1"/>
    <cellStyle name="열어 본 하이퍼링크" xfId="1863" builtinId="9" hidden="1"/>
    <cellStyle name="열어 본 하이퍼링크" xfId="1865" builtinId="9" hidden="1"/>
    <cellStyle name="열어 본 하이퍼링크" xfId="1867" builtinId="9" hidden="1"/>
    <cellStyle name="열어 본 하이퍼링크" xfId="1869" builtinId="9" hidden="1"/>
    <cellStyle name="열어 본 하이퍼링크" xfId="1871" builtinId="9" hidden="1"/>
    <cellStyle name="열어 본 하이퍼링크" xfId="1873" builtinId="9" hidden="1"/>
    <cellStyle name="열어 본 하이퍼링크" xfId="1875" builtinId="9" hidden="1"/>
    <cellStyle name="열어 본 하이퍼링크" xfId="1877" builtinId="9" hidden="1"/>
    <cellStyle name="열어 본 하이퍼링크" xfId="1879" builtinId="9" hidden="1"/>
    <cellStyle name="열어 본 하이퍼링크" xfId="1881" builtinId="9" hidden="1"/>
    <cellStyle name="열어 본 하이퍼링크" xfId="1883" builtinId="9" hidden="1"/>
    <cellStyle name="열어 본 하이퍼링크" xfId="1885" builtinId="9" hidden="1"/>
    <cellStyle name="열어 본 하이퍼링크" xfId="1887" builtinId="9" hidden="1"/>
    <cellStyle name="열어 본 하이퍼링크" xfId="1889" builtinId="9" hidden="1"/>
    <cellStyle name="열어 본 하이퍼링크" xfId="1891" builtinId="9" hidden="1"/>
    <cellStyle name="열어 본 하이퍼링크" xfId="1893" builtinId="9" hidden="1"/>
    <cellStyle name="열어 본 하이퍼링크" xfId="1895" builtinId="9" hidden="1"/>
    <cellStyle name="열어 본 하이퍼링크" xfId="1897" builtinId="9" hidden="1"/>
    <cellStyle name="열어 본 하이퍼링크" xfId="1899" builtinId="9" hidden="1"/>
    <cellStyle name="열어 본 하이퍼링크" xfId="1901" builtinId="9" hidden="1"/>
    <cellStyle name="열어 본 하이퍼링크" xfId="1903" builtinId="9" hidden="1"/>
    <cellStyle name="열어 본 하이퍼링크" xfId="1905" builtinId="9" hidden="1"/>
    <cellStyle name="열어 본 하이퍼링크" xfId="1907" builtinId="9" hidden="1"/>
    <cellStyle name="열어 본 하이퍼링크" xfId="1909" builtinId="9" hidden="1"/>
    <cellStyle name="열어 본 하이퍼링크" xfId="1911" builtinId="9" hidden="1"/>
    <cellStyle name="열어 본 하이퍼링크" xfId="1913" builtinId="9" hidden="1"/>
    <cellStyle name="열어 본 하이퍼링크" xfId="1915" builtinId="9" hidden="1"/>
    <cellStyle name="열어 본 하이퍼링크" xfId="1917" builtinId="9" hidden="1"/>
    <cellStyle name="열어 본 하이퍼링크" xfId="1919" builtinId="9" hidden="1"/>
    <cellStyle name="열어 본 하이퍼링크" xfId="1921" builtinId="9" hidden="1"/>
    <cellStyle name="열어 본 하이퍼링크" xfId="1923" builtinId="9" hidden="1"/>
    <cellStyle name="열어 본 하이퍼링크" xfId="1925" builtinId="9" hidden="1"/>
    <cellStyle name="열어 본 하이퍼링크" xfId="1927" builtinId="9" hidden="1"/>
    <cellStyle name="열어 본 하이퍼링크" xfId="1929" builtinId="9" hidden="1"/>
    <cellStyle name="열어 본 하이퍼링크" xfId="1931" builtinId="9" hidden="1"/>
    <cellStyle name="열어 본 하이퍼링크" xfId="1933" builtinId="9" hidden="1"/>
    <cellStyle name="열어 본 하이퍼링크" xfId="1935" builtinId="9" hidden="1"/>
    <cellStyle name="열어 본 하이퍼링크" xfId="1937" builtinId="9" hidden="1"/>
    <cellStyle name="열어 본 하이퍼링크" xfId="1939" builtinId="9" hidden="1"/>
    <cellStyle name="열어 본 하이퍼링크" xfId="1941" builtinId="9" hidden="1"/>
    <cellStyle name="열어 본 하이퍼링크" xfId="1943" builtinId="9" hidden="1"/>
    <cellStyle name="열어 본 하이퍼링크" xfId="1945" builtinId="9" hidden="1"/>
    <cellStyle name="열어 본 하이퍼링크" xfId="1947" builtinId="9" hidden="1"/>
    <cellStyle name="열어 본 하이퍼링크" xfId="1949" builtinId="9" hidden="1"/>
    <cellStyle name="열어 본 하이퍼링크" xfId="1951" builtinId="9" hidden="1"/>
    <cellStyle name="열어 본 하이퍼링크" xfId="1953" builtinId="9" hidden="1"/>
    <cellStyle name="열어 본 하이퍼링크" xfId="1955" builtinId="9" hidden="1"/>
    <cellStyle name="열어 본 하이퍼링크" xfId="1957" builtinId="9" hidden="1"/>
    <cellStyle name="열어 본 하이퍼링크" xfId="1959" builtinId="9" hidden="1"/>
    <cellStyle name="열어 본 하이퍼링크" xfId="1961" builtinId="9" hidden="1"/>
    <cellStyle name="열어 본 하이퍼링크" xfId="1963" builtinId="9" hidden="1"/>
    <cellStyle name="열어 본 하이퍼링크" xfId="1965" builtinId="9" hidden="1"/>
    <cellStyle name="열어 본 하이퍼링크" xfId="1967" builtinId="9" hidden="1"/>
    <cellStyle name="열어 본 하이퍼링크" xfId="1969" builtinId="9" hidden="1"/>
    <cellStyle name="열어 본 하이퍼링크" xfId="1971" builtinId="9" hidden="1"/>
    <cellStyle name="열어 본 하이퍼링크" xfId="1973" builtinId="9" hidden="1"/>
    <cellStyle name="열어 본 하이퍼링크" xfId="1975" builtinId="9" hidden="1"/>
    <cellStyle name="열어 본 하이퍼링크" xfId="1977" builtinId="9" hidden="1"/>
    <cellStyle name="열어 본 하이퍼링크" xfId="1979" builtinId="9" hidden="1"/>
    <cellStyle name="열어 본 하이퍼링크" xfId="1981" builtinId="9" hidden="1"/>
    <cellStyle name="열어 본 하이퍼링크" xfId="1983" builtinId="9" hidden="1"/>
    <cellStyle name="열어 본 하이퍼링크" xfId="1985" builtinId="9" hidden="1"/>
    <cellStyle name="열어 본 하이퍼링크" xfId="1987" builtinId="9" hidden="1"/>
    <cellStyle name="열어 본 하이퍼링크" xfId="1989" builtinId="9" hidden="1"/>
    <cellStyle name="열어 본 하이퍼링크" xfId="1991" builtinId="9" hidden="1"/>
    <cellStyle name="열어 본 하이퍼링크" xfId="1993" builtinId="9" hidden="1"/>
    <cellStyle name="열어 본 하이퍼링크" xfId="1995" builtinId="9" hidden="1"/>
    <cellStyle name="열어 본 하이퍼링크" xfId="1997" builtinId="9" hidden="1"/>
    <cellStyle name="열어 본 하이퍼링크" xfId="1999" builtinId="9" hidden="1"/>
    <cellStyle name="열어 본 하이퍼링크" xfId="2001" builtinId="9" hidden="1"/>
    <cellStyle name="열어 본 하이퍼링크" xfId="2003" builtinId="9" hidden="1"/>
    <cellStyle name="열어 본 하이퍼링크" xfId="2005" builtinId="9" hidden="1"/>
    <cellStyle name="열어 본 하이퍼링크" xfId="2007" builtinId="9" hidden="1"/>
    <cellStyle name="열어 본 하이퍼링크" xfId="2009" builtinId="9" hidden="1"/>
    <cellStyle name="열어 본 하이퍼링크" xfId="2011" builtinId="9" hidden="1"/>
    <cellStyle name="열어 본 하이퍼링크" xfId="2013" builtinId="9" hidden="1"/>
    <cellStyle name="열어 본 하이퍼링크" xfId="2015" builtinId="9" hidden="1"/>
    <cellStyle name="열어 본 하이퍼링크" xfId="2017" builtinId="9" hidden="1"/>
    <cellStyle name="열어 본 하이퍼링크" xfId="2019" builtinId="9" hidden="1"/>
    <cellStyle name="열어 본 하이퍼링크" xfId="2021" builtinId="9" hidden="1"/>
    <cellStyle name="열어 본 하이퍼링크" xfId="2023" builtinId="9" hidden="1"/>
    <cellStyle name="열어 본 하이퍼링크" xfId="2025" builtinId="9" hidden="1"/>
    <cellStyle name="열어 본 하이퍼링크" xfId="2027" builtinId="9" hidden="1"/>
    <cellStyle name="열어 본 하이퍼링크" xfId="2029" builtinId="9" hidden="1"/>
    <cellStyle name="열어 본 하이퍼링크" xfId="2031" builtinId="9" hidden="1"/>
    <cellStyle name="열어 본 하이퍼링크" xfId="2033" builtinId="9" hidden="1"/>
    <cellStyle name="열어 본 하이퍼링크" xfId="2035" builtinId="9" hidden="1"/>
    <cellStyle name="열어 본 하이퍼링크" xfId="2037" builtinId="9" hidden="1"/>
    <cellStyle name="열어 본 하이퍼링크" xfId="2039" builtinId="9" hidden="1"/>
    <cellStyle name="열어 본 하이퍼링크" xfId="2041" builtinId="9" hidden="1"/>
    <cellStyle name="열어 본 하이퍼링크" xfId="2043" builtinId="9" hidden="1"/>
    <cellStyle name="열어 본 하이퍼링크" xfId="2045" builtinId="9" hidden="1"/>
    <cellStyle name="열어 본 하이퍼링크" xfId="2047" builtinId="9" hidden="1"/>
    <cellStyle name="열어 본 하이퍼링크" xfId="2049" builtinId="9" hidden="1"/>
    <cellStyle name="열어 본 하이퍼링크" xfId="2051" builtinId="9" hidden="1"/>
    <cellStyle name="열어 본 하이퍼링크" xfId="2053" builtinId="9" hidden="1"/>
    <cellStyle name="열어 본 하이퍼링크" xfId="2055" builtinId="9" hidden="1"/>
    <cellStyle name="열어 본 하이퍼링크" xfId="2057" builtinId="9" hidden="1"/>
    <cellStyle name="열어 본 하이퍼링크" xfId="2059" builtinId="9" hidden="1"/>
    <cellStyle name="열어 본 하이퍼링크" xfId="2061" builtinId="9" hidden="1"/>
    <cellStyle name="열어 본 하이퍼링크" xfId="2063" builtinId="9" hidden="1"/>
    <cellStyle name="열어 본 하이퍼링크" xfId="2065" builtinId="9" hidden="1"/>
    <cellStyle name="열어 본 하이퍼링크" xfId="2067" builtinId="9" hidden="1"/>
    <cellStyle name="열어 본 하이퍼링크" xfId="2069" builtinId="9" hidden="1"/>
    <cellStyle name="열어 본 하이퍼링크" xfId="2071" builtinId="9" hidden="1"/>
    <cellStyle name="열어 본 하이퍼링크" xfId="2073" builtinId="9" hidden="1"/>
    <cellStyle name="열어 본 하이퍼링크" xfId="2075" builtinId="9" hidden="1"/>
    <cellStyle name="열어 본 하이퍼링크" xfId="2077" builtinId="9" hidden="1"/>
    <cellStyle name="열어 본 하이퍼링크" xfId="2079" builtinId="9" hidden="1"/>
    <cellStyle name="열어 본 하이퍼링크" xfId="2081" builtinId="9" hidden="1"/>
    <cellStyle name="열어 본 하이퍼링크" xfId="2083" builtinId="9" hidden="1"/>
    <cellStyle name="열어 본 하이퍼링크" xfId="2085" builtinId="9" hidden="1"/>
    <cellStyle name="열어 본 하이퍼링크" xfId="2087" builtinId="9" hidden="1"/>
    <cellStyle name="열어 본 하이퍼링크" xfId="2089" builtinId="9" hidden="1"/>
    <cellStyle name="열어 본 하이퍼링크" xfId="2091" builtinId="9" hidden="1"/>
    <cellStyle name="열어 본 하이퍼링크" xfId="2093" builtinId="9" hidden="1"/>
    <cellStyle name="열어 본 하이퍼링크" xfId="2095" builtinId="9" hidden="1"/>
    <cellStyle name="열어 본 하이퍼링크" xfId="2097" builtinId="9" hidden="1"/>
    <cellStyle name="열어 본 하이퍼링크" xfId="2099" builtinId="9" hidden="1"/>
    <cellStyle name="열어 본 하이퍼링크" xfId="2101" builtinId="9" hidden="1"/>
    <cellStyle name="열어 본 하이퍼링크" xfId="2103" builtinId="9" hidden="1"/>
    <cellStyle name="열어 본 하이퍼링크" xfId="2105" builtinId="9" hidden="1"/>
    <cellStyle name="열어 본 하이퍼링크" xfId="2107" builtinId="9" hidden="1"/>
    <cellStyle name="열어 본 하이퍼링크" xfId="2109" builtinId="9" hidden="1"/>
    <cellStyle name="열어 본 하이퍼링크" xfId="2111" builtinId="9" hidden="1"/>
    <cellStyle name="열어 본 하이퍼링크" xfId="2113" builtinId="9" hidden="1"/>
    <cellStyle name="열어 본 하이퍼링크" xfId="2115" builtinId="9" hidden="1"/>
    <cellStyle name="열어 본 하이퍼링크" xfId="2117" builtinId="9" hidden="1"/>
    <cellStyle name="열어 본 하이퍼링크" xfId="2119" builtinId="9" hidden="1"/>
    <cellStyle name="열어 본 하이퍼링크" xfId="2121" builtinId="9" hidden="1"/>
    <cellStyle name="열어 본 하이퍼링크" xfId="2123" builtinId="9" hidden="1"/>
    <cellStyle name="열어 본 하이퍼링크" xfId="2125" builtinId="9" hidden="1"/>
    <cellStyle name="열어 본 하이퍼링크" xfId="2127" builtinId="9" hidden="1"/>
    <cellStyle name="열어 본 하이퍼링크" xfId="2129" builtinId="9" hidden="1"/>
    <cellStyle name="열어 본 하이퍼링크" xfId="2131" builtinId="9" hidden="1"/>
    <cellStyle name="열어 본 하이퍼링크" xfId="2133" builtinId="9" hidden="1"/>
    <cellStyle name="열어 본 하이퍼링크" xfId="2135" builtinId="9" hidden="1"/>
    <cellStyle name="열어 본 하이퍼링크" xfId="2137" builtinId="9" hidden="1"/>
    <cellStyle name="열어 본 하이퍼링크" xfId="2139" builtinId="9" hidden="1"/>
    <cellStyle name="열어 본 하이퍼링크" xfId="2141" builtinId="9" hidden="1"/>
    <cellStyle name="열어 본 하이퍼링크" xfId="2143" builtinId="9" hidden="1"/>
    <cellStyle name="열어 본 하이퍼링크" xfId="2145" builtinId="9" hidden="1"/>
    <cellStyle name="열어 본 하이퍼링크" xfId="2147" builtinId="9" hidden="1"/>
    <cellStyle name="열어 본 하이퍼링크" xfId="2149" builtinId="9" hidden="1"/>
    <cellStyle name="열어 본 하이퍼링크" xfId="2151" builtinId="9" hidden="1"/>
    <cellStyle name="열어 본 하이퍼링크" xfId="2153" builtinId="9" hidden="1"/>
    <cellStyle name="열어 본 하이퍼링크" xfId="2155" builtinId="9" hidden="1"/>
    <cellStyle name="열어 본 하이퍼링크" xfId="2157" builtinId="9" hidden="1"/>
    <cellStyle name="열어 본 하이퍼링크" xfId="2159" builtinId="9" hidden="1"/>
    <cellStyle name="열어 본 하이퍼링크" xfId="2161" builtinId="9" hidden="1"/>
    <cellStyle name="열어 본 하이퍼링크" xfId="2163" builtinId="9" hidden="1"/>
    <cellStyle name="열어 본 하이퍼링크" xfId="2165" builtinId="9" hidden="1"/>
    <cellStyle name="열어 본 하이퍼링크" xfId="2167" builtinId="9" hidden="1"/>
    <cellStyle name="열어 본 하이퍼링크" xfId="2169" builtinId="9" hidden="1"/>
    <cellStyle name="열어 본 하이퍼링크" xfId="2171" builtinId="9" hidden="1"/>
    <cellStyle name="열어 본 하이퍼링크" xfId="2173" builtinId="9" hidden="1"/>
    <cellStyle name="열어 본 하이퍼링크" xfId="2175" builtinId="9" hidden="1"/>
    <cellStyle name="열어 본 하이퍼링크" xfId="2177" builtinId="9" hidden="1"/>
    <cellStyle name="열어 본 하이퍼링크" xfId="2179" builtinId="9" hidden="1"/>
    <cellStyle name="열어 본 하이퍼링크" xfId="2181" builtinId="9" hidden="1"/>
    <cellStyle name="열어 본 하이퍼링크" xfId="2183" builtinId="9" hidden="1"/>
    <cellStyle name="열어 본 하이퍼링크" xfId="2185" builtinId="9" hidden="1"/>
    <cellStyle name="열어 본 하이퍼링크" xfId="2187" builtinId="9" hidden="1"/>
    <cellStyle name="열어 본 하이퍼링크" xfId="2189" builtinId="9" hidden="1"/>
    <cellStyle name="열어 본 하이퍼링크" xfId="2191" builtinId="9" hidden="1"/>
    <cellStyle name="열어 본 하이퍼링크" xfId="2193" builtinId="9" hidden="1"/>
    <cellStyle name="열어 본 하이퍼링크" xfId="2195" builtinId="9" hidden="1"/>
    <cellStyle name="열어 본 하이퍼링크" xfId="2197" builtinId="9" hidden="1"/>
    <cellStyle name="열어 본 하이퍼링크" xfId="2199" builtinId="9" hidden="1"/>
    <cellStyle name="열어 본 하이퍼링크" xfId="2201" builtinId="9" hidden="1"/>
    <cellStyle name="열어 본 하이퍼링크" xfId="2203" builtinId="9" hidden="1"/>
    <cellStyle name="열어 본 하이퍼링크" xfId="2205" builtinId="9" hidden="1"/>
    <cellStyle name="열어 본 하이퍼링크" xfId="2207" builtinId="9" hidden="1"/>
    <cellStyle name="열어 본 하이퍼링크" xfId="2209" builtinId="9" hidden="1"/>
    <cellStyle name="열어 본 하이퍼링크" xfId="2211" builtinId="9" hidden="1"/>
    <cellStyle name="열어 본 하이퍼링크" xfId="2213" builtinId="9" hidden="1"/>
    <cellStyle name="열어 본 하이퍼링크" xfId="2215" builtinId="9" hidden="1"/>
    <cellStyle name="열어 본 하이퍼링크" xfId="2217" builtinId="9" hidden="1"/>
    <cellStyle name="열어 본 하이퍼링크" xfId="2219" builtinId="9" hidden="1"/>
    <cellStyle name="열어 본 하이퍼링크" xfId="2221" builtinId="9" hidden="1"/>
    <cellStyle name="열어 본 하이퍼링크" xfId="2223" builtinId="9" hidden="1"/>
    <cellStyle name="열어 본 하이퍼링크" xfId="2225" builtinId="9" hidden="1"/>
    <cellStyle name="열어 본 하이퍼링크" xfId="2227" builtinId="9" hidden="1"/>
    <cellStyle name="열어 본 하이퍼링크" xfId="2229" builtinId="9" hidden="1"/>
    <cellStyle name="열어 본 하이퍼링크" xfId="2231" builtinId="9" hidden="1"/>
    <cellStyle name="열어 본 하이퍼링크" xfId="2233" builtinId="9" hidden="1"/>
    <cellStyle name="열어 본 하이퍼링크" xfId="2235" builtinId="9" hidden="1"/>
    <cellStyle name="열어 본 하이퍼링크" xfId="2237" builtinId="9" hidden="1"/>
    <cellStyle name="열어 본 하이퍼링크" xfId="2239" builtinId="9" hidden="1"/>
    <cellStyle name="열어 본 하이퍼링크" xfId="2241" builtinId="9" hidden="1"/>
    <cellStyle name="열어 본 하이퍼링크" xfId="2243" builtinId="9" hidden="1"/>
    <cellStyle name="열어 본 하이퍼링크" xfId="2245" builtinId="9" hidden="1"/>
    <cellStyle name="열어 본 하이퍼링크" xfId="2247" builtinId="9" hidden="1"/>
    <cellStyle name="열어 본 하이퍼링크" xfId="2249" builtinId="9" hidden="1"/>
    <cellStyle name="열어 본 하이퍼링크" xfId="2251" builtinId="9" hidden="1"/>
    <cellStyle name="열어 본 하이퍼링크" xfId="2253" builtinId="9" hidden="1"/>
    <cellStyle name="열어 본 하이퍼링크" xfId="2255" builtinId="9" hidden="1"/>
    <cellStyle name="열어 본 하이퍼링크" xfId="2257" builtinId="9" hidden="1"/>
    <cellStyle name="열어 본 하이퍼링크" xfId="2259" builtinId="9" hidden="1"/>
    <cellStyle name="열어 본 하이퍼링크" xfId="2261" builtinId="9" hidden="1"/>
    <cellStyle name="열어 본 하이퍼링크" xfId="2263" builtinId="9" hidden="1"/>
    <cellStyle name="열어 본 하이퍼링크" xfId="2265" builtinId="9" hidden="1"/>
    <cellStyle name="열어 본 하이퍼링크" xfId="2267" builtinId="9" hidden="1"/>
    <cellStyle name="열어 본 하이퍼링크" xfId="2269" builtinId="9" hidden="1"/>
    <cellStyle name="열어 본 하이퍼링크" xfId="2271" builtinId="9" hidden="1"/>
    <cellStyle name="열어 본 하이퍼링크" xfId="2273" builtinId="9" hidden="1"/>
    <cellStyle name="열어 본 하이퍼링크" xfId="2275" builtinId="9" hidden="1"/>
    <cellStyle name="열어 본 하이퍼링크" xfId="2277" builtinId="9" hidden="1"/>
    <cellStyle name="열어 본 하이퍼링크" xfId="2279" builtinId="9" hidden="1"/>
    <cellStyle name="열어 본 하이퍼링크" xfId="2281" builtinId="9" hidden="1"/>
    <cellStyle name="열어 본 하이퍼링크" xfId="2283" builtinId="9" hidden="1"/>
    <cellStyle name="열어 본 하이퍼링크" xfId="2285" builtinId="9" hidden="1"/>
    <cellStyle name="열어 본 하이퍼링크" xfId="2287" builtinId="9" hidden="1"/>
    <cellStyle name="열어 본 하이퍼링크" xfId="2289" builtinId="9" hidden="1"/>
    <cellStyle name="열어 본 하이퍼링크" xfId="2291" builtinId="9" hidden="1"/>
    <cellStyle name="열어 본 하이퍼링크" xfId="2293" builtinId="9" hidden="1"/>
    <cellStyle name="열어 본 하이퍼링크" xfId="2295" builtinId="9" hidden="1"/>
    <cellStyle name="열어 본 하이퍼링크" xfId="2297" builtinId="9" hidden="1"/>
    <cellStyle name="열어 본 하이퍼링크" xfId="2299" builtinId="9" hidden="1"/>
    <cellStyle name="열어 본 하이퍼링크" xfId="2301" builtinId="9" hidden="1"/>
    <cellStyle name="열어 본 하이퍼링크" xfId="2303" builtinId="9" hidden="1"/>
    <cellStyle name="열어 본 하이퍼링크" xfId="2305" builtinId="9" hidden="1"/>
    <cellStyle name="열어 본 하이퍼링크" xfId="2307" builtinId="9" hidden="1"/>
    <cellStyle name="열어 본 하이퍼링크" xfId="2309" builtinId="9" hidden="1"/>
    <cellStyle name="열어 본 하이퍼링크" xfId="2311" builtinId="9" hidden="1"/>
    <cellStyle name="열어 본 하이퍼링크" xfId="2313" builtinId="9" hidden="1"/>
    <cellStyle name="열어 본 하이퍼링크" xfId="2315" builtinId="9" hidden="1"/>
    <cellStyle name="열어 본 하이퍼링크" xfId="2317" builtinId="9" hidden="1"/>
    <cellStyle name="열어 본 하이퍼링크" xfId="2319" builtinId="9" hidden="1"/>
    <cellStyle name="열어 본 하이퍼링크" xfId="2321" builtinId="9" hidden="1"/>
    <cellStyle name="열어 본 하이퍼링크" xfId="2323" builtinId="9" hidden="1"/>
    <cellStyle name="열어 본 하이퍼링크" xfId="2325" builtinId="9" hidden="1"/>
    <cellStyle name="열어 본 하이퍼링크" xfId="2327" builtinId="9" hidden="1"/>
    <cellStyle name="열어 본 하이퍼링크" xfId="2329" builtinId="9" hidden="1"/>
    <cellStyle name="열어 본 하이퍼링크" xfId="2331" builtinId="9" hidden="1"/>
    <cellStyle name="열어 본 하이퍼링크" xfId="2333" builtinId="9" hidden="1"/>
    <cellStyle name="열어 본 하이퍼링크" xfId="2335" builtinId="9" hidden="1"/>
    <cellStyle name="열어 본 하이퍼링크" xfId="2337" builtinId="9" hidden="1"/>
    <cellStyle name="열어 본 하이퍼링크" xfId="2339" builtinId="9" hidden="1"/>
    <cellStyle name="열어 본 하이퍼링크" xfId="2341" builtinId="9" hidden="1"/>
    <cellStyle name="열어 본 하이퍼링크" xfId="2343" builtinId="9" hidden="1"/>
    <cellStyle name="열어 본 하이퍼링크" xfId="2345" builtinId="9" hidden="1"/>
    <cellStyle name="열어 본 하이퍼링크" xfId="2347" builtinId="9" hidden="1"/>
    <cellStyle name="열어 본 하이퍼링크" xfId="2349" builtinId="9" hidden="1"/>
    <cellStyle name="열어 본 하이퍼링크" xfId="2351" builtinId="9" hidden="1"/>
    <cellStyle name="열어 본 하이퍼링크" xfId="2353" builtinId="9" hidden="1"/>
    <cellStyle name="열어 본 하이퍼링크" xfId="2355" builtinId="9" hidden="1"/>
    <cellStyle name="열어 본 하이퍼링크" xfId="2357" builtinId="9" hidden="1"/>
    <cellStyle name="열어 본 하이퍼링크" xfId="2359" builtinId="9" hidden="1"/>
    <cellStyle name="열어 본 하이퍼링크" xfId="2361" builtinId="9" hidden="1"/>
    <cellStyle name="열어 본 하이퍼링크" xfId="2363" builtinId="9" hidden="1"/>
    <cellStyle name="열어 본 하이퍼링크" xfId="2365" builtinId="9" hidden="1"/>
    <cellStyle name="열어 본 하이퍼링크" xfId="2367" builtinId="9" hidden="1"/>
    <cellStyle name="열어 본 하이퍼링크" xfId="2369" builtinId="9" hidden="1"/>
    <cellStyle name="열어 본 하이퍼링크" xfId="2371" builtinId="9" hidden="1"/>
    <cellStyle name="열어 본 하이퍼링크" xfId="2373" builtinId="9" hidden="1"/>
    <cellStyle name="열어 본 하이퍼링크" xfId="2375" builtinId="9" hidden="1"/>
    <cellStyle name="열어 본 하이퍼링크" xfId="2377" builtinId="9" hidden="1"/>
    <cellStyle name="열어 본 하이퍼링크" xfId="2379" builtinId="9" hidden="1"/>
    <cellStyle name="열어 본 하이퍼링크" xfId="2381" builtinId="9" hidden="1"/>
    <cellStyle name="열어 본 하이퍼링크" xfId="2383" builtinId="9" hidden="1"/>
    <cellStyle name="열어 본 하이퍼링크" xfId="2385" builtinId="9" hidden="1"/>
    <cellStyle name="열어 본 하이퍼링크" xfId="2387" builtinId="9" hidden="1"/>
    <cellStyle name="열어 본 하이퍼링크" xfId="2389" builtinId="9" hidden="1"/>
    <cellStyle name="열어 본 하이퍼링크" xfId="2391" builtinId="9" hidden="1"/>
    <cellStyle name="열어 본 하이퍼링크" xfId="2393" builtinId="9" hidden="1"/>
    <cellStyle name="열어 본 하이퍼링크" xfId="2395" builtinId="9" hidden="1"/>
    <cellStyle name="열어 본 하이퍼링크" xfId="2397" builtinId="9" hidden="1"/>
    <cellStyle name="열어 본 하이퍼링크" xfId="2399" builtinId="9" hidden="1"/>
    <cellStyle name="열어 본 하이퍼링크" xfId="2401" builtinId="9" hidden="1"/>
    <cellStyle name="열어 본 하이퍼링크" xfId="2403" builtinId="9" hidden="1"/>
    <cellStyle name="열어 본 하이퍼링크" xfId="2405" builtinId="9" hidden="1"/>
    <cellStyle name="열어 본 하이퍼링크" xfId="2407" builtinId="9" hidden="1"/>
    <cellStyle name="열어 본 하이퍼링크" xfId="2409" builtinId="9" hidden="1"/>
    <cellStyle name="열어 본 하이퍼링크" xfId="2411" builtinId="9" hidden="1"/>
    <cellStyle name="열어 본 하이퍼링크" xfId="2413" builtinId="9" hidden="1"/>
    <cellStyle name="열어 본 하이퍼링크" xfId="2415" builtinId="9" hidden="1"/>
    <cellStyle name="열어 본 하이퍼링크" xfId="2417" builtinId="9" hidden="1"/>
    <cellStyle name="열어 본 하이퍼링크" xfId="2419" builtinId="9" hidden="1"/>
    <cellStyle name="열어 본 하이퍼링크" xfId="2421" builtinId="9" hidden="1"/>
    <cellStyle name="열어 본 하이퍼링크" xfId="2423" builtinId="9" hidden="1"/>
    <cellStyle name="열어 본 하이퍼링크" xfId="2425" builtinId="9" hidden="1"/>
    <cellStyle name="열어 본 하이퍼링크" xfId="2427" builtinId="9" hidden="1"/>
    <cellStyle name="열어 본 하이퍼링크" xfId="2429" builtinId="9" hidden="1"/>
    <cellStyle name="열어 본 하이퍼링크" xfId="2431" builtinId="9" hidden="1"/>
    <cellStyle name="열어 본 하이퍼링크" xfId="2433" builtinId="9" hidden="1"/>
    <cellStyle name="열어 본 하이퍼링크" xfId="2435" builtinId="9" hidden="1"/>
    <cellStyle name="열어 본 하이퍼링크" xfId="2437" builtinId="9" hidden="1"/>
    <cellStyle name="열어 본 하이퍼링크" xfId="2439" builtinId="9" hidden="1"/>
    <cellStyle name="열어 본 하이퍼링크" xfId="2441" builtinId="9" hidden="1"/>
    <cellStyle name="열어 본 하이퍼링크" xfId="2443" builtinId="9" hidden="1"/>
    <cellStyle name="열어 본 하이퍼링크" xfId="2445" builtinId="9" hidden="1"/>
    <cellStyle name="열어 본 하이퍼링크" xfId="2447" builtinId="9" hidden="1"/>
    <cellStyle name="열어 본 하이퍼링크" xfId="2449" builtinId="9" hidden="1"/>
    <cellStyle name="열어 본 하이퍼링크" xfId="2451" builtinId="9" hidden="1"/>
    <cellStyle name="열어 본 하이퍼링크" xfId="2453" builtinId="9" hidden="1"/>
    <cellStyle name="열어 본 하이퍼링크" xfId="2455" builtinId="9" hidden="1"/>
    <cellStyle name="열어 본 하이퍼링크" xfId="2457" builtinId="9" hidden="1"/>
    <cellStyle name="열어 본 하이퍼링크" xfId="2459" builtinId="9" hidden="1"/>
    <cellStyle name="열어 본 하이퍼링크" xfId="2461" builtinId="9" hidden="1"/>
    <cellStyle name="열어 본 하이퍼링크" xfId="2463" builtinId="9" hidden="1"/>
    <cellStyle name="열어 본 하이퍼링크" xfId="2465" builtinId="9" hidden="1"/>
    <cellStyle name="열어 본 하이퍼링크" xfId="2467" builtinId="9" hidden="1"/>
    <cellStyle name="열어 본 하이퍼링크" xfId="2469" builtinId="9" hidden="1"/>
    <cellStyle name="열어 본 하이퍼링크" xfId="2471" builtinId="9" hidden="1"/>
    <cellStyle name="열어 본 하이퍼링크" xfId="2473" builtinId="9" hidden="1"/>
    <cellStyle name="열어 본 하이퍼링크" xfId="2475" builtinId="9" hidden="1"/>
    <cellStyle name="열어 본 하이퍼링크" xfId="2477" builtinId="9" hidden="1"/>
    <cellStyle name="열어 본 하이퍼링크" xfId="2479" builtinId="9" hidden="1"/>
    <cellStyle name="열어 본 하이퍼링크" xfId="2481" builtinId="9" hidden="1"/>
    <cellStyle name="열어 본 하이퍼링크" xfId="2483" builtinId="9" hidden="1"/>
    <cellStyle name="열어 본 하이퍼링크" xfId="2485" builtinId="9" hidden="1"/>
    <cellStyle name="열어 본 하이퍼링크" xfId="2487" builtinId="9" hidden="1"/>
    <cellStyle name="열어 본 하이퍼링크" xfId="2489" builtinId="9" hidden="1"/>
    <cellStyle name="열어 본 하이퍼링크" xfId="2491" builtinId="9" hidden="1"/>
    <cellStyle name="열어 본 하이퍼링크" xfId="2493" builtinId="9" hidden="1"/>
    <cellStyle name="열어 본 하이퍼링크" xfId="2495" builtinId="9" hidden="1"/>
    <cellStyle name="열어 본 하이퍼링크" xfId="2497" builtinId="9" hidden="1"/>
    <cellStyle name="열어 본 하이퍼링크" xfId="2499" builtinId="9" hidden="1"/>
    <cellStyle name="열어 본 하이퍼링크" xfId="2501" builtinId="9" hidden="1"/>
    <cellStyle name="열어 본 하이퍼링크" xfId="2503" builtinId="9" hidden="1"/>
    <cellStyle name="열어 본 하이퍼링크" xfId="2505" builtinId="9" hidden="1"/>
    <cellStyle name="요약" xfId="2522" builtinId="25" customBuiltin="1"/>
    <cellStyle name="입력" xfId="2515" builtinId="20" customBuiltin="1"/>
    <cellStyle name="제목" xfId="2507" builtinId="15" customBuiltin="1"/>
    <cellStyle name="제목 1" xfId="2508" builtinId="16" customBuiltin="1"/>
    <cellStyle name="제목 2" xfId="2509" builtinId="17" customBuiltin="1"/>
    <cellStyle name="제목 3" xfId="2510" builtinId="18" customBuiltin="1"/>
    <cellStyle name="제목 4" xfId="2511" builtinId="19" customBuiltin="1"/>
    <cellStyle name="좋음" xfId="2512" builtinId="26" customBuiltin="1"/>
    <cellStyle name="출력" xfId="2516" builtinId="21" customBuiltin="1"/>
    <cellStyle name="표준" xfId="0" builtinId="0"/>
    <cellStyle name="표준 2" xfId="2506" xr:uid="{00000000-0005-0000-0000-000050050000}"/>
    <cellStyle name="표준 3" xfId="2547" xr:uid="{00000000-0005-0000-0000-000051050000}"/>
    <cellStyle name="표준 4" xfId="2549" xr:uid="{00000000-0005-0000-0000-000052050000}"/>
    <cellStyle name="표준 5" xfId="2570" xr:uid="{00000000-0005-0000-0000-000053050000}"/>
    <cellStyle name="표준 6" xfId="2590" xr:uid="{00000000-0005-0000-0000-000054050000}"/>
    <cellStyle name="하이퍼링크" xfId="3" builtinId="8" hidden="1"/>
    <cellStyle name="하이퍼링크" xfId="5" builtinId="8" hidden="1"/>
    <cellStyle name="하이퍼링크" xfId="8" builtinId="8" hidden="1"/>
    <cellStyle name="하이퍼링크" xfId="10" builtinId="8" hidden="1"/>
    <cellStyle name="하이퍼링크" xfId="12" builtinId="8" hidden="1"/>
    <cellStyle name="하이퍼링크" xfId="14" builtinId="8" hidden="1"/>
    <cellStyle name="하이퍼링크" xfId="16" builtinId="8" hidden="1"/>
    <cellStyle name="하이퍼링크" xfId="18" builtinId="8" hidden="1"/>
    <cellStyle name="하이퍼링크" xfId="20" builtinId="8" hidden="1"/>
    <cellStyle name="하이퍼링크" xfId="22" builtinId="8" hidden="1"/>
    <cellStyle name="하이퍼링크" xfId="24" builtinId="8" hidden="1"/>
    <cellStyle name="하이퍼링크" xfId="26" builtinId="8" hidden="1"/>
    <cellStyle name="하이퍼링크" xfId="28" builtinId="8" hidden="1"/>
    <cellStyle name="하이퍼링크" xfId="30" builtinId="8" hidden="1"/>
    <cellStyle name="하이퍼링크" xfId="32" builtinId="8" hidden="1"/>
    <cellStyle name="하이퍼링크" xfId="34" builtinId="8" hidden="1"/>
    <cellStyle name="하이퍼링크" xfId="36" builtinId="8" hidden="1"/>
    <cellStyle name="하이퍼링크" xfId="50" builtinId="8" hidden="1"/>
    <cellStyle name="하이퍼링크" xfId="52" builtinId="8" hidden="1"/>
    <cellStyle name="하이퍼링크" xfId="54" builtinId="8" hidden="1"/>
    <cellStyle name="하이퍼링크" xfId="56" builtinId="8" hidden="1"/>
    <cellStyle name="하이퍼링크" xfId="58" builtinId="8" hidden="1"/>
    <cellStyle name="하이퍼링크" xfId="60" builtinId="8" hidden="1"/>
    <cellStyle name="하이퍼링크" xfId="62" builtinId="8" hidden="1"/>
    <cellStyle name="하이퍼링크" xfId="64" builtinId="8" hidden="1"/>
    <cellStyle name="하이퍼링크" xfId="66" builtinId="8" hidden="1"/>
    <cellStyle name="하이퍼링크" xfId="68" builtinId="8" hidden="1"/>
    <cellStyle name="하이퍼링크" xfId="70" builtinId="8" hidden="1"/>
    <cellStyle name="하이퍼링크" xfId="72" builtinId="8" hidden="1"/>
    <cellStyle name="하이퍼링크" xfId="74" builtinId="8" hidden="1"/>
    <cellStyle name="하이퍼링크" xfId="76" builtinId="8" hidden="1"/>
    <cellStyle name="하이퍼링크" xfId="78" builtinId="8" hidden="1"/>
    <cellStyle name="하이퍼링크" xfId="80" builtinId="8" hidden="1"/>
    <cellStyle name="하이퍼링크" xfId="82" builtinId="8" hidden="1"/>
    <cellStyle name="하이퍼링크" xfId="84" builtinId="8" hidden="1"/>
    <cellStyle name="하이퍼링크" xfId="86" builtinId="8" hidden="1"/>
    <cellStyle name="하이퍼링크" xfId="88" builtinId="8" hidden="1"/>
    <cellStyle name="하이퍼링크" xfId="90" builtinId="8" hidden="1"/>
    <cellStyle name="하이퍼링크" xfId="92" builtinId="8" hidden="1"/>
    <cellStyle name="하이퍼링크" xfId="94" builtinId="8" hidden="1"/>
    <cellStyle name="하이퍼링크" xfId="96" builtinId="8" hidden="1"/>
    <cellStyle name="하이퍼링크" xfId="98" builtinId="8" hidden="1"/>
    <cellStyle name="하이퍼링크" xfId="100" builtinId="8" hidden="1"/>
    <cellStyle name="하이퍼링크" xfId="102" builtinId="8" hidden="1"/>
    <cellStyle name="하이퍼링크" xfId="104" builtinId="8" hidden="1"/>
    <cellStyle name="하이퍼링크" xfId="106" builtinId="8" hidden="1"/>
    <cellStyle name="하이퍼링크" xfId="108" builtinId="8" hidden="1"/>
    <cellStyle name="하이퍼링크" xfId="110" builtinId="8" hidden="1"/>
    <cellStyle name="하이퍼링크" xfId="112" builtinId="8" hidden="1"/>
    <cellStyle name="하이퍼링크" xfId="114" builtinId="8" hidden="1"/>
    <cellStyle name="하이퍼링크" xfId="116" builtinId="8" hidden="1"/>
    <cellStyle name="하이퍼링크" xfId="118" builtinId="8" hidden="1"/>
    <cellStyle name="하이퍼링크" xfId="120" builtinId="8" hidden="1"/>
    <cellStyle name="하이퍼링크" xfId="122" builtinId="8" hidden="1"/>
    <cellStyle name="하이퍼링크" xfId="124" builtinId="8" hidden="1"/>
    <cellStyle name="하이퍼링크" xfId="126" builtinId="8" hidden="1"/>
    <cellStyle name="하이퍼링크" xfId="128" builtinId="8" hidden="1"/>
    <cellStyle name="하이퍼링크" xfId="130" builtinId="8" hidden="1"/>
    <cellStyle name="하이퍼링크" xfId="132" builtinId="8" hidden="1"/>
    <cellStyle name="하이퍼링크" xfId="134" builtinId="8" hidden="1"/>
    <cellStyle name="하이퍼링크" xfId="136" builtinId="8" hidden="1"/>
    <cellStyle name="하이퍼링크" xfId="138" builtinId="8" hidden="1"/>
    <cellStyle name="하이퍼링크" xfId="140" builtinId="8" hidden="1"/>
    <cellStyle name="하이퍼링크" xfId="142" builtinId="8" hidden="1"/>
    <cellStyle name="하이퍼링크" xfId="144" builtinId="8" hidden="1"/>
    <cellStyle name="하이퍼링크" xfId="146" builtinId="8" hidden="1"/>
    <cellStyle name="하이퍼링크" xfId="148" builtinId="8" hidden="1"/>
    <cellStyle name="하이퍼링크" xfId="150" builtinId="8" hidden="1"/>
    <cellStyle name="하이퍼링크" xfId="152" builtinId="8" hidden="1"/>
    <cellStyle name="하이퍼링크" xfId="154" builtinId="8" hidden="1"/>
    <cellStyle name="하이퍼링크" xfId="156" builtinId="8" hidden="1"/>
    <cellStyle name="하이퍼링크" xfId="158" builtinId="8" hidden="1"/>
    <cellStyle name="하이퍼링크" xfId="160" builtinId="8" hidden="1"/>
    <cellStyle name="하이퍼링크" xfId="162" builtinId="8" hidden="1"/>
    <cellStyle name="하이퍼링크" xfId="164" builtinId="8" hidden="1"/>
    <cellStyle name="하이퍼링크" xfId="166" builtinId="8" hidden="1"/>
    <cellStyle name="하이퍼링크" xfId="168" builtinId="8" hidden="1"/>
    <cellStyle name="하이퍼링크" xfId="170" builtinId="8" hidden="1"/>
    <cellStyle name="하이퍼링크" xfId="172" builtinId="8" hidden="1"/>
    <cellStyle name="하이퍼링크" xfId="174" builtinId="8" hidden="1"/>
    <cellStyle name="하이퍼링크" xfId="176" builtinId="8" hidden="1"/>
    <cellStyle name="하이퍼링크" xfId="178" builtinId="8" hidden="1"/>
    <cellStyle name="하이퍼링크" xfId="180" builtinId="8" hidden="1"/>
    <cellStyle name="하이퍼링크" xfId="182" builtinId="8" hidden="1"/>
    <cellStyle name="하이퍼링크" xfId="184" builtinId="8" hidden="1"/>
    <cellStyle name="하이퍼링크" xfId="186" builtinId="8" hidden="1"/>
    <cellStyle name="하이퍼링크" xfId="188" builtinId="8" hidden="1"/>
    <cellStyle name="하이퍼링크" xfId="190" builtinId="8" hidden="1"/>
    <cellStyle name="하이퍼링크" xfId="192" builtinId="8" hidden="1"/>
    <cellStyle name="하이퍼링크" xfId="194" builtinId="8" hidden="1"/>
    <cellStyle name="하이퍼링크" xfId="196" builtinId="8" hidden="1"/>
    <cellStyle name="하이퍼링크" xfId="198" builtinId="8" hidden="1"/>
    <cellStyle name="하이퍼링크" xfId="200" builtinId="8" hidden="1"/>
    <cellStyle name="하이퍼링크" xfId="202" builtinId="8" hidden="1"/>
    <cellStyle name="하이퍼링크" xfId="204" builtinId="8" hidden="1"/>
    <cellStyle name="하이퍼링크" xfId="206" builtinId="8" hidden="1"/>
    <cellStyle name="하이퍼링크" xfId="208" builtinId="8" hidden="1"/>
    <cellStyle name="하이퍼링크" xfId="210" builtinId="8" hidden="1"/>
    <cellStyle name="하이퍼링크" xfId="212" builtinId="8" hidden="1"/>
    <cellStyle name="하이퍼링크" xfId="214" builtinId="8" hidden="1"/>
    <cellStyle name="하이퍼링크" xfId="216" builtinId="8" hidden="1"/>
    <cellStyle name="하이퍼링크" xfId="218" builtinId="8" hidden="1"/>
    <cellStyle name="하이퍼링크" xfId="220" builtinId="8" hidden="1"/>
    <cellStyle name="하이퍼링크" xfId="222" builtinId="8" hidden="1"/>
    <cellStyle name="하이퍼링크" xfId="224" builtinId="8" hidden="1"/>
    <cellStyle name="하이퍼링크" xfId="226" builtinId="8" hidden="1"/>
    <cellStyle name="하이퍼링크" xfId="228" builtinId="8" hidden="1"/>
    <cellStyle name="하이퍼링크" xfId="230" builtinId="8" hidden="1"/>
    <cellStyle name="하이퍼링크" xfId="232" builtinId="8" hidden="1"/>
    <cellStyle name="하이퍼링크" xfId="234" builtinId="8" hidden="1"/>
    <cellStyle name="하이퍼링크" xfId="236" builtinId="8" hidden="1"/>
    <cellStyle name="하이퍼링크" xfId="238" builtinId="8" hidden="1"/>
    <cellStyle name="하이퍼링크" xfId="240" builtinId="8" hidden="1"/>
    <cellStyle name="하이퍼링크" xfId="242" builtinId="8" hidden="1"/>
    <cellStyle name="하이퍼링크" xfId="244" builtinId="8" hidden="1"/>
    <cellStyle name="하이퍼링크" xfId="246" builtinId="8" hidden="1"/>
    <cellStyle name="하이퍼링크" xfId="248" builtinId="8" hidden="1"/>
    <cellStyle name="하이퍼링크" xfId="250" builtinId="8" hidden="1"/>
    <cellStyle name="하이퍼링크" xfId="252" builtinId="8" hidden="1"/>
    <cellStyle name="하이퍼링크" xfId="254" builtinId="8" hidden="1"/>
    <cellStyle name="하이퍼링크" xfId="256" builtinId="8" hidden="1"/>
    <cellStyle name="하이퍼링크" xfId="258" builtinId="8" hidden="1"/>
    <cellStyle name="하이퍼링크" xfId="260" builtinId="8" hidden="1"/>
    <cellStyle name="하이퍼링크" xfId="262" builtinId="8" hidden="1"/>
    <cellStyle name="하이퍼링크" xfId="264" builtinId="8" hidden="1"/>
    <cellStyle name="하이퍼링크" xfId="266" builtinId="8" hidden="1"/>
    <cellStyle name="하이퍼링크" xfId="268" builtinId="8" hidden="1"/>
    <cellStyle name="하이퍼링크" xfId="270" builtinId="8" hidden="1"/>
    <cellStyle name="하이퍼링크" xfId="272" builtinId="8" hidden="1"/>
    <cellStyle name="하이퍼링크" xfId="274" builtinId="8" hidden="1"/>
    <cellStyle name="하이퍼링크" xfId="276" builtinId="8" hidden="1"/>
    <cellStyle name="하이퍼링크" xfId="278" builtinId="8" hidden="1"/>
    <cellStyle name="하이퍼링크" xfId="280" builtinId="8" hidden="1"/>
    <cellStyle name="하이퍼링크" xfId="282" builtinId="8" hidden="1"/>
    <cellStyle name="하이퍼링크" xfId="284" builtinId="8" hidden="1"/>
    <cellStyle name="하이퍼링크" xfId="286" builtinId="8" hidden="1"/>
    <cellStyle name="하이퍼링크" xfId="288" builtinId="8" hidden="1"/>
    <cellStyle name="하이퍼링크" xfId="290" builtinId="8" hidden="1"/>
    <cellStyle name="하이퍼링크" xfId="292" builtinId="8" hidden="1"/>
    <cellStyle name="하이퍼링크" xfId="294" builtinId="8" hidden="1"/>
    <cellStyle name="하이퍼링크" xfId="296" builtinId="8" hidden="1"/>
    <cellStyle name="하이퍼링크" xfId="298" builtinId="8" hidden="1"/>
    <cellStyle name="하이퍼링크" xfId="300" builtinId="8" hidden="1"/>
    <cellStyle name="하이퍼링크" xfId="302" builtinId="8" hidden="1"/>
    <cellStyle name="하이퍼링크" xfId="304" builtinId="8" hidden="1"/>
    <cellStyle name="하이퍼링크" xfId="306" builtinId="8" hidden="1"/>
    <cellStyle name="하이퍼링크" xfId="308" builtinId="8" hidden="1"/>
    <cellStyle name="하이퍼링크" xfId="310" builtinId="8" hidden="1"/>
    <cellStyle name="하이퍼링크" xfId="312" builtinId="8" hidden="1"/>
    <cellStyle name="하이퍼링크" xfId="314" builtinId="8" hidden="1"/>
    <cellStyle name="하이퍼링크" xfId="316" builtinId="8" hidden="1"/>
    <cellStyle name="하이퍼링크" xfId="318" builtinId="8" hidden="1"/>
    <cellStyle name="하이퍼링크" xfId="320" builtinId="8" hidden="1"/>
    <cellStyle name="하이퍼링크" xfId="322" builtinId="8" hidden="1"/>
    <cellStyle name="하이퍼링크" xfId="324" builtinId="8" hidden="1"/>
    <cellStyle name="하이퍼링크" xfId="326" builtinId="8" hidden="1"/>
    <cellStyle name="하이퍼링크" xfId="328" builtinId="8" hidden="1"/>
    <cellStyle name="하이퍼링크" xfId="330" builtinId="8" hidden="1"/>
    <cellStyle name="하이퍼링크" xfId="332" builtinId="8" hidden="1"/>
    <cellStyle name="하이퍼링크" xfId="334" builtinId="8" hidden="1"/>
    <cellStyle name="하이퍼링크" xfId="336" builtinId="8" hidden="1"/>
    <cellStyle name="하이퍼링크" xfId="338" builtinId="8" hidden="1"/>
    <cellStyle name="하이퍼링크" xfId="340" builtinId="8" hidden="1"/>
    <cellStyle name="하이퍼링크" xfId="342" builtinId="8" hidden="1"/>
    <cellStyle name="하이퍼링크" xfId="344" builtinId="8" hidden="1"/>
    <cellStyle name="하이퍼링크" xfId="346" builtinId="8" hidden="1"/>
    <cellStyle name="하이퍼링크" xfId="348" builtinId="8" hidden="1"/>
    <cellStyle name="하이퍼링크" xfId="350" builtinId="8" hidden="1"/>
    <cellStyle name="하이퍼링크" xfId="352" builtinId="8" hidden="1"/>
    <cellStyle name="하이퍼링크" xfId="354" builtinId="8" hidden="1"/>
    <cellStyle name="하이퍼링크" xfId="356" builtinId="8" hidden="1"/>
    <cellStyle name="하이퍼링크" xfId="358" builtinId="8" hidden="1"/>
    <cellStyle name="하이퍼링크" xfId="360" builtinId="8" hidden="1"/>
    <cellStyle name="하이퍼링크" xfId="362" builtinId="8" hidden="1"/>
    <cellStyle name="하이퍼링크" xfId="364" builtinId="8" hidden="1"/>
    <cellStyle name="하이퍼링크" xfId="366" builtinId="8" hidden="1"/>
    <cellStyle name="하이퍼링크" xfId="368" builtinId="8" hidden="1"/>
    <cellStyle name="하이퍼링크" xfId="370" builtinId="8" hidden="1"/>
    <cellStyle name="하이퍼링크" xfId="372" builtinId="8" hidden="1"/>
    <cellStyle name="하이퍼링크" xfId="374" builtinId="8" hidden="1"/>
    <cellStyle name="하이퍼링크" xfId="376" builtinId="8" hidden="1"/>
    <cellStyle name="하이퍼링크" xfId="378" builtinId="8" hidden="1"/>
    <cellStyle name="하이퍼링크" xfId="380" builtinId="8" hidden="1"/>
    <cellStyle name="하이퍼링크" xfId="382" builtinId="8" hidden="1"/>
    <cellStyle name="하이퍼링크" xfId="384" builtinId="8" hidden="1"/>
    <cellStyle name="하이퍼링크" xfId="386" builtinId="8" hidden="1"/>
    <cellStyle name="하이퍼링크" xfId="388" builtinId="8" hidden="1"/>
    <cellStyle name="하이퍼링크" xfId="390" builtinId="8" hidden="1"/>
    <cellStyle name="하이퍼링크" xfId="392" builtinId="8" hidden="1"/>
    <cellStyle name="하이퍼링크" xfId="394" builtinId="8" hidden="1"/>
    <cellStyle name="하이퍼링크" xfId="396" builtinId="8" hidden="1"/>
    <cellStyle name="하이퍼링크" xfId="398" builtinId="8" hidden="1"/>
    <cellStyle name="하이퍼링크" xfId="400" builtinId="8" hidden="1"/>
    <cellStyle name="하이퍼링크" xfId="402" builtinId="8" hidden="1"/>
    <cellStyle name="하이퍼링크" xfId="404" builtinId="8" hidden="1"/>
    <cellStyle name="하이퍼링크" xfId="406" builtinId="8" hidden="1"/>
    <cellStyle name="하이퍼링크" xfId="408" builtinId="8" hidden="1"/>
    <cellStyle name="하이퍼링크" xfId="410" builtinId="8" hidden="1"/>
    <cellStyle name="하이퍼링크" xfId="412" builtinId="8" hidden="1"/>
    <cellStyle name="하이퍼링크" xfId="414" builtinId="8" hidden="1"/>
    <cellStyle name="하이퍼링크" xfId="416" builtinId="8" hidden="1"/>
    <cellStyle name="하이퍼링크" xfId="418" builtinId="8" hidden="1"/>
    <cellStyle name="하이퍼링크" xfId="420" builtinId="8" hidden="1"/>
    <cellStyle name="하이퍼링크" xfId="422" builtinId="8" hidden="1"/>
    <cellStyle name="하이퍼링크" xfId="424" builtinId="8" hidden="1"/>
    <cellStyle name="하이퍼링크" xfId="426" builtinId="8" hidden="1"/>
    <cellStyle name="하이퍼링크" xfId="428" builtinId="8" hidden="1"/>
    <cellStyle name="하이퍼링크" xfId="430" builtinId="8" hidden="1"/>
    <cellStyle name="하이퍼링크" xfId="432" builtinId="8" hidden="1"/>
    <cellStyle name="하이퍼링크" xfId="434" builtinId="8" hidden="1"/>
    <cellStyle name="하이퍼링크" xfId="436" builtinId="8" hidden="1"/>
    <cellStyle name="하이퍼링크" xfId="438" builtinId="8" hidden="1"/>
    <cellStyle name="하이퍼링크" xfId="440" builtinId="8" hidden="1"/>
    <cellStyle name="하이퍼링크" xfId="442" builtinId="8" hidden="1"/>
    <cellStyle name="하이퍼링크" xfId="444" builtinId="8" hidden="1"/>
    <cellStyle name="하이퍼링크" xfId="446" builtinId="8" hidden="1"/>
    <cellStyle name="하이퍼링크" xfId="448" builtinId="8" hidden="1"/>
    <cellStyle name="하이퍼링크" xfId="450" builtinId="8" hidden="1"/>
    <cellStyle name="하이퍼링크" xfId="452" builtinId="8" hidden="1"/>
    <cellStyle name="하이퍼링크" xfId="454" builtinId="8" hidden="1"/>
    <cellStyle name="하이퍼링크" xfId="456" builtinId="8" hidden="1"/>
    <cellStyle name="하이퍼링크" xfId="458" builtinId="8" hidden="1"/>
    <cellStyle name="하이퍼링크" xfId="460" builtinId="8" hidden="1"/>
    <cellStyle name="하이퍼링크" xfId="462" builtinId="8" hidden="1"/>
    <cellStyle name="하이퍼링크" xfId="464" builtinId="8" hidden="1"/>
    <cellStyle name="하이퍼링크" xfId="466" builtinId="8" hidden="1"/>
    <cellStyle name="하이퍼링크" xfId="468" builtinId="8" hidden="1"/>
    <cellStyle name="하이퍼링크" xfId="470" builtinId="8" hidden="1"/>
    <cellStyle name="하이퍼링크" xfId="472" builtinId="8" hidden="1"/>
    <cellStyle name="하이퍼링크" xfId="474" builtinId="8" hidden="1"/>
    <cellStyle name="하이퍼링크" xfId="476" builtinId="8" hidden="1"/>
    <cellStyle name="하이퍼링크" xfId="478" builtinId="8" hidden="1"/>
    <cellStyle name="하이퍼링크" xfId="480" builtinId="8" hidden="1"/>
    <cellStyle name="하이퍼링크" xfId="482" builtinId="8" hidden="1"/>
    <cellStyle name="하이퍼링크" xfId="484" builtinId="8" hidden="1"/>
    <cellStyle name="하이퍼링크" xfId="486" builtinId="8" hidden="1"/>
    <cellStyle name="하이퍼링크" xfId="488" builtinId="8" hidden="1"/>
    <cellStyle name="하이퍼링크" xfId="490" builtinId="8" hidden="1"/>
    <cellStyle name="하이퍼링크" xfId="492" builtinId="8" hidden="1"/>
    <cellStyle name="하이퍼링크" xfId="494" builtinId="8" hidden="1"/>
    <cellStyle name="하이퍼링크" xfId="496" builtinId="8" hidden="1"/>
    <cellStyle name="하이퍼링크" xfId="498" builtinId="8" hidden="1"/>
    <cellStyle name="하이퍼링크" xfId="500" builtinId="8" hidden="1"/>
    <cellStyle name="하이퍼링크" xfId="502" builtinId="8" hidden="1"/>
    <cellStyle name="하이퍼링크" xfId="504" builtinId="8" hidden="1"/>
    <cellStyle name="하이퍼링크" xfId="506" builtinId="8" hidden="1"/>
    <cellStyle name="하이퍼링크" xfId="508" builtinId="8" hidden="1"/>
    <cellStyle name="하이퍼링크" xfId="510" builtinId="8" hidden="1"/>
    <cellStyle name="하이퍼링크" xfId="512" builtinId="8" hidden="1"/>
    <cellStyle name="하이퍼링크" xfId="514" builtinId="8" hidden="1"/>
    <cellStyle name="하이퍼링크" xfId="516" builtinId="8" hidden="1"/>
    <cellStyle name="하이퍼링크" xfId="518" builtinId="8" hidden="1"/>
    <cellStyle name="하이퍼링크" xfId="520" builtinId="8" hidden="1"/>
    <cellStyle name="하이퍼링크" xfId="522" builtinId="8" hidden="1"/>
    <cellStyle name="하이퍼링크" xfId="524" builtinId="8" hidden="1"/>
    <cellStyle name="하이퍼링크" xfId="526" builtinId="8" hidden="1"/>
    <cellStyle name="하이퍼링크" xfId="528" builtinId="8" hidden="1"/>
    <cellStyle name="하이퍼링크" xfId="530" builtinId="8" hidden="1"/>
    <cellStyle name="하이퍼링크" xfId="532" builtinId="8" hidden="1"/>
    <cellStyle name="하이퍼링크" xfId="534" builtinId="8" hidden="1"/>
    <cellStyle name="하이퍼링크" xfId="536" builtinId="8" hidden="1"/>
    <cellStyle name="하이퍼링크" xfId="538" builtinId="8" hidden="1"/>
    <cellStyle name="하이퍼링크" xfId="540" builtinId="8" hidden="1"/>
    <cellStyle name="하이퍼링크" xfId="542" builtinId="8" hidden="1"/>
    <cellStyle name="하이퍼링크" xfId="544" builtinId="8" hidden="1"/>
    <cellStyle name="하이퍼링크" xfId="546" builtinId="8" hidden="1"/>
    <cellStyle name="하이퍼링크" xfId="548" builtinId="8" hidden="1"/>
    <cellStyle name="하이퍼링크" xfId="550" builtinId="8" hidden="1"/>
    <cellStyle name="하이퍼링크" xfId="552" builtinId="8" hidden="1"/>
    <cellStyle name="하이퍼링크" xfId="554" builtinId="8" hidden="1"/>
    <cellStyle name="하이퍼링크" xfId="556" builtinId="8" hidden="1"/>
    <cellStyle name="하이퍼링크" xfId="558" builtinId="8" hidden="1"/>
    <cellStyle name="하이퍼링크" xfId="560" builtinId="8" hidden="1"/>
    <cellStyle name="하이퍼링크" xfId="562" builtinId="8" hidden="1"/>
    <cellStyle name="하이퍼링크" xfId="564" builtinId="8" hidden="1"/>
    <cellStyle name="하이퍼링크" xfId="566" builtinId="8" hidden="1"/>
    <cellStyle name="하이퍼링크" xfId="568" builtinId="8" hidden="1"/>
    <cellStyle name="하이퍼링크" xfId="570" builtinId="8" hidden="1"/>
    <cellStyle name="하이퍼링크" xfId="572" builtinId="8" hidden="1"/>
    <cellStyle name="하이퍼링크" xfId="574" builtinId="8" hidden="1"/>
    <cellStyle name="하이퍼링크" xfId="576" builtinId="8" hidden="1"/>
    <cellStyle name="하이퍼링크" xfId="578" builtinId="8" hidden="1"/>
    <cellStyle name="하이퍼링크" xfId="580" builtinId="8" hidden="1"/>
    <cellStyle name="하이퍼링크" xfId="582" builtinId="8" hidden="1"/>
    <cellStyle name="하이퍼링크" xfId="584" builtinId="8" hidden="1"/>
    <cellStyle name="하이퍼링크" xfId="586" builtinId="8" hidden="1"/>
    <cellStyle name="하이퍼링크" xfId="588" builtinId="8" hidden="1"/>
    <cellStyle name="하이퍼링크" xfId="590" builtinId="8" hidden="1"/>
    <cellStyle name="하이퍼링크" xfId="592" builtinId="8" hidden="1"/>
    <cellStyle name="하이퍼링크" xfId="594" builtinId="8" hidden="1"/>
    <cellStyle name="하이퍼링크" xfId="596" builtinId="8" hidden="1"/>
    <cellStyle name="하이퍼링크" xfId="598" builtinId="8" hidden="1"/>
    <cellStyle name="하이퍼링크" xfId="600" builtinId="8" hidden="1"/>
    <cellStyle name="하이퍼링크" xfId="602" builtinId="8" hidden="1"/>
    <cellStyle name="하이퍼링크" xfId="604" builtinId="8" hidden="1"/>
    <cellStyle name="하이퍼링크" xfId="606" builtinId="8" hidden="1"/>
    <cellStyle name="하이퍼링크" xfId="608" builtinId="8" hidden="1"/>
    <cellStyle name="하이퍼링크" xfId="610" builtinId="8" hidden="1"/>
    <cellStyle name="하이퍼링크" xfId="612" builtinId="8" hidden="1"/>
    <cellStyle name="하이퍼링크" xfId="614" builtinId="8" hidden="1"/>
    <cellStyle name="하이퍼링크" xfId="616" builtinId="8" hidden="1"/>
    <cellStyle name="하이퍼링크" xfId="618" builtinId="8" hidden="1"/>
    <cellStyle name="하이퍼링크" xfId="620" builtinId="8" hidden="1"/>
    <cellStyle name="하이퍼링크" xfId="622" builtinId="8" hidden="1"/>
    <cellStyle name="하이퍼링크" xfId="624" builtinId="8" hidden="1"/>
    <cellStyle name="하이퍼링크" xfId="626" builtinId="8" hidden="1"/>
    <cellStyle name="하이퍼링크" xfId="628" builtinId="8" hidden="1"/>
    <cellStyle name="하이퍼링크" xfId="630" builtinId="8" hidden="1"/>
    <cellStyle name="하이퍼링크" xfId="632" builtinId="8" hidden="1"/>
    <cellStyle name="하이퍼링크" xfId="634" builtinId="8" hidden="1"/>
    <cellStyle name="하이퍼링크" xfId="636" builtinId="8" hidden="1"/>
    <cellStyle name="하이퍼링크" xfId="638" builtinId="8" hidden="1"/>
    <cellStyle name="하이퍼링크" xfId="640" builtinId="8" hidden="1"/>
    <cellStyle name="하이퍼링크" xfId="642" builtinId="8" hidden="1"/>
    <cellStyle name="하이퍼링크" xfId="644" builtinId="8" hidden="1"/>
    <cellStyle name="하이퍼링크" xfId="646" builtinId="8" hidden="1"/>
    <cellStyle name="하이퍼링크" xfId="648" builtinId="8" hidden="1"/>
    <cellStyle name="하이퍼링크" xfId="650" builtinId="8" hidden="1"/>
    <cellStyle name="하이퍼링크" xfId="652" builtinId="8" hidden="1"/>
    <cellStyle name="하이퍼링크" xfId="654" builtinId="8" hidden="1"/>
    <cellStyle name="하이퍼링크" xfId="656" builtinId="8" hidden="1"/>
    <cellStyle name="하이퍼링크" xfId="658" builtinId="8" hidden="1"/>
    <cellStyle name="하이퍼링크" xfId="660" builtinId="8" hidden="1"/>
    <cellStyle name="하이퍼링크" xfId="662" builtinId="8" hidden="1"/>
    <cellStyle name="하이퍼링크" xfId="664" builtinId="8" hidden="1"/>
    <cellStyle name="하이퍼링크" xfId="666" builtinId="8" hidden="1"/>
    <cellStyle name="하이퍼링크" xfId="668" builtinId="8" hidden="1"/>
    <cellStyle name="하이퍼링크" xfId="670" builtinId="8" hidden="1"/>
    <cellStyle name="하이퍼링크" xfId="672" builtinId="8" hidden="1"/>
    <cellStyle name="하이퍼링크" xfId="674" builtinId="8" hidden="1"/>
    <cellStyle name="하이퍼링크" xfId="676" builtinId="8" hidden="1"/>
    <cellStyle name="하이퍼링크" xfId="678" builtinId="8" hidden="1"/>
    <cellStyle name="하이퍼링크" xfId="680" builtinId="8" hidden="1"/>
    <cellStyle name="하이퍼링크" xfId="682" builtinId="8" hidden="1"/>
    <cellStyle name="하이퍼링크" xfId="684" builtinId="8" hidden="1"/>
    <cellStyle name="하이퍼링크" xfId="686" builtinId="8" hidden="1"/>
    <cellStyle name="하이퍼링크" xfId="688" builtinId="8" hidden="1"/>
    <cellStyle name="하이퍼링크" xfId="690" builtinId="8" hidden="1"/>
    <cellStyle name="하이퍼링크" xfId="692" builtinId="8" hidden="1"/>
    <cellStyle name="하이퍼링크" xfId="694" builtinId="8" hidden="1"/>
    <cellStyle name="하이퍼링크" xfId="696" builtinId="8" hidden="1"/>
    <cellStyle name="하이퍼링크" xfId="698" builtinId="8" hidden="1"/>
    <cellStyle name="하이퍼링크" xfId="700" builtinId="8" hidden="1"/>
    <cellStyle name="하이퍼링크" xfId="702" builtinId="8" hidden="1"/>
    <cellStyle name="하이퍼링크" xfId="704" builtinId="8" hidden="1"/>
    <cellStyle name="하이퍼링크" xfId="706" builtinId="8" hidden="1"/>
    <cellStyle name="하이퍼링크" xfId="708" builtinId="8" hidden="1"/>
    <cellStyle name="하이퍼링크" xfId="710" builtinId="8" hidden="1"/>
    <cellStyle name="하이퍼링크" xfId="712" builtinId="8" hidden="1"/>
    <cellStyle name="하이퍼링크" xfId="714" builtinId="8" hidden="1"/>
    <cellStyle name="하이퍼링크" xfId="716" builtinId="8" hidden="1"/>
    <cellStyle name="하이퍼링크" xfId="718" builtinId="8" hidden="1"/>
    <cellStyle name="하이퍼링크" xfId="720" builtinId="8" hidden="1"/>
    <cellStyle name="하이퍼링크" xfId="722" builtinId="8" hidden="1"/>
    <cellStyle name="하이퍼링크" xfId="724" builtinId="8" hidden="1"/>
    <cellStyle name="하이퍼링크" xfId="726" builtinId="8" hidden="1"/>
    <cellStyle name="하이퍼링크" xfId="728" builtinId="8" hidden="1"/>
    <cellStyle name="하이퍼링크" xfId="730" builtinId="8" hidden="1"/>
    <cellStyle name="하이퍼링크" xfId="732" builtinId="8" hidden="1"/>
    <cellStyle name="하이퍼링크" xfId="734" builtinId="8" hidden="1"/>
    <cellStyle name="하이퍼링크" xfId="736" builtinId="8" hidden="1"/>
    <cellStyle name="하이퍼링크" xfId="738" builtinId="8" hidden="1"/>
    <cellStyle name="하이퍼링크" xfId="740" builtinId="8" hidden="1"/>
    <cellStyle name="하이퍼링크" xfId="742" builtinId="8" hidden="1"/>
    <cellStyle name="하이퍼링크" xfId="744" builtinId="8" hidden="1"/>
    <cellStyle name="하이퍼링크" xfId="746" builtinId="8" hidden="1"/>
    <cellStyle name="하이퍼링크" xfId="748" builtinId="8" hidden="1"/>
    <cellStyle name="하이퍼링크" xfId="750" builtinId="8" hidden="1"/>
    <cellStyle name="하이퍼링크" xfId="752" builtinId="8" hidden="1"/>
    <cellStyle name="하이퍼링크" xfId="754" builtinId="8" hidden="1"/>
    <cellStyle name="하이퍼링크" xfId="756" builtinId="8" hidden="1"/>
    <cellStyle name="하이퍼링크" xfId="758" builtinId="8" hidden="1"/>
    <cellStyle name="하이퍼링크" xfId="760" builtinId="8" hidden="1"/>
    <cellStyle name="하이퍼링크" xfId="762" builtinId="8" hidden="1"/>
    <cellStyle name="하이퍼링크" xfId="764" builtinId="8" hidden="1"/>
    <cellStyle name="하이퍼링크" xfId="766" builtinId="8" hidden="1"/>
    <cellStyle name="하이퍼링크" xfId="768" builtinId="8" hidden="1"/>
    <cellStyle name="하이퍼링크" xfId="770" builtinId="8" hidden="1"/>
    <cellStyle name="하이퍼링크" xfId="772" builtinId="8" hidden="1"/>
    <cellStyle name="하이퍼링크" xfId="774" builtinId="8" hidden="1"/>
    <cellStyle name="하이퍼링크" xfId="776" builtinId="8" hidden="1"/>
    <cellStyle name="하이퍼링크" xfId="778" builtinId="8" hidden="1"/>
    <cellStyle name="하이퍼링크" xfId="780" builtinId="8" hidden="1"/>
    <cellStyle name="하이퍼링크" xfId="782" builtinId="8" hidden="1"/>
    <cellStyle name="하이퍼링크" xfId="784" builtinId="8" hidden="1"/>
    <cellStyle name="하이퍼링크" xfId="786" builtinId="8" hidden="1"/>
    <cellStyle name="하이퍼링크" xfId="788" builtinId="8" hidden="1"/>
    <cellStyle name="하이퍼링크" xfId="790" builtinId="8" hidden="1"/>
    <cellStyle name="하이퍼링크" xfId="792" builtinId="8" hidden="1"/>
    <cellStyle name="하이퍼링크" xfId="794" builtinId="8" hidden="1"/>
    <cellStyle name="하이퍼링크" xfId="796" builtinId="8" hidden="1"/>
    <cellStyle name="하이퍼링크" xfId="798" builtinId="8" hidden="1"/>
    <cellStyle name="하이퍼링크" xfId="800" builtinId="8" hidden="1"/>
    <cellStyle name="하이퍼링크" xfId="802" builtinId="8" hidden="1"/>
    <cellStyle name="하이퍼링크" xfId="804" builtinId="8" hidden="1"/>
    <cellStyle name="하이퍼링크" xfId="806" builtinId="8" hidden="1"/>
    <cellStyle name="하이퍼링크" xfId="808" builtinId="8" hidden="1"/>
    <cellStyle name="하이퍼링크" xfId="810" builtinId="8" hidden="1"/>
    <cellStyle name="하이퍼링크" xfId="812" builtinId="8" hidden="1"/>
    <cellStyle name="하이퍼링크" xfId="814" builtinId="8" hidden="1"/>
    <cellStyle name="하이퍼링크" xfId="816" builtinId="8" hidden="1"/>
    <cellStyle name="하이퍼링크" xfId="818" builtinId="8" hidden="1"/>
    <cellStyle name="하이퍼링크" xfId="820" builtinId="8" hidden="1"/>
    <cellStyle name="하이퍼링크" xfId="822" builtinId="8" hidden="1"/>
    <cellStyle name="하이퍼링크" xfId="824" builtinId="8" hidden="1"/>
    <cellStyle name="하이퍼링크" xfId="826" builtinId="8" hidden="1"/>
    <cellStyle name="하이퍼링크" xfId="828" builtinId="8" hidden="1"/>
    <cellStyle name="하이퍼링크" xfId="830" builtinId="8" hidden="1"/>
    <cellStyle name="하이퍼링크" xfId="832" builtinId="8" hidden="1"/>
    <cellStyle name="하이퍼링크" xfId="834" builtinId="8" hidden="1"/>
    <cellStyle name="하이퍼링크" xfId="836" builtinId="8" hidden="1"/>
    <cellStyle name="하이퍼링크" xfId="838" builtinId="8" hidden="1"/>
    <cellStyle name="하이퍼링크" xfId="840" builtinId="8" hidden="1"/>
    <cellStyle name="하이퍼링크" xfId="842" builtinId="8" hidden="1"/>
    <cellStyle name="하이퍼링크" xfId="844" builtinId="8" hidden="1"/>
    <cellStyle name="하이퍼링크" xfId="846" builtinId="8" hidden="1"/>
    <cellStyle name="하이퍼링크" xfId="848" builtinId="8" hidden="1"/>
    <cellStyle name="하이퍼링크" xfId="850" builtinId="8" hidden="1"/>
    <cellStyle name="하이퍼링크" xfId="852" builtinId="8" hidden="1"/>
    <cellStyle name="하이퍼링크" xfId="854" builtinId="8" hidden="1"/>
    <cellStyle name="하이퍼링크" xfId="856" builtinId="8" hidden="1"/>
    <cellStyle name="하이퍼링크" xfId="858" builtinId="8" hidden="1"/>
    <cellStyle name="하이퍼링크" xfId="860" builtinId="8" hidden="1"/>
    <cellStyle name="하이퍼링크" xfId="862" builtinId="8" hidden="1"/>
    <cellStyle name="하이퍼링크" xfId="864" builtinId="8" hidden="1"/>
    <cellStyle name="하이퍼링크" xfId="866" builtinId="8" hidden="1"/>
    <cellStyle name="하이퍼링크" xfId="868" builtinId="8" hidden="1"/>
    <cellStyle name="하이퍼링크" xfId="870" builtinId="8" hidden="1"/>
    <cellStyle name="하이퍼링크" xfId="872" builtinId="8" hidden="1"/>
    <cellStyle name="하이퍼링크" xfId="874" builtinId="8" hidden="1"/>
    <cellStyle name="하이퍼링크" xfId="876" builtinId="8" hidden="1"/>
    <cellStyle name="하이퍼링크" xfId="878" builtinId="8" hidden="1"/>
    <cellStyle name="하이퍼링크" xfId="880" builtinId="8" hidden="1"/>
    <cellStyle name="하이퍼링크" xfId="882" builtinId="8" hidden="1"/>
    <cellStyle name="하이퍼링크" xfId="884" builtinId="8" hidden="1"/>
    <cellStyle name="하이퍼링크" xfId="886" builtinId="8" hidden="1"/>
    <cellStyle name="하이퍼링크" xfId="888" builtinId="8" hidden="1"/>
    <cellStyle name="하이퍼링크" xfId="890" builtinId="8" hidden="1"/>
    <cellStyle name="하이퍼링크" xfId="892" builtinId="8" hidden="1"/>
    <cellStyle name="하이퍼링크" xfId="894" builtinId="8" hidden="1"/>
    <cellStyle name="하이퍼링크" xfId="896" builtinId="8" hidden="1"/>
    <cellStyle name="하이퍼링크" xfId="898" builtinId="8" hidden="1"/>
    <cellStyle name="하이퍼링크" xfId="900" builtinId="8" hidden="1"/>
    <cellStyle name="하이퍼링크" xfId="902" builtinId="8" hidden="1"/>
    <cellStyle name="하이퍼링크" xfId="904" builtinId="8" hidden="1"/>
    <cellStyle name="하이퍼링크" xfId="906" builtinId="8" hidden="1"/>
    <cellStyle name="하이퍼링크" xfId="908" builtinId="8" hidden="1"/>
    <cellStyle name="하이퍼링크" xfId="910" builtinId="8" hidden="1"/>
    <cellStyle name="하이퍼링크" xfId="912" builtinId="8" hidden="1"/>
    <cellStyle name="하이퍼링크" xfId="914" builtinId="8" hidden="1"/>
    <cellStyle name="하이퍼링크" xfId="916" builtinId="8" hidden="1"/>
    <cellStyle name="하이퍼링크" xfId="918" builtinId="8" hidden="1"/>
    <cellStyle name="하이퍼링크" xfId="920" builtinId="8" hidden="1"/>
    <cellStyle name="하이퍼링크" xfId="922" builtinId="8" hidden="1"/>
    <cellStyle name="하이퍼링크" xfId="924" builtinId="8" hidden="1"/>
    <cellStyle name="하이퍼링크" xfId="926" builtinId="8" hidden="1"/>
    <cellStyle name="하이퍼링크" xfId="928" builtinId="8" hidden="1"/>
    <cellStyle name="하이퍼링크" xfId="930" builtinId="8" hidden="1"/>
    <cellStyle name="하이퍼링크" xfId="932" builtinId="8" hidden="1"/>
    <cellStyle name="하이퍼링크" xfId="934" builtinId="8" hidden="1"/>
    <cellStyle name="하이퍼링크" xfId="936" builtinId="8" hidden="1"/>
    <cellStyle name="하이퍼링크" xfId="938" builtinId="8" hidden="1"/>
    <cellStyle name="하이퍼링크" xfId="940" builtinId="8" hidden="1"/>
    <cellStyle name="하이퍼링크" xfId="942" builtinId="8" hidden="1"/>
    <cellStyle name="하이퍼링크" xfId="944" builtinId="8" hidden="1"/>
    <cellStyle name="하이퍼링크" xfId="946" builtinId="8" hidden="1"/>
    <cellStyle name="하이퍼링크" xfId="948" builtinId="8" hidden="1"/>
    <cellStyle name="하이퍼링크" xfId="950" builtinId="8" hidden="1"/>
    <cellStyle name="하이퍼링크" xfId="952" builtinId="8" hidden="1"/>
    <cellStyle name="하이퍼링크" xfId="954" builtinId="8" hidden="1"/>
    <cellStyle name="하이퍼링크" xfId="956" builtinId="8" hidden="1"/>
    <cellStyle name="하이퍼링크" xfId="958" builtinId="8" hidden="1"/>
    <cellStyle name="하이퍼링크" xfId="960" builtinId="8" hidden="1"/>
    <cellStyle name="하이퍼링크" xfId="962" builtinId="8" hidden="1"/>
    <cellStyle name="하이퍼링크" xfId="964" builtinId="8" hidden="1"/>
    <cellStyle name="하이퍼링크" xfId="966" builtinId="8" hidden="1"/>
    <cellStyle name="하이퍼링크" xfId="968" builtinId="8" hidden="1"/>
    <cellStyle name="하이퍼링크" xfId="970" builtinId="8" hidden="1"/>
    <cellStyle name="하이퍼링크" xfId="972" builtinId="8" hidden="1"/>
    <cellStyle name="하이퍼링크" xfId="974" builtinId="8" hidden="1"/>
    <cellStyle name="하이퍼링크" xfId="976" builtinId="8" hidden="1"/>
    <cellStyle name="하이퍼링크" xfId="978" builtinId="8" hidden="1"/>
    <cellStyle name="하이퍼링크" xfId="980" builtinId="8" hidden="1"/>
    <cellStyle name="하이퍼링크" xfId="982" builtinId="8" hidden="1"/>
    <cellStyle name="하이퍼링크" xfId="984" builtinId="8" hidden="1"/>
    <cellStyle name="하이퍼링크" xfId="986" builtinId="8" hidden="1"/>
    <cellStyle name="하이퍼링크" xfId="988" builtinId="8" hidden="1"/>
    <cellStyle name="하이퍼링크" xfId="990" builtinId="8" hidden="1"/>
    <cellStyle name="하이퍼링크" xfId="992" builtinId="8" hidden="1"/>
    <cellStyle name="하이퍼링크" xfId="994" builtinId="8" hidden="1"/>
    <cellStyle name="하이퍼링크" xfId="996" builtinId="8" hidden="1"/>
    <cellStyle name="하이퍼링크" xfId="998" builtinId="8" hidden="1"/>
    <cellStyle name="하이퍼링크" xfId="1000" builtinId="8" hidden="1"/>
    <cellStyle name="하이퍼링크" xfId="1002" builtinId="8" hidden="1"/>
    <cellStyle name="하이퍼링크" xfId="1004" builtinId="8" hidden="1"/>
    <cellStyle name="하이퍼링크" xfId="1006" builtinId="8" hidden="1"/>
    <cellStyle name="하이퍼링크" xfId="1008" builtinId="8" hidden="1"/>
    <cellStyle name="하이퍼링크" xfId="1010" builtinId="8" hidden="1"/>
    <cellStyle name="하이퍼링크" xfId="1012" builtinId="8" hidden="1"/>
    <cellStyle name="하이퍼링크" xfId="1014" builtinId="8" hidden="1"/>
    <cellStyle name="하이퍼링크" xfId="1016" builtinId="8" hidden="1"/>
    <cellStyle name="하이퍼링크" xfId="1018" builtinId="8" hidden="1"/>
    <cellStyle name="하이퍼링크" xfId="1020" builtinId="8" hidden="1"/>
    <cellStyle name="하이퍼링크" xfId="1022" builtinId="8" hidden="1"/>
    <cellStyle name="하이퍼링크" xfId="1024" builtinId="8" hidden="1"/>
    <cellStyle name="하이퍼링크" xfId="1026" builtinId="8" hidden="1"/>
    <cellStyle name="하이퍼링크" xfId="1028" builtinId="8" hidden="1"/>
    <cellStyle name="하이퍼링크" xfId="1030" builtinId="8" hidden="1"/>
    <cellStyle name="하이퍼링크" xfId="1032" builtinId="8" hidden="1"/>
    <cellStyle name="하이퍼링크" xfId="1034" builtinId="8" hidden="1"/>
    <cellStyle name="하이퍼링크" xfId="1036" builtinId="8" hidden="1"/>
    <cellStyle name="하이퍼링크" xfId="1038" builtinId="8" hidden="1"/>
    <cellStyle name="하이퍼링크" xfId="1040" builtinId="8" hidden="1"/>
    <cellStyle name="하이퍼링크" xfId="1042" builtinId="8" hidden="1"/>
    <cellStyle name="하이퍼링크" xfId="1044" builtinId="8" hidden="1"/>
    <cellStyle name="하이퍼링크" xfId="1046" builtinId="8" hidden="1"/>
    <cellStyle name="하이퍼링크" xfId="1048" builtinId="8" hidden="1"/>
    <cellStyle name="하이퍼링크" xfId="1050" builtinId="8" hidden="1"/>
    <cellStyle name="하이퍼링크" xfId="1052" builtinId="8" hidden="1"/>
    <cellStyle name="하이퍼링크" xfId="1054" builtinId="8" hidden="1"/>
    <cellStyle name="하이퍼링크" xfId="1056" builtinId="8" hidden="1"/>
    <cellStyle name="하이퍼링크" xfId="1058" builtinId="8" hidden="1"/>
    <cellStyle name="하이퍼링크" xfId="1060" builtinId="8" hidden="1"/>
    <cellStyle name="하이퍼링크" xfId="1062" builtinId="8" hidden="1"/>
    <cellStyle name="하이퍼링크" xfId="1064" builtinId="8" hidden="1"/>
    <cellStyle name="하이퍼링크" xfId="1066" builtinId="8" hidden="1"/>
    <cellStyle name="하이퍼링크" xfId="1068" builtinId="8" hidden="1"/>
    <cellStyle name="하이퍼링크" xfId="1070" builtinId="8" hidden="1"/>
    <cellStyle name="하이퍼링크" xfId="1072" builtinId="8" hidden="1"/>
    <cellStyle name="하이퍼링크" xfId="1074" builtinId="8" hidden="1"/>
    <cellStyle name="하이퍼링크" xfId="1076" builtinId="8" hidden="1"/>
    <cellStyle name="하이퍼링크" xfId="1078" builtinId="8" hidden="1"/>
    <cellStyle name="하이퍼링크" xfId="1080" builtinId="8" hidden="1"/>
    <cellStyle name="하이퍼링크" xfId="1082" builtinId="8" hidden="1"/>
    <cellStyle name="하이퍼링크" xfId="1084" builtinId="8" hidden="1"/>
    <cellStyle name="하이퍼링크" xfId="1086" builtinId="8" hidden="1"/>
    <cellStyle name="하이퍼링크" xfId="1088" builtinId="8" hidden="1"/>
    <cellStyle name="하이퍼링크" xfId="1090" builtinId="8" hidden="1"/>
    <cellStyle name="하이퍼링크" xfId="1092" builtinId="8" hidden="1"/>
    <cellStyle name="하이퍼링크" xfId="1094" builtinId="8" hidden="1"/>
    <cellStyle name="하이퍼링크" xfId="1096" builtinId="8" hidden="1"/>
    <cellStyle name="하이퍼링크" xfId="1098" builtinId="8" hidden="1"/>
    <cellStyle name="하이퍼링크" xfId="1100" builtinId="8" hidden="1"/>
    <cellStyle name="하이퍼링크" xfId="1102" builtinId="8" hidden="1"/>
    <cellStyle name="하이퍼링크" xfId="1104" builtinId="8" hidden="1"/>
    <cellStyle name="하이퍼링크" xfId="1106" builtinId="8" hidden="1"/>
    <cellStyle name="하이퍼링크" xfId="1108" builtinId="8" hidden="1"/>
    <cellStyle name="하이퍼링크" xfId="1110" builtinId="8" hidden="1"/>
    <cellStyle name="하이퍼링크" xfId="1112" builtinId="8" hidden="1"/>
    <cellStyle name="하이퍼링크" xfId="1114" builtinId="8" hidden="1"/>
    <cellStyle name="하이퍼링크" xfId="1116" builtinId="8" hidden="1"/>
    <cellStyle name="하이퍼링크" xfId="1118" builtinId="8" hidden="1"/>
    <cellStyle name="하이퍼링크" xfId="1120" builtinId="8" hidden="1"/>
    <cellStyle name="하이퍼링크" xfId="1122" builtinId="8" hidden="1"/>
    <cellStyle name="하이퍼링크" xfId="1124" builtinId="8" hidden="1"/>
    <cellStyle name="하이퍼링크" xfId="1126" builtinId="8" hidden="1"/>
    <cellStyle name="하이퍼링크" xfId="1128" builtinId="8" hidden="1"/>
    <cellStyle name="하이퍼링크" xfId="1130" builtinId="8" hidden="1"/>
    <cellStyle name="하이퍼링크" xfId="1132" builtinId="8" hidden="1"/>
    <cellStyle name="하이퍼링크" xfId="1134" builtinId="8" hidden="1"/>
    <cellStyle name="하이퍼링크" xfId="1136" builtinId="8" hidden="1"/>
    <cellStyle name="하이퍼링크" xfId="1138" builtinId="8" hidden="1"/>
    <cellStyle name="하이퍼링크" xfId="1140" builtinId="8" hidden="1"/>
    <cellStyle name="하이퍼링크" xfId="1142" builtinId="8" hidden="1"/>
    <cellStyle name="하이퍼링크" xfId="1144" builtinId="8" hidden="1"/>
    <cellStyle name="하이퍼링크" xfId="1146" builtinId="8" hidden="1"/>
    <cellStyle name="하이퍼링크" xfId="1148" builtinId="8" hidden="1"/>
    <cellStyle name="하이퍼링크" xfId="1150" builtinId="8" hidden="1"/>
    <cellStyle name="하이퍼링크" xfId="1152" builtinId="8" hidden="1"/>
    <cellStyle name="하이퍼링크" xfId="1154" builtinId="8" hidden="1"/>
    <cellStyle name="하이퍼링크" xfId="1156" builtinId="8" hidden="1"/>
    <cellStyle name="하이퍼링크" xfId="1158" builtinId="8" hidden="1"/>
    <cellStyle name="하이퍼링크" xfId="1160" builtinId="8" hidden="1"/>
    <cellStyle name="하이퍼링크" xfId="1162" builtinId="8" hidden="1"/>
    <cellStyle name="하이퍼링크" xfId="1164" builtinId="8" hidden="1"/>
    <cellStyle name="하이퍼링크" xfId="1166" builtinId="8" hidden="1"/>
    <cellStyle name="하이퍼링크" xfId="1168" builtinId="8" hidden="1"/>
    <cellStyle name="하이퍼링크" xfId="1170" builtinId="8" hidden="1"/>
    <cellStyle name="하이퍼링크" xfId="1172" builtinId="8" hidden="1"/>
    <cellStyle name="하이퍼링크" xfId="1174" builtinId="8" hidden="1"/>
    <cellStyle name="하이퍼링크" xfId="1176" builtinId="8" hidden="1"/>
    <cellStyle name="하이퍼링크" xfId="1178" builtinId="8" hidden="1"/>
    <cellStyle name="하이퍼링크" xfId="1180" builtinId="8" hidden="1"/>
    <cellStyle name="하이퍼링크" xfId="1182" builtinId="8" hidden="1"/>
    <cellStyle name="하이퍼링크" xfId="1184" builtinId="8" hidden="1"/>
    <cellStyle name="하이퍼링크" xfId="1186" builtinId="8" hidden="1"/>
    <cellStyle name="하이퍼링크" xfId="1188" builtinId="8" hidden="1"/>
    <cellStyle name="하이퍼링크" xfId="1190" builtinId="8" hidden="1"/>
    <cellStyle name="하이퍼링크" xfId="1192" builtinId="8" hidden="1"/>
    <cellStyle name="하이퍼링크" xfId="1194" builtinId="8" hidden="1"/>
    <cellStyle name="하이퍼링크" xfId="1196" builtinId="8" hidden="1"/>
    <cellStyle name="하이퍼링크" xfId="1198" builtinId="8" hidden="1"/>
    <cellStyle name="하이퍼링크" xfId="1200" builtinId="8" hidden="1"/>
    <cellStyle name="하이퍼링크" xfId="1202" builtinId="8" hidden="1"/>
    <cellStyle name="하이퍼링크" xfId="1204" builtinId="8" hidden="1"/>
    <cellStyle name="하이퍼링크" xfId="1206" builtinId="8" hidden="1"/>
    <cellStyle name="하이퍼링크" xfId="1208" builtinId="8" hidden="1"/>
    <cellStyle name="하이퍼링크" xfId="1210" builtinId="8" hidden="1"/>
    <cellStyle name="하이퍼링크" xfId="1212" builtinId="8" hidden="1"/>
    <cellStyle name="하이퍼링크" xfId="1214" builtinId="8" hidden="1"/>
    <cellStyle name="하이퍼링크" xfId="1216" builtinId="8" hidden="1"/>
    <cellStyle name="하이퍼링크" xfId="1218" builtinId="8" hidden="1"/>
    <cellStyle name="하이퍼링크" xfId="1220" builtinId="8" hidden="1"/>
    <cellStyle name="하이퍼링크" xfId="1222" builtinId="8" hidden="1"/>
    <cellStyle name="하이퍼링크" xfId="1224" builtinId="8" hidden="1"/>
    <cellStyle name="하이퍼링크" xfId="1226" builtinId="8" hidden="1"/>
    <cellStyle name="하이퍼링크" xfId="1228" builtinId="8" hidden="1"/>
    <cellStyle name="하이퍼링크" xfId="1230" builtinId="8" hidden="1"/>
    <cellStyle name="하이퍼링크" xfId="1232" builtinId="8" hidden="1"/>
    <cellStyle name="하이퍼링크" xfId="1234" builtinId="8" hidden="1"/>
    <cellStyle name="하이퍼링크" xfId="1236" builtinId="8" hidden="1"/>
    <cellStyle name="하이퍼링크" xfId="1238" builtinId="8" hidden="1"/>
    <cellStyle name="하이퍼링크" xfId="1240" builtinId="8" hidden="1"/>
    <cellStyle name="하이퍼링크" xfId="1242" builtinId="8" hidden="1"/>
    <cellStyle name="하이퍼링크" xfId="1244" builtinId="8" hidden="1"/>
    <cellStyle name="하이퍼링크" xfId="1246" builtinId="8" hidden="1"/>
    <cellStyle name="하이퍼링크" xfId="1248" builtinId="8" hidden="1"/>
    <cellStyle name="하이퍼링크" xfId="1250" builtinId="8" hidden="1"/>
    <cellStyle name="하이퍼링크" xfId="1252" builtinId="8" hidden="1"/>
    <cellStyle name="하이퍼링크" xfId="1254" builtinId="8" hidden="1"/>
    <cellStyle name="하이퍼링크" xfId="1256" builtinId="8" hidden="1"/>
    <cellStyle name="하이퍼링크" xfId="1258" builtinId="8" hidden="1"/>
    <cellStyle name="하이퍼링크" xfId="1260" builtinId="8" hidden="1"/>
    <cellStyle name="하이퍼링크" xfId="1262" builtinId="8" hidden="1"/>
    <cellStyle name="하이퍼링크" xfId="1264" builtinId="8" hidden="1"/>
    <cellStyle name="하이퍼링크" xfId="1266" builtinId="8" hidden="1"/>
    <cellStyle name="하이퍼링크" xfId="1268" builtinId="8" hidden="1"/>
    <cellStyle name="하이퍼링크" xfId="1270" builtinId="8" hidden="1"/>
    <cellStyle name="하이퍼링크" xfId="1272" builtinId="8" hidden="1"/>
    <cellStyle name="하이퍼링크" xfId="1274" builtinId="8" hidden="1"/>
    <cellStyle name="하이퍼링크" xfId="1276" builtinId="8" hidden="1"/>
    <cellStyle name="하이퍼링크" xfId="1278" builtinId="8" hidden="1"/>
    <cellStyle name="하이퍼링크" xfId="1280" builtinId="8" hidden="1"/>
    <cellStyle name="하이퍼링크" xfId="1282" builtinId="8" hidden="1"/>
    <cellStyle name="하이퍼링크" xfId="1284" builtinId="8" hidden="1"/>
    <cellStyle name="하이퍼링크" xfId="1286" builtinId="8" hidden="1"/>
    <cellStyle name="하이퍼링크" xfId="1288" builtinId="8" hidden="1"/>
    <cellStyle name="하이퍼링크" xfId="1290" builtinId="8" hidden="1"/>
    <cellStyle name="하이퍼링크" xfId="1292" builtinId="8" hidden="1"/>
    <cellStyle name="하이퍼링크" xfId="1294" builtinId="8" hidden="1"/>
    <cellStyle name="하이퍼링크" xfId="1296" builtinId="8" hidden="1"/>
    <cellStyle name="하이퍼링크" xfId="1298" builtinId="8" hidden="1"/>
    <cellStyle name="하이퍼링크" xfId="1300" builtinId="8" hidden="1"/>
    <cellStyle name="하이퍼링크" xfId="1302" builtinId="8" hidden="1"/>
    <cellStyle name="하이퍼링크" xfId="1304" builtinId="8" hidden="1"/>
    <cellStyle name="하이퍼링크" xfId="1306" builtinId="8" hidden="1"/>
    <cellStyle name="하이퍼링크" xfId="1308" builtinId="8" hidden="1"/>
    <cellStyle name="하이퍼링크" xfId="1310" builtinId="8" hidden="1"/>
    <cellStyle name="하이퍼링크" xfId="1312" builtinId="8" hidden="1"/>
    <cellStyle name="하이퍼링크" xfId="1314" builtinId="8" hidden="1"/>
    <cellStyle name="하이퍼링크" xfId="1316" builtinId="8" hidden="1"/>
    <cellStyle name="하이퍼링크" xfId="1318" builtinId="8" hidden="1"/>
    <cellStyle name="하이퍼링크" xfId="1320" builtinId="8" hidden="1"/>
    <cellStyle name="하이퍼링크" xfId="1322" builtinId="8" hidden="1"/>
    <cellStyle name="하이퍼링크" xfId="1324" builtinId="8" hidden="1"/>
    <cellStyle name="하이퍼링크" xfId="1326" builtinId="8" hidden="1"/>
    <cellStyle name="하이퍼링크" xfId="1328" builtinId="8" hidden="1"/>
    <cellStyle name="하이퍼링크" xfId="1330" builtinId="8" hidden="1"/>
    <cellStyle name="하이퍼링크" xfId="1332" builtinId="8" hidden="1"/>
    <cellStyle name="하이퍼링크" xfId="1334" builtinId="8" hidden="1"/>
    <cellStyle name="하이퍼링크" xfId="1336" builtinId="8" hidden="1"/>
    <cellStyle name="하이퍼링크" xfId="1338" builtinId="8" hidden="1"/>
    <cellStyle name="하이퍼링크" xfId="1340" builtinId="8" hidden="1"/>
    <cellStyle name="하이퍼링크" xfId="1342" builtinId="8" hidden="1"/>
    <cellStyle name="하이퍼링크" xfId="1344" builtinId="8" hidden="1"/>
    <cellStyle name="하이퍼링크" xfId="1346" builtinId="8" hidden="1"/>
    <cellStyle name="하이퍼링크" xfId="1348" builtinId="8" hidden="1"/>
    <cellStyle name="하이퍼링크" xfId="1350" builtinId="8" hidden="1"/>
    <cellStyle name="하이퍼링크" xfId="1352" builtinId="8" hidden="1"/>
    <cellStyle name="하이퍼링크" xfId="1354" builtinId="8" hidden="1"/>
    <cellStyle name="하이퍼링크" xfId="1356" builtinId="8" hidden="1"/>
    <cellStyle name="하이퍼링크" xfId="1358" builtinId="8" hidden="1"/>
    <cellStyle name="하이퍼링크" xfId="1360" builtinId="8" hidden="1"/>
    <cellStyle name="하이퍼링크" xfId="1362" builtinId="8" hidden="1"/>
    <cellStyle name="하이퍼링크" xfId="1364" builtinId="8" hidden="1"/>
    <cellStyle name="하이퍼링크" xfId="1366" builtinId="8" hidden="1"/>
    <cellStyle name="하이퍼링크" xfId="1368" builtinId="8" hidden="1"/>
    <cellStyle name="하이퍼링크" xfId="1370" builtinId="8" hidden="1"/>
    <cellStyle name="하이퍼링크" xfId="1372" builtinId="8" hidden="1"/>
    <cellStyle name="하이퍼링크" xfId="1374" builtinId="8" hidden="1"/>
    <cellStyle name="하이퍼링크" xfId="1376" builtinId="8" hidden="1"/>
    <cellStyle name="하이퍼링크" xfId="1378" builtinId="8" hidden="1"/>
    <cellStyle name="하이퍼링크" xfId="1380" builtinId="8" hidden="1"/>
    <cellStyle name="하이퍼링크" xfId="1382" builtinId="8" hidden="1"/>
    <cellStyle name="하이퍼링크" xfId="1384" builtinId="8" hidden="1"/>
    <cellStyle name="하이퍼링크" xfId="1386" builtinId="8" hidden="1"/>
    <cellStyle name="하이퍼링크" xfId="1388" builtinId="8" hidden="1"/>
    <cellStyle name="하이퍼링크" xfId="1390" builtinId="8" hidden="1"/>
    <cellStyle name="하이퍼링크" xfId="1392" builtinId="8" hidden="1"/>
    <cellStyle name="하이퍼링크" xfId="1394" builtinId="8" hidden="1"/>
    <cellStyle name="하이퍼링크" xfId="1396" builtinId="8" hidden="1"/>
    <cellStyle name="하이퍼링크" xfId="1398" builtinId="8" hidden="1"/>
    <cellStyle name="하이퍼링크" xfId="1400" builtinId="8" hidden="1"/>
    <cellStyle name="하이퍼링크" xfId="1402" builtinId="8" hidden="1"/>
    <cellStyle name="하이퍼링크" xfId="1404" builtinId="8" hidden="1"/>
    <cellStyle name="하이퍼링크" xfId="1406" builtinId="8" hidden="1"/>
    <cellStyle name="하이퍼링크" xfId="1408" builtinId="8" hidden="1"/>
    <cellStyle name="하이퍼링크" xfId="1410" builtinId="8" hidden="1"/>
    <cellStyle name="하이퍼링크" xfId="1412" builtinId="8" hidden="1"/>
    <cellStyle name="하이퍼링크" xfId="1414" builtinId="8" hidden="1"/>
    <cellStyle name="하이퍼링크" xfId="1416" builtinId="8" hidden="1"/>
    <cellStyle name="하이퍼링크" xfId="1418" builtinId="8" hidden="1"/>
    <cellStyle name="하이퍼링크" xfId="1420" builtinId="8" hidden="1"/>
    <cellStyle name="하이퍼링크" xfId="1422" builtinId="8" hidden="1"/>
    <cellStyle name="하이퍼링크" xfId="1424" builtinId="8" hidden="1"/>
    <cellStyle name="하이퍼링크" xfId="1426" builtinId="8" hidden="1"/>
    <cellStyle name="하이퍼링크" xfId="1428" builtinId="8" hidden="1"/>
    <cellStyle name="하이퍼링크" xfId="1430" builtinId="8" hidden="1"/>
    <cellStyle name="하이퍼링크" xfId="1432" builtinId="8" hidden="1"/>
    <cellStyle name="하이퍼링크" xfId="1434" builtinId="8" hidden="1"/>
    <cellStyle name="하이퍼링크" xfId="1436" builtinId="8" hidden="1"/>
    <cellStyle name="하이퍼링크" xfId="1438" builtinId="8" hidden="1"/>
    <cellStyle name="하이퍼링크" xfId="1440" builtinId="8" hidden="1"/>
    <cellStyle name="하이퍼링크" xfId="1442" builtinId="8" hidden="1"/>
    <cellStyle name="하이퍼링크" xfId="1444" builtinId="8" hidden="1"/>
    <cellStyle name="하이퍼링크" xfId="1446" builtinId="8" hidden="1"/>
    <cellStyle name="하이퍼링크" xfId="1448" builtinId="8" hidden="1"/>
    <cellStyle name="하이퍼링크" xfId="1450" builtinId="8" hidden="1"/>
    <cellStyle name="하이퍼링크" xfId="1452" builtinId="8" hidden="1"/>
    <cellStyle name="하이퍼링크" xfId="1454" builtinId="8" hidden="1"/>
    <cellStyle name="하이퍼링크" xfId="1456" builtinId="8" hidden="1"/>
    <cellStyle name="하이퍼링크" xfId="1458" builtinId="8" hidden="1"/>
    <cellStyle name="하이퍼링크" xfId="1460" builtinId="8" hidden="1"/>
    <cellStyle name="하이퍼링크" xfId="1462" builtinId="8" hidden="1"/>
    <cellStyle name="하이퍼링크" xfId="1464" builtinId="8" hidden="1"/>
    <cellStyle name="하이퍼링크" xfId="1466" builtinId="8" hidden="1"/>
    <cellStyle name="하이퍼링크" xfId="1468" builtinId="8" hidden="1"/>
    <cellStyle name="하이퍼링크" xfId="1470" builtinId="8" hidden="1"/>
    <cellStyle name="하이퍼링크" xfId="1472" builtinId="8" hidden="1"/>
    <cellStyle name="하이퍼링크" xfId="1474" builtinId="8" hidden="1"/>
    <cellStyle name="하이퍼링크" xfId="1476" builtinId="8" hidden="1"/>
    <cellStyle name="하이퍼링크" xfId="1478" builtinId="8" hidden="1"/>
    <cellStyle name="하이퍼링크" xfId="1480" builtinId="8" hidden="1"/>
    <cellStyle name="하이퍼링크" xfId="1482" builtinId="8" hidden="1"/>
    <cellStyle name="하이퍼링크" xfId="1484" builtinId="8" hidden="1"/>
    <cellStyle name="하이퍼링크" xfId="1486" builtinId="8" hidden="1"/>
    <cellStyle name="하이퍼링크" xfId="1488" builtinId="8" hidden="1"/>
    <cellStyle name="하이퍼링크" xfId="1490" builtinId="8" hidden="1"/>
    <cellStyle name="하이퍼링크" xfId="1492" builtinId="8" hidden="1"/>
    <cellStyle name="하이퍼링크" xfId="1494" builtinId="8" hidden="1"/>
    <cellStyle name="하이퍼링크" xfId="1496" builtinId="8" hidden="1"/>
    <cellStyle name="하이퍼링크" xfId="1498" builtinId="8" hidden="1"/>
    <cellStyle name="하이퍼링크" xfId="1500" builtinId="8" hidden="1"/>
    <cellStyle name="하이퍼링크" xfId="1502" builtinId="8" hidden="1"/>
    <cellStyle name="하이퍼링크" xfId="1504" builtinId="8" hidden="1"/>
    <cellStyle name="하이퍼링크" xfId="1506" builtinId="8" hidden="1"/>
    <cellStyle name="하이퍼링크" xfId="1508" builtinId="8" hidden="1"/>
    <cellStyle name="하이퍼링크" xfId="1510" builtinId="8" hidden="1"/>
    <cellStyle name="하이퍼링크" xfId="1512" builtinId="8" hidden="1"/>
    <cellStyle name="하이퍼링크" xfId="1514" builtinId="8" hidden="1"/>
    <cellStyle name="하이퍼링크" xfId="1516" builtinId="8" hidden="1"/>
    <cellStyle name="하이퍼링크" xfId="1518" builtinId="8" hidden="1"/>
    <cellStyle name="하이퍼링크" xfId="1520" builtinId="8" hidden="1"/>
    <cellStyle name="하이퍼링크" xfId="1522" builtinId="8" hidden="1"/>
    <cellStyle name="하이퍼링크" xfId="1524" builtinId="8" hidden="1"/>
    <cellStyle name="하이퍼링크" xfId="1526" builtinId="8" hidden="1"/>
    <cellStyle name="하이퍼링크" xfId="1528" builtinId="8" hidden="1"/>
    <cellStyle name="하이퍼링크" xfId="1530" builtinId="8" hidden="1"/>
    <cellStyle name="하이퍼링크" xfId="1532" builtinId="8" hidden="1"/>
    <cellStyle name="하이퍼링크" xfId="1534" builtinId="8" hidden="1"/>
    <cellStyle name="하이퍼링크" xfId="1536" builtinId="8" hidden="1"/>
    <cellStyle name="하이퍼링크" xfId="1538" builtinId="8" hidden="1"/>
    <cellStyle name="하이퍼링크" xfId="1540" builtinId="8" hidden="1"/>
    <cellStyle name="하이퍼링크" xfId="1542" builtinId="8" hidden="1"/>
    <cellStyle name="하이퍼링크" xfId="1544" builtinId="8" hidden="1"/>
    <cellStyle name="하이퍼링크" xfId="1546" builtinId="8" hidden="1"/>
    <cellStyle name="하이퍼링크" xfId="1548" builtinId="8" hidden="1"/>
    <cellStyle name="하이퍼링크" xfId="1550" builtinId="8" hidden="1"/>
    <cellStyle name="하이퍼링크" xfId="1552" builtinId="8" hidden="1"/>
    <cellStyle name="하이퍼링크" xfId="1554" builtinId="8" hidden="1"/>
    <cellStyle name="하이퍼링크" xfId="1556" builtinId="8" hidden="1"/>
    <cellStyle name="하이퍼링크" xfId="1558" builtinId="8" hidden="1"/>
    <cellStyle name="하이퍼링크" xfId="1560" builtinId="8" hidden="1"/>
    <cellStyle name="하이퍼링크" xfId="1562" builtinId="8" hidden="1"/>
    <cellStyle name="하이퍼링크" xfId="1564" builtinId="8" hidden="1"/>
    <cellStyle name="하이퍼링크" xfId="1566" builtinId="8" hidden="1"/>
    <cellStyle name="하이퍼링크" xfId="1568" builtinId="8" hidden="1"/>
    <cellStyle name="하이퍼링크" xfId="1570" builtinId="8" hidden="1"/>
    <cellStyle name="하이퍼링크" xfId="1572" builtinId="8" hidden="1"/>
    <cellStyle name="하이퍼링크" xfId="1574" builtinId="8" hidden="1"/>
    <cellStyle name="하이퍼링크" xfId="1576" builtinId="8" hidden="1"/>
    <cellStyle name="하이퍼링크" xfId="1578" builtinId="8" hidden="1"/>
    <cellStyle name="하이퍼링크" xfId="1580" builtinId="8" hidden="1"/>
    <cellStyle name="하이퍼링크" xfId="1582" builtinId="8" hidden="1"/>
    <cellStyle name="하이퍼링크" xfId="1584" builtinId="8" hidden="1"/>
    <cellStyle name="하이퍼링크" xfId="1586" builtinId="8" hidden="1"/>
    <cellStyle name="하이퍼링크" xfId="1588" builtinId="8" hidden="1"/>
    <cellStyle name="하이퍼링크" xfId="1590" builtinId="8" hidden="1"/>
    <cellStyle name="하이퍼링크" xfId="1592" builtinId="8" hidden="1"/>
    <cellStyle name="하이퍼링크" xfId="1594" builtinId="8" hidden="1"/>
    <cellStyle name="하이퍼링크" xfId="1596" builtinId="8" hidden="1"/>
    <cellStyle name="하이퍼링크" xfId="1598" builtinId="8" hidden="1"/>
    <cellStyle name="하이퍼링크" xfId="1600" builtinId="8" hidden="1"/>
    <cellStyle name="하이퍼링크" xfId="1602" builtinId="8" hidden="1"/>
    <cellStyle name="하이퍼링크" xfId="1604" builtinId="8" hidden="1"/>
    <cellStyle name="하이퍼링크" xfId="1606" builtinId="8" hidden="1"/>
    <cellStyle name="하이퍼링크" xfId="1608" builtinId="8" hidden="1"/>
    <cellStyle name="하이퍼링크" xfId="1610" builtinId="8" hidden="1"/>
    <cellStyle name="하이퍼링크" xfId="1612" builtinId="8" hidden="1"/>
    <cellStyle name="하이퍼링크" xfId="1614" builtinId="8" hidden="1"/>
    <cellStyle name="하이퍼링크" xfId="1616" builtinId="8" hidden="1"/>
    <cellStyle name="하이퍼링크" xfId="1618" builtinId="8" hidden="1"/>
    <cellStyle name="하이퍼링크" xfId="1620" builtinId="8" hidden="1"/>
    <cellStyle name="하이퍼링크" xfId="1622" builtinId="8" hidden="1"/>
    <cellStyle name="하이퍼링크" xfId="1624" builtinId="8" hidden="1"/>
    <cellStyle name="하이퍼링크" xfId="1626" builtinId="8" hidden="1"/>
    <cellStyle name="하이퍼링크" xfId="1628" builtinId="8" hidden="1"/>
    <cellStyle name="하이퍼링크" xfId="1630" builtinId="8" hidden="1"/>
    <cellStyle name="하이퍼링크" xfId="1632" builtinId="8" hidden="1"/>
    <cellStyle name="하이퍼링크" xfId="1634" builtinId="8" hidden="1"/>
    <cellStyle name="하이퍼링크" xfId="1636" builtinId="8" hidden="1"/>
    <cellStyle name="하이퍼링크" xfId="1638" builtinId="8" hidden="1"/>
    <cellStyle name="하이퍼링크" xfId="1640" builtinId="8" hidden="1"/>
    <cellStyle name="하이퍼링크" xfId="1642" builtinId="8" hidden="1"/>
    <cellStyle name="하이퍼링크" xfId="1644" builtinId="8" hidden="1"/>
    <cellStyle name="하이퍼링크" xfId="1646" builtinId="8" hidden="1"/>
    <cellStyle name="하이퍼링크" xfId="1648" builtinId="8" hidden="1"/>
    <cellStyle name="하이퍼링크" xfId="1650" builtinId="8" hidden="1"/>
    <cellStyle name="하이퍼링크" xfId="1652" builtinId="8" hidden="1"/>
    <cellStyle name="하이퍼링크" xfId="1654" builtinId="8" hidden="1"/>
    <cellStyle name="하이퍼링크" xfId="1656" builtinId="8" hidden="1"/>
    <cellStyle name="하이퍼링크" xfId="1658" builtinId="8" hidden="1"/>
    <cellStyle name="하이퍼링크" xfId="1660" builtinId="8" hidden="1"/>
    <cellStyle name="하이퍼링크" xfId="1662" builtinId="8" hidden="1"/>
    <cellStyle name="하이퍼링크" xfId="1664" builtinId="8" hidden="1"/>
    <cellStyle name="하이퍼링크" xfId="1666" builtinId="8" hidden="1"/>
    <cellStyle name="하이퍼링크" xfId="1668" builtinId="8" hidden="1"/>
    <cellStyle name="하이퍼링크" xfId="1670" builtinId="8" hidden="1"/>
    <cellStyle name="하이퍼링크" xfId="1672" builtinId="8" hidden="1"/>
    <cellStyle name="하이퍼링크" xfId="1674" builtinId="8" hidden="1"/>
    <cellStyle name="하이퍼링크" xfId="1676" builtinId="8" hidden="1"/>
    <cellStyle name="하이퍼링크" xfId="1678" builtinId="8" hidden="1"/>
    <cellStyle name="하이퍼링크" xfId="1680" builtinId="8" hidden="1"/>
    <cellStyle name="하이퍼링크" xfId="1682" builtinId="8" hidden="1"/>
    <cellStyle name="하이퍼링크" xfId="1684" builtinId="8" hidden="1"/>
    <cellStyle name="하이퍼링크" xfId="1686" builtinId="8" hidden="1"/>
    <cellStyle name="하이퍼링크" xfId="1688" builtinId="8" hidden="1"/>
    <cellStyle name="하이퍼링크" xfId="1690" builtinId="8" hidden="1"/>
    <cellStyle name="하이퍼링크" xfId="1692" builtinId="8" hidden="1"/>
    <cellStyle name="하이퍼링크" xfId="1694" builtinId="8" hidden="1"/>
    <cellStyle name="하이퍼링크" xfId="1696" builtinId="8" hidden="1"/>
    <cellStyle name="하이퍼링크" xfId="1698" builtinId="8" hidden="1"/>
    <cellStyle name="하이퍼링크" xfId="1700" builtinId="8" hidden="1"/>
    <cellStyle name="하이퍼링크" xfId="1702" builtinId="8" hidden="1"/>
    <cellStyle name="하이퍼링크" xfId="1704" builtinId="8" hidden="1"/>
    <cellStyle name="하이퍼링크" xfId="1706" builtinId="8" hidden="1"/>
    <cellStyle name="하이퍼링크" xfId="1708" builtinId="8" hidden="1"/>
    <cellStyle name="하이퍼링크" xfId="1710" builtinId="8" hidden="1"/>
    <cellStyle name="하이퍼링크" xfId="1712" builtinId="8" hidden="1"/>
    <cellStyle name="하이퍼링크" xfId="1714" builtinId="8" hidden="1"/>
    <cellStyle name="하이퍼링크" xfId="1716" builtinId="8" hidden="1"/>
    <cellStyle name="하이퍼링크" xfId="1718" builtinId="8" hidden="1"/>
    <cellStyle name="하이퍼링크" xfId="1720" builtinId="8" hidden="1"/>
    <cellStyle name="하이퍼링크" xfId="1722" builtinId="8" hidden="1"/>
    <cellStyle name="하이퍼링크" xfId="1724" builtinId="8" hidden="1"/>
    <cellStyle name="하이퍼링크" xfId="1726" builtinId="8" hidden="1"/>
    <cellStyle name="하이퍼링크" xfId="1728" builtinId="8" hidden="1"/>
    <cellStyle name="하이퍼링크" xfId="1730" builtinId="8" hidden="1"/>
    <cellStyle name="하이퍼링크" xfId="1732" builtinId="8" hidden="1"/>
    <cellStyle name="하이퍼링크" xfId="1734" builtinId="8" hidden="1"/>
    <cellStyle name="하이퍼링크" xfId="1736" builtinId="8" hidden="1"/>
    <cellStyle name="하이퍼링크" xfId="1738" builtinId="8" hidden="1"/>
    <cellStyle name="하이퍼링크" xfId="1740" builtinId="8" hidden="1"/>
    <cellStyle name="하이퍼링크" xfId="1742" builtinId="8" hidden="1"/>
    <cellStyle name="하이퍼링크" xfId="1744" builtinId="8" hidden="1"/>
    <cellStyle name="하이퍼링크" xfId="1746" builtinId="8" hidden="1"/>
    <cellStyle name="하이퍼링크" xfId="1748" builtinId="8" hidden="1"/>
    <cellStyle name="하이퍼링크" xfId="1750" builtinId="8" hidden="1"/>
    <cellStyle name="하이퍼링크" xfId="1752" builtinId="8" hidden="1"/>
    <cellStyle name="하이퍼링크" xfId="1754" builtinId="8" hidden="1"/>
    <cellStyle name="하이퍼링크" xfId="1756" builtinId="8" hidden="1"/>
    <cellStyle name="하이퍼링크" xfId="1758" builtinId="8" hidden="1"/>
    <cellStyle name="하이퍼링크" xfId="1760" builtinId="8" hidden="1"/>
    <cellStyle name="하이퍼링크" xfId="1762" builtinId="8" hidden="1"/>
    <cellStyle name="하이퍼링크" xfId="1764" builtinId="8" hidden="1"/>
    <cellStyle name="하이퍼링크" xfId="1766" builtinId="8" hidden="1"/>
    <cellStyle name="하이퍼링크" xfId="1768" builtinId="8" hidden="1"/>
    <cellStyle name="하이퍼링크" xfId="1770" builtinId="8" hidden="1"/>
    <cellStyle name="하이퍼링크" xfId="1772" builtinId="8" hidden="1"/>
    <cellStyle name="하이퍼링크" xfId="1774" builtinId="8" hidden="1"/>
    <cellStyle name="하이퍼링크" xfId="1776" builtinId="8" hidden="1"/>
    <cellStyle name="하이퍼링크" xfId="1778" builtinId="8" hidden="1"/>
    <cellStyle name="하이퍼링크" xfId="1780" builtinId="8" hidden="1"/>
    <cellStyle name="하이퍼링크" xfId="1782" builtinId="8" hidden="1"/>
    <cellStyle name="하이퍼링크" xfId="1784" builtinId="8" hidden="1"/>
    <cellStyle name="하이퍼링크" xfId="1786" builtinId="8" hidden="1"/>
    <cellStyle name="하이퍼링크" xfId="1788" builtinId="8" hidden="1"/>
    <cellStyle name="하이퍼링크" xfId="1790" builtinId="8" hidden="1"/>
    <cellStyle name="하이퍼링크" xfId="1792" builtinId="8" hidden="1"/>
    <cellStyle name="하이퍼링크" xfId="1794" builtinId="8" hidden="1"/>
    <cellStyle name="하이퍼링크" xfId="1796" builtinId="8" hidden="1"/>
    <cellStyle name="하이퍼링크" xfId="1798" builtinId="8" hidden="1"/>
    <cellStyle name="하이퍼링크" xfId="1800" builtinId="8" hidden="1"/>
    <cellStyle name="하이퍼링크" xfId="1802" builtinId="8" hidden="1"/>
    <cellStyle name="하이퍼링크" xfId="1804" builtinId="8" hidden="1"/>
    <cellStyle name="하이퍼링크" xfId="1806" builtinId="8" hidden="1"/>
    <cellStyle name="하이퍼링크" xfId="1808" builtinId="8" hidden="1"/>
    <cellStyle name="하이퍼링크" xfId="1810" builtinId="8" hidden="1"/>
    <cellStyle name="하이퍼링크" xfId="1812" builtinId="8" hidden="1"/>
    <cellStyle name="하이퍼링크" xfId="1814" builtinId="8" hidden="1"/>
    <cellStyle name="하이퍼링크" xfId="1816" builtinId="8" hidden="1"/>
    <cellStyle name="하이퍼링크" xfId="1818" builtinId="8" hidden="1"/>
    <cellStyle name="하이퍼링크" xfId="1820" builtinId="8" hidden="1"/>
    <cellStyle name="하이퍼링크" xfId="1822" builtinId="8" hidden="1"/>
    <cellStyle name="하이퍼링크" xfId="1824" builtinId="8" hidden="1"/>
    <cellStyle name="하이퍼링크" xfId="1826" builtinId="8" hidden="1"/>
    <cellStyle name="하이퍼링크" xfId="1828" builtinId="8" hidden="1"/>
    <cellStyle name="하이퍼링크" xfId="1830" builtinId="8" hidden="1"/>
    <cellStyle name="하이퍼링크" xfId="1832" builtinId="8" hidden="1"/>
    <cellStyle name="하이퍼링크" xfId="1834" builtinId="8" hidden="1"/>
    <cellStyle name="하이퍼링크" xfId="1836" builtinId="8" hidden="1"/>
    <cellStyle name="하이퍼링크" xfId="1838" builtinId="8" hidden="1"/>
    <cellStyle name="하이퍼링크" xfId="1840" builtinId="8" hidden="1"/>
    <cellStyle name="하이퍼링크" xfId="1842" builtinId="8" hidden="1"/>
    <cellStyle name="하이퍼링크" xfId="1844" builtinId="8" hidden="1"/>
    <cellStyle name="하이퍼링크" xfId="1846" builtinId="8" hidden="1"/>
    <cellStyle name="하이퍼링크" xfId="1848" builtinId="8" hidden="1"/>
    <cellStyle name="하이퍼링크" xfId="1850" builtinId="8" hidden="1"/>
    <cellStyle name="하이퍼링크" xfId="1852" builtinId="8" hidden="1"/>
    <cellStyle name="하이퍼링크" xfId="1854" builtinId="8" hidden="1"/>
    <cellStyle name="하이퍼링크" xfId="1856" builtinId="8" hidden="1"/>
    <cellStyle name="하이퍼링크" xfId="1858" builtinId="8" hidden="1"/>
    <cellStyle name="하이퍼링크" xfId="1860" builtinId="8" hidden="1"/>
    <cellStyle name="하이퍼링크" xfId="1862" builtinId="8" hidden="1"/>
    <cellStyle name="하이퍼링크" xfId="1864" builtinId="8" hidden="1"/>
    <cellStyle name="하이퍼링크" xfId="1866" builtinId="8" hidden="1"/>
    <cellStyle name="하이퍼링크" xfId="1868" builtinId="8" hidden="1"/>
    <cellStyle name="하이퍼링크" xfId="1870" builtinId="8" hidden="1"/>
    <cellStyle name="하이퍼링크" xfId="1872" builtinId="8" hidden="1"/>
    <cellStyle name="하이퍼링크" xfId="1874" builtinId="8" hidden="1"/>
    <cellStyle name="하이퍼링크" xfId="1876" builtinId="8" hidden="1"/>
    <cellStyle name="하이퍼링크" xfId="1878" builtinId="8" hidden="1"/>
    <cellStyle name="하이퍼링크" xfId="1880" builtinId="8" hidden="1"/>
    <cellStyle name="하이퍼링크" xfId="1882" builtinId="8" hidden="1"/>
    <cellStyle name="하이퍼링크" xfId="1884" builtinId="8" hidden="1"/>
    <cellStyle name="하이퍼링크" xfId="1886" builtinId="8" hidden="1"/>
    <cellStyle name="하이퍼링크" xfId="1888" builtinId="8" hidden="1"/>
    <cellStyle name="하이퍼링크" xfId="1890" builtinId="8" hidden="1"/>
    <cellStyle name="하이퍼링크" xfId="1892" builtinId="8" hidden="1"/>
    <cellStyle name="하이퍼링크" xfId="1894" builtinId="8" hidden="1"/>
    <cellStyle name="하이퍼링크" xfId="1896" builtinId="8" hidden="1"/>
    <cellStyle name="하이퍼링크" xfId="1898" builtinId="8" hidden="1"/>
    <cellStyle name="하이퍼링크" xfId="1900" builtinId="8" hidden="1"/>
    <cellStyle name="하이퍼링크" xfId="1902" builtinId="8" hidden="1"/>
    <cellStyle name="하이퍼링크" xfId="1904" builtinId="8" hidden="1"/>
    <cellStyle name="하이퍼링크" xfId="1906" builtinId="8" hidden="1"/>
    <cellStyle name="하이퍼링크" xfId="1908" builtinId="8" hidden="1"/>
    <cellStyle name="하이퍼링크" xfId="1910" builtinId="8" hidden="1"/>
    <cellStyle name="하이퍼링크" xfId="1912" builtinId="8" hidden="1"/>
    <cellStyle name="하이퍼링크" xfId="1914" builtinId="8" hidden="1"/>
    <cellStyle name="하이퍼링크" xfId="1916" builtinId="8" hidden="1"/>
    <cellStyle name="하이퍼링크" xfId="1918" builtinId="8" hidden="1"/>
    <cellStyle name="하이퍼링크" xfId="1920" builtinId="8" hidden="1"/>
    <cellStyle name="하이퍼링크" xfId="1922" builtinId="8" hidden="1"/>
    <cellStyle name="하이퍼링크" xfId="1924" builtinId="8" hidden="1"/>
    <cellStyle name="하이퍼링크" xfId="1926" builtinId="8" hidden="1"/>
    <cellStyle name="하이퍼링크" xfId="1928" builtinId="8" hidden="1"/>
    <cellStyle name="하이퍼링크" xfId="1930" builtinId="8" hidden="1"/>
    <cellStyle name="하이퍼링크" xfId="1932" builtinId="8" hidden="1"/>
    <cellStyle name="하이퍼링크" xfId="1934" builtinId="8" hidden="1"/>
    <cellStyle name="하이퍼링크" xfId="1936" builtinId="8" hidden="1"/>
    <cellStyle name="하이퍼링크" xfId="1938" builtinId="8" hidden="1"/>
    <cellStyle name="하이퍼링크" xfId="1940" builtinId="8" hidden="1"/>
    <cellStyle name="하이퍼링크" xfId="1942" builtinId="8" hidden="1"/>
    <cellStyle name="하이퍼링크" xfId="1944" builtinId="8" hidden="1"/>
    <cellStyle name="하이퍼링크" xfId="1946" builtinId="8" hidden="1"/>
    <cellStyle name="하이퍼링크" xfId="1948" builtinId="8" hidden="1"/>
    <cellStyle name="하이퍼링크" xfId="1950" builtinId="8" hidden="1"/>
    <cellStyle name="하이퍼링크" xfId="1952" builtinId="8" hidden="1"/>
    <cellStyle name="하이퍼링크" xfId="1954" builtinId="8" hidden="1"/>
    <cellStyle name="하이퍼링크" xfId="1956" builtinId="8" hidden="1"/>
    <cellStyle name="하이퍼링크" xfId="1958" builtinId="8" hidden="1"/>
    <cellStyle name="하이퍼링크" xfId="1960" builtinId="8" hidden="1"/>
    <cellStyle name="하이퍼링크" xfId="1962" builtinId="8" hidden="1"/>
    <cellStyle name="하이퍼링크" xfId="1964" builtinId="8" hidden="1"/>
    <cellStyle name="하이퍼링크" xfId="1966" builtinId="8" hidden="1"/>
    <cellStyle name="하이퍼링크" xfId="1968" builtinId="8" hidden="1"/>
    <cellStyle name="하이퍼링크" xfId="1970" builtinId="8" hidden="1"/>
    <cellStyle name="하이퍼링크" xfId="1972" builtinId="8" hidden="1"/>
    <cellStyle name="하이퍼링크" xfId="1974" builtinId="8" hidden="1"/>
    <cellStyle name="하이퍼링크" xfId="1976" builtinId="8" hidden="1"/>
    <cellStyle name="하이퍼링크" xfId="1978" builtinId="8" hidden="1"/>
    <cellStyle name="하이퍼링크" xfId="1980" builtinId="8" hidden="1"/>
    <cellStyle name="하이퍼링크" xfId="1982" builtinId="8" hidden="1"/>
    <cellStyle name="하이퍼링크" xfId="1984" builtinId="8" hidden="1"/>
    <cellStyle name="하이퍼링크" xfId="1986" builtinId="8" hidden="1"/>
    <cellStyle name="하이퍼링크" xfId="1988" builtinId="8" hidden="1"/>
    <cellStyle name="하이퍼링크" xfId="1990" builtinId="8" hidden="1"/>
    <cellStyle name="하이퍼링크" xfId="1992" builtinId="8" hidden="1"/>
    <cellStyle name="하이퍼링크" xfId="1994" builtinId="8" hidden="1"/>
    <cellStyle name="하이퍼링크" xfId="1996" builtinId="8" hidden="1"/>
    <cellStyle name="하이퍼링크" xfId="1998" builtinId="8" hidden="1"/>
    <cellStyle name="하이퍼링크" xfId="2000" builtinId="8" hidden="1"/>
    <cellStyle name="하이퍼링크" xfId="2002" builtinId="8" hidden="1"/>
    <cellStyle name="하이퍼링크" xfId="2004" builtinId="8" hidden="1"/>
    <cellStyle name="하이퍼링크" xfId="2006" builtinId="8" hidden="1"/>
    <cellStyle name="하이퍼링크" xfId="2008" builtinId="8" hidden="1"/>
    <cellStyle name="하이퍼링크" xfId="2010" builtinId="8" hidden="1"/>
    <cellStyle name="하이퍼링크" xfId="2012" builtinId="8" hidden="1"/>
    <cellStyle name="하이퍼링크" xfId="2014" builtinId="8" hidden="1"/>
    <cellStyle name="하이퍼링크" xfId="2016" builtinId="8" hidden="1"/>
    <cellStyle name="하이퍼링크" xfId="2018" builtinId="8" hidden="1"/>
    <cellStyle name="하이퍼링크" xfId="2020" builtinId="8" hidden="1"/>
    <cellStyle name="하이퍼링크" xfId="2022" builtinId="8" hidden="1"/>
    <cellStyle name="하이퍼링크" xfId="2024" builtinId="8" hidden="1"/>
    <cellStyle name="하이퍼링크" xfId="2026" builtinId="8" hidden="1"/>
    <cellStyle name="하이퍼링크" xfId="2028" builtinId="8" hidden="1"/>
    <cellStyle name="하이퍼링크" xfId="2030" builtinId="8" hidden="1"/>
    <cellStyle name="하이퍼링크" xfId="2032" builtinId="8" hidden="1"/>
    <cellStyle name="하이퍼링크" xfId="2034" builtinId="8" hidden="1"/>
    <cellStyle name="하이퍼링크" xfId="2036" builtinId="8" hidden="1"/>
    <cellStyle name="하이퍼링크" xfId="2038" builtinId="8" hidden="1"/>
    <cellStyle name="하이퍼링크" xfId="2040" builtinId="8" hidden="1"/>
    <cellStyle name="하이퍼링크" xfId="2042" builtinId="8" hidden="1"/>
    <cellStyle name="하이퍼링크" xfId="2044" builtinId="8" hidden="1"/>
    <cellStyle name="하이퍼링크" xfId="2046" builtinId="8" hidden="1"/>
    <cellStyle name="하이퍼링크" xfId="2048" builtinId="8" hidden="1"/>
    <cellStyle name="하이퍼링크" xfId="2050" builtinId="8" hidden="1"/>
    <cellStyle name="하이퍼링크" xfId="2052" builtinId="8" hidden="1"/>
    <cellStyle name="하이퍼링크" xfId="2054" builtinId="8" hidden="1"/>
    <cellStyle name="하이퍼링크" xfId="2056" builtinId="8" hidden="1"/>
    <cellStyle name="하이퍼링크" xfId="2058" builtinId="8" hidden="1"/>
    <cellStyle name="하이퍼링크" xfId="2060" builtinId="8" hidden="1"/>
    <cellStyle name="하이퍼링크" xfId="2062" builtinId="8" hidden="1"/>
    <cellStyle name="하이퍼링크" xfId="2064" builtinId="8" hidden="1"/>
    <cellStyle name="하이퍼링크" xfId="2066" builtinId="8" hidden="1"/>
    <cellStyle name="하이퍼링크" xfId="2068" builtinId="8" hidden="1"/>
    <cellStyle name="하이퍼링크" xfId="2070" builtinId="8" hidden="1"/>
    <cellStyle name="하이퍼링크" xfId="2072" builtinId="8" hidden="1"/>
    <cellStyle name="하이퍼링크" xfId="2074" builtinId="8" hidden="1"/>
    <cellStyle name="하이퍼링크" xfId="2076" builtinId="8" hidden="1"/>
    <cellStyle name="하이퍼링크" xfId="2078" builtinId="8" hidden="1"/>
    <cellStyle name="하이퍼링크" xfId="2080" builtinId="8" hidden="1"/>
    <cellStyle name="하이퍼링크" xfId="2082" builtinId="8" hidden="1"/>
    <cellStyle name="하이퍼링크" xfId="2084" builtinId="8" hidden="1"/>
    <cellStyle name="하이퍼링크" xfId="2086" builtinId="8" hidden="1"/>
    <cellStyle name="하이퍼링크" xfId="2088" builtinId="8" hidden="1"/>
    <cellStyle name="하이퍼링크" xfId="2090" builtinId="8" hidden="1"/>
    <cellStyle name="하이퍼링크" xfId="2092" builtinId="8" hidden="1"/>
    <cellStyle name="하이퍼링크" xfId="2094" builtinId="8" hidden="1"/>
    <cellStyle name="하이퍼링크" xfId="2096" builtinId="8" hidden="1"/>
    <cellStyle name="하이퍼링크" xfId="2098" builtinId="8" hidden="1"/>
    <cellStyle name="하이퍼링크" xfId="2100" builtinId="8" hidden="1"/>
    <cellStyle name="하이퍼링크" xfId="2102" builtinId="8" hidden="1"/>
    <cellStyle name="하이퍼링크" xfId="2104" builtinId="8" hidden="1"/>
    <cellStyle name="하이퍼링크" xfId="2106" builtinId="8" hidden="1"/>
    <cellStyle name="하이퍼링크" xfId="2108" builtinId="8" hidden="1"/>
    <cellStyle name="하이퍼링크" xfId="2110" builtinId="8" hidden="1"/>
    <cellStyle name="하이퍼링크" xfId="2112" builtinId="8" hidden="1"/>
    <cellStyle name="하이퍼링크" xfId="2114" builtinId="8" hidden="1"/>
    <cellStyle name="하이퍼링크" xfId="2116" builtinId="8" hidden="1"/>
    <cellStyle name="하이퍼링크" xfId="2118" builtinId="8" hidden="1"/>
    <cellStyle name="하이퍼링크" xfId="2120" builtinId="8" hidden="1"/>
    <cellStyle name="하이퍼링크" xfId="2122" builtinId="8" hidden="1"/>
    <cellStyle name="하이퍼링크" xfId="2124" builtinId="8" hidden="1"/>
    <cellStyle name="하이퍼링크" xfId="2126" builtinId="8" hidden="1"/>
    <cellStyle name="하이퍼링크" xfId="2128" builtinId="8" hidden="1"/>
    <cellStyle name="하이퍼링크" xfId="2130" builtinId="8" hidden="1"/>
    <cellStyle name="하이퍼링크" xfId="2132" builtinId="8" hidden="1"/>
    <cellStyle name="하이퍼링크" xfId="2134" builtinId="8" hidden="1"/>
    <cellStyle name="하이퍼링크" xfId="2136" builtinId="8" hidden="1"/>
    <cellStyle name="하이퍼링크" xfId="2138" builtinId="8" hidden="1"/>
    <cellStyle name="하이퍼링크" xfId="2140" builtinId="8" hidden="1"/>
    <cellStyle name="하이퍼링크" xfId="2142" builtinId="8" hidden="1"/>
    <cellStyle name="하이퍼링크" xfId="2144" builtinId="8" hidden="1"/>
    <cellStyle name="하이퍼링크" xfId="2146" builtinId="8" hidden="1"/>
    <cellStyle name="하이퍼링크" xfId="2148" builtinId="8" hidden="1"/>
    <cellStyle name="하이퍼링크" xfId="2150" builtinId="8" hidden="1"/>
    <cellStyle name="하이퍼링크" xfId="2152" builtinId="8" hidden="1"/>
    <cellStyle name="하이퍼링크" xfId="2154" builtinId="8" hidden="1"/>
    <cellStyle name="하이퍼링크" xfId="2156" builtinId="8" hidden="1"/>
    <cellStyle name="하이퍼링크" xfId="2158" builtinId="8" hidden="1"/>
    <cellStyle name="하이퍼링크" xfId="2160" builtinId="8" hidden="1"/>
    <cellStyle name="하이퍼링크" xfId="2162" builtinId="8" hidden="1"/>
    <cellStyle name="하이퍼링크" xfId="2164" builtinId="8" hidden="1"/>
    <cellStyle name="하이퍼링크" xfId="2166" builtinId="8" hidden="1"/>
    <cellStyle name="하이퍼링크" xfId="2168" builtinId="8" hidden="1"/>
    <cellStyle name="하이퍼링크" xfId="2170" builtinId="8" hidden="1"/>
    <cellStyle name="하이퍼링크" xfId="2172" builtinId="8" hidden="1"/>
    <cellStyle name="하이퍼링크" xfId="2174" builtinId="8" hidden="1"/>
    <cellStyle name="하이퍼링크" xfId="2176" builtinId="8" hidden="1"/>
    <cellStyle name="하이퍼링크" xfId="2178" builtinId="8" hidden="1"/>
    <cellStyle name="하이퍼링크" xfId="2180" builtinId="8" hidden="1"/>
    <cellStyle name="하이퍼링크" xfId="2182" builtinId="8" hidden="1"/>
    <cellStyle name="하이퍼링크" xfId="2184" builtinId="8" hidden="1"/>
    <cellStyle name="하이퍼링크" xfId="2186" builtinId="8" hidden="1"/>
    <cellStyle name="하이퍼링크" xfId="2188" builtinId="8" hidden="1"/>
    <cellStyle name="하이퍼링크" xfId="2190" builtinId="8" hidden="1"/>
    <cellStyle name="하이퍼링크" xfId="2192" builtinId="8" hidden="1"/>
    <cellStyle name="하이퍼링크" xfId="2194" builtinId="8" hidden="1"/>
    <cellStyle name="하이퍼링크" xfId="2196" builtinId="8" hidden="1"/>
    <cellStyle name="하이퍼링크" xfId="2198" builtinId="8" hidden="1"/>
    <cellStyle name="하이퍼링크" xfId="2200" builtinId="8" hidden="1"/>
    <cellStyle name="하이퍼링크" xfId="2202" builtinId="8" hidden="1"/>
    <cellStyle name="하이퍼링크" xfId="2204" builtinId="8" hidden="1"/>
    <cellStyle name="하이퍼링크" xfId="2206" builtinId="8" hidden="1"/>
    <cellStyle name="하이퍼링크" xfId="2208" builtinId="8" hidden="1"/>
    <cellStyle name="하이퍼링크" xfId="2210" builtinId="8" hidden="1"/>
    <cellStyle name="하이퍼링크" xfId="2212" builtinId="8" hidden="1"/>
    <cellStyle name="하이퍼링크" xfId="2214" builtinId="8" hidden="1"/>
    <cellStyle name="하이퍼링크" xfId="2216" builtinId="8" hidden="1"/>
    <cellStyle name="하이퍼링크" xfId="2218" builtinId="8" hidden="1"/>
    <cellStyle name="하이퍼링크" xfId="2220" builtinId="8" hidden="1"/>
    <cellStyle name="하이퍼링크" xfId="2222" builtinId="8" hidden="1"/>
    <cellStyle name="하이퍼링크" xfId="2224" builtinId="8" hidden="1"/>
    <cellStyle name="하이퍼링크" xfId="2226" builtinId="8" hidden="1"/>
    <cellStyle name="하이퍼링크" xfId="2228" builtinId="8" hidden="1"/>
    <cellStyle name="하이퍼링크" xfId="2230" builtinId="8" hidden="1"/>
    <cellStyle name="하이퍼링크" xfId="2232" builtinId="8" hidden="1"/>
    <cellStyle name="하이퍼링크" xfId="2234" builtinId="8" hidden="1"/>
    <cellStyle name="하이퍼링크" xfId="2236" builtinId="8" hidden="1"/>
    <cellStyle name="하이퍼링크" xfId="2238" builtinId="8" hidden="1"/>
    <cellStyle name="하이퍼링크" xfId="2240" builtinId="8" hidden="1"/>
    <cellStyle name="하이퍼링크" xfId="2242" builtinId="8" hidden="1"/>
    <cellStyle name="하이퍼링크" xfId="2244" builtinId="8" hidden="1"/>
    <cellStyle name="하이퍼링크" xfId="2246" builtinId="8" hidden="1"/>
    <cellStyle name="하이퍼링크" xfId="2248" builtinId="8" hidden="1"/>
    <cellStyle name="하이퍼링크" xfId="2250" builtinId="8" hidden="1"/>
    <cellStyle name="하이퍼링크" xfId="2252" builtinId="8" hidden="1"/>
    <cellStyle name="하이퍼링크" xfId="2254" builtinId="8" hidden="1"/>
    <cellStyle name="하이퍼링크" xfId="2256" builtinId="8" hidden="1"/>
    <cellStyle name="하이퍼링크" xfId="2258" builtinId="8" hidden="1"/>
    <cellStyle name="하이퍼링크" xfId="2260" builtinId="8" hidden="1"/>
    <cellStyle name="하이퍼링크" xfId="2262" builtinId="8" hidden="1"/>
    <cellStyle name="하이퍼링크" xfId="2264" builtinId="8" hidden="1"/>
    <cellStyle name="하이퍼링크" xfId="2266" builtinId="8" hidden="1"/>
    <cellStyle name="하이퍼링크" xfId="2268" builtinId="8" hidden="1"/>
    <cellStyle name="하이퍼링크" xfId="2270" builtinId="8" hidden="1"/>
    <cellStyle name="하이퍼링크" xfId="2272" builtinId="8" hidden="1"/>
    <cellStyle name="하이퍼링크" xfId="2274" builtinId="8" hidden="1"/>
    <cellStyle name="하이퍼링크" xfId="2276" builtinId="8" hidden="1"/>
    <cellStyle name="하이퍼링크" xfId="2278" builtinId="8" hidden="1"/>
    <cellStyle name="하이퍼링크" xfId="2280" builtinId="8" hidden="1"/>
    <cellStyle name="하이퍼링크" xfId="2282" builtinId="8" hidden="1"/>
    <cellStyle name="하이퍼링크" xfId="2284" builtinId="8" hidden="1"/>
    <cellStyle name="하이퍼링크" xfId="2286" builtinId="8" hidden="1"/>
    <cellStyle name="하이퍼링크" xfId="2288" builtinId="8" hidden="1"/>
    <cellStyle name="하이퍼링크" xfId="2290" builtinId="8" hidden="1"/>
    <cellStyle name="하이퍼링크" xfId="2292" builtinId="8" hidden="1"/>
    <cellStyle name="하이퍼링크" xfId="2294" builtinId="8" hidden="1"/>
    <cellStyle name="하이퍼링크" xfId="2296" builtinId="8" hidden="1"/>
    <cellStyle name="하이퍼링크" xfId="2298" builtinId="8" hidden="1"/>
    <cellStyle name="하이퍼링크" xfId="2300" builtinId="8" hidden="1"/>
    <cellStyle name="하이퍼링크" xfId="2302" builtinId="8" hidden="1"/>
    <cellStyle name="하이퍼링크" xfId="2304" builtinId="8" hidden="1"/>
    <cellStyle name="하이퍼링크" xfId="2306" builtinId="8" hidden="1"/>
    <cellStyle name="하이퍼링크" xfId="2308" builtinId="8" hidden="1"/>
    <cellStyle name="하이퍼링크" xfId="2310" builtinId="8" hidden="1"/>
    <cellStyle name="하이퍼링크" xfId="2312" builtinId="8" hidden="1"/>
    <cellStyle name="하이퍼링크" xfId="2314" builtinId="8" hidden="1"/>
    <cellStyle name="하이퍼링크" xfId="2316" builtinId="8" hidden="1"/>
    <cellStyle name="하이퍼링크" xfId="2318" builtinId="8" hidden="1"/>
    <cellStyle name="하이퍼링크" xfId="2320" builtinId="8" hidden="1"/>
    <cellStyle name="하이퍼링크" xfId="2322" builtinId="8" hidden="1"/>
    <cellStyle name="하이퍼링크" xfId="2324" builtinId="8" hidden="1"/>
    <cellStyle name="하이퍼링크" xfId="2326" builtinId="8" hidden="1"/>
    <cellStyle name="하이퍼링크" xfId="2328" builtinId="8" hidden="1"/>
    <cellStyle name="하이퍼링크" xfId="2330" builtinId="8" hidden="1"/>
    <cellStyle name="하이퍼링크" xfId="2332" builtinId="8" hidden="1"/>
    <cellStyle name="하이퍼링크" xfId="2334" builtinId="8" hidden="1"/>
    <cellStyle name="하이퍼링크" xfId="2336" builtinId="8" hidden="1"/>
    <cellStyle name="하이퍼링크" xfId="2338" builtinId="8" hidden="1"/>
    <cellStyle name="하이퍼링크" xfId="2340" builtinId="8" hidden="1"/>
    <cellStyle name="하이퍼링크" xfId="2342" builtinId="8" hidden="1"/>
    <cellStyle name="하이퍼링크" xfId="2344" builtinId="8" hidden="1"/>
    <cellStyle name="하이퍼링크" xfId="2346" builtinId="8" hidden="1"/>
    <cellStyle name="하이퍼링크" xfId="2348" builtinId="8" hidden="1"/>
    <cellStyle name="하이퍼링크" xfId="2350" builtinId="8" hidden="1"/>
    <cellStyle name="하이퍼링크" xfId="2352" builtinId="8" hidden="1"/>
    <cellStyle name="하이퍼링크" xfId="2354" builtinId="8" hidden="1"/>
    <cellStyle name="하이퍼링크" xfId="2356" builtinId="8" hidden="1"/>
    <cellStyle name="하이퍼링크" xfId="2358" builtinId="8" hidden="1"/>
    <cellStyle name="하이퍼링크" xfId="2360" builtinId="8" hidden="1"/>
    <cellStyle name="하이퍼링크" xfId="2362" builtinId="8" hidden="1"/>
    <cellStyle name="하이퍼링크" xfId="2364" builtinId="8" hidden="1"/>
    <cellStyle name="하이퍼링크" xfId="2366" builtinId="8" hidden="1"/>
    <cellStyle name="하이퍼링크" xfId="2368" builtinId="8" hidden="1"/>
    <cellStyle name="하이퍼링크" xfId="2370" builtinId="8" hidden="1"/>
    <cellStyle name="하이퍼링크" xfId="2372" builtinId="8" hidden="1"/>
    <cellStyle name="하이퍼링크" xfId="2374" builtinId="8" hidden="1"/>
    <cellStyle name="하이퍼링크" xfId="2376" builtinId="8" hidden="1"/>
    <cellStyle name="하이퍼링크" xfId="2378" builtinId="8" hidden="1"/>
    <cellStyle name="하이퍼링크" xfId="2380" builtinId="8" hidden="1"/>
    <cellStyle name="하이퍼링크" xfId="2382" builtinId="8" hidden="1"/>
    <cellStyle name="하이퍼링크" xfId="2384" builtinId="8" hidden="1"/>
    <cellStyle name="하이퍼링크" xfId="2386" builtinId="8" hidden="1"/>
    <cellStyle name="하이퍼링크" xfId="2388" builtinId="8" hidden="1"/>
    <cellStyle name="하이퍼링크" xfId="2390" builtinId="8" hidden="1"/>
    <cellStyle name="하이퍼링크" xfId="2392" builtinId="8" hidden="1"/>
    <cellStyle name="하이퍼링크" xfId="2394" builtinId="8" hidden="1"/>
    <cellStyle name="하이퍼링크" xfId="2396" builtinId="8" hidden="1"/>
    <cellStyle name="하이퍼링크" xfId="2398" builtinId="8" hidden="1"/>
    <cellStyle name="하이퍼링크" xfId="2400" builtinId="8" hidden="1"/>
    <cellStyle name="하이퍼링크" xfId="2402" builtinId="8" hidden="1"/>
    <cellStyle name="하이퍼링크" xfId="2404" builtinId="8" hidden="1"/>
    <cellStyle name="하이퍼링크" xfId="2406" builtinId="8" hidden="1"/>
    <cellStyle name="하이퍼링크" xfId="2408" builtinId="8" hidden="1"/>
    <cellStyle name="하이퍼링크" xfId="2410" builtinId="8" hidden="1"/>
    <cellStyle name="하이퍼링크" xfId="2412" builtinId="8" hidden="1"/>
    <cellStyle name="하이퍼링크" xfId="2414" builtinId="8" hidden="1"/>
    <cellStyle name="하이퍼링크" xfId="2416" builtinId="8" hidden="1"/>
    <cellStyle name="하이퍼링크" xfId="2418" builtinId="8" hidden="1"/>
    <cellStyle name="하이퍼링크" xfId="2420" builtinId="8" hidden="1"/>
    <cellStyle name="하이퍼링크" xfId="2422" builtinId="8" hidden="1"/>
    <cellStyle name="하이퍼링크" xfId="2424" builtinId="8" hidden="1"/>
    <cellStyle name="하이퍼링크" xfId="2426" builtinId="8" hidden="1"/>
    <cellStyle name="하이퍼링크" xfId="2428" builtinId="8" hidden="1"/>
    <cellStyle name="하이퍼링크" xfId="2430" builtinId="8" hidden="1"/>
    <cellStyle name="하이퍼링크" xfId="2432" builtinId="8" hidden="1"/>
    <cellStyle name="하이퍼링크" xfId="2434" builtinId="8" hidden="1"/>
    <cellStyle name="하이퍼링크" xfId="2436" builtinId="8" hidden="1"/>
    <cellStyle name="하이퍼링크" xfId="2438" builtinId="8" hidden="1"/>
    <cellStyle name="하이퍼링크" xfId="2440" builtinId="8" hidden="1"/>
    <cellStyle name="하이퍼링크" xfId="2442" builtinId="8" hidden="1"/>
    <cellStyle name="하이퍼링크" xfId="2444" builtinId="8" hidden="1"/>
    <cellStyle name="하이퍼링크" xfId="2446" builtinId="8" hidden="1"/>
    <cellStyle name="하이퍼링크" xfId="2448" builtinId="8" hidden="1"/>
    <cellStyle name="하이퍼링크" xfId="2450" builtinId="8" hidden="1"/>
    <cellStyle name="하이퍼링크" xfId="2452" builtinId="8" hidden="1"/>
    <cellStyle name="하이퍼링크" xfId="2454" builtinId="8" hidden="1"/>
    <cellStyle name="하이퍼링크" xfId="2456" builtinId="8" hidden="1"/>
    <cellStyle name="하이퍼링크" xfId="2458" builtinId="8" hidden="1"/>
    <cellStyle name="하이퍼링크" xfId="2460" builtinId="8" hidden="1"/>
    <cellStyle name="하이퍼링크" xfId="2462" builtinId="8" hidden="1"/>
    <cellStyle name="하이퍼링크" xfId="2464" builtinId="8" hidden="1"/>
    <cellStyle name="하이퍼링크" xfId="2466" builtinId="8" hidden="1"/>
    <cellStyle name="하이퍼링크" xfId="2468" builtinId="8" hidden="1"/>
    <cellStyle name="하이퍼링크" xfId="2470" builtinId="8" hidden="1"/>
    <cellStyle name="하이퍼링크" xfId="2472" builtinId="8" hidden="1"/>
    <cellStyle name="하이퍼링크" xfId="2474" builtinId="8" hidden="1"/>
    <cellStyle name="하이퍼링크" xfId="2476" builtinId="8" hidden="1"/>
    <cellStyle name="하이퍼링크" xfId="2478" builtinId="8" hidden="1"/>
    <cellStyle name="하이퍼링크" xfId="2480" builtinId="8" hidden="1"/>
    <cellStyle name="하이퍼링크" xfId="2482" builtinId="8" hidden="1"/>
    <cellStyle name="하이퍼링크" xfId="2484" builtinId="8" hidden="1"/>
    <cellStyle name="하이퍼링크" xfId="2486" builtinId="8" hidden="1"/>
    <cellStyle name="하이퍼링크" xfId="2488" builtinId="8" hidden="1"/>
    <cellStyle name="하이퍼링크" xfId="2490" builtinId="8" hidden="1"/>
    <cellStyle name="하이퍼링크" xfId="2492" builtinId="8" hidden="1"/>
    <cellStyle name="하이퍼링크" xfId="2494" builtinId="8" hidden="1"/>
    <cellStyle name="하이퍼링크" xfId="2496" builtinId="8" hidden="1"/>
    <cellStyle name="하이퍼링크" xfId="2498" builtinId="8" hidden="1"/>
    <cellStyle name="하이퍼링크" xfId="2500" builtinId="8" hidden="1"/>
    <cellStyle name="하이퍼링크" xfId="2502" builtinId="8" hidden="1"/>
    <cellStyle name="하이퍼링크" xfId="2504" builtinId="8" hidden="1"/>
  </cellStyles>
  <dxfs count="515"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6385" name="Button 29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6386" name="Button 30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6387" name="Button 31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6388" name="Button 39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6389" name="Button 41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077" name="Button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078" name="Button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079" name="Button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087" name="Butto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089" name="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8195" name="Button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8196" name="Butto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3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8197" name="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0243" name="Butto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4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4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0245" name="Butto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4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5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5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5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632945</xdr:colOff>
      <xdr:row>36</xdr:row>
      <xdr:rowOff>192752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1905" cy="7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153076</xdr:colOff>
      <xdr:row>74</xdr:row>
      <xdr:rowOff>175819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4400"/>
          <a:ext cx="11523809" cy="7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7" Type="http://schemas.openxmlformats.org/officeDocument/2006/relationships/ctrlProp" Target="../ctrlProps/ctrlProp30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F6A7-35E4-4715-999F-DBE499AE38EE}">
  <sheetPr codeName="Sheet8"/>
  <dimension ref="A1:ECT129"/>
  <sheetViews>
    <sheetView tabSelected="1" zoomScale="70" zoomScaleNormal="70" workbookViewId="0">
      <pane xSplit="14" ySplit="10" topLeftCell="U17" activePane="bottomRight" state="frozenSplit"/>
      <selection activeCell="L62" sqref="L62"/>
      <selection pane="topRight" activeCell="L62" sqref="L62"/>
      <selection pane="bottomLeft" activeCell="L62" sqref="L62"/>
      <selection pane="bottomRight" activeCell="AK3" sqref="AK3"/>
    </sheetView>
  </sheetViews>
  <sheetFormatPr defaultColWidth="8.88671875" defaultRowHeight="17.25"/>
  <cols>
    <col min="1" max="1" width="0.88671875" customWidth="1"/>
    <col min="2" max="2" width="14.33203125" customWidth="1"/>
    <col min="3" max="3" width="11.88671875" customWidth="1"/>
    <col min="4" max="4" width="32.6640625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7.88671875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  <col min="69" max="83" width="8.88671875" hidden="1" customWidth="1"/>
  </cols>
  <sheetData>
    <row r="1" spans="1:1006 1032:2044 2116:3049 3109:3469" s="8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36"/>
      <c r="AG1" s="36"/>
      <c r="AH1" s="36"/>
      <c r="AI1" s="36"/>
      <c r="AJ1" s="1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1006 1032:2044 2116:3049 3109:3469" s="8" customFormat="1" ht="14.1" customHeight="1">
      <c r="B2" s="9" t="s">
        <v>98</v>
      </c>
      <c r="C2" s="9"/>
      <c r="S2" s="7"/>
      <c r="T2" s="7"/>
      <c r="U2" s="7"/>
      <c r="V2" s="187" t="s">
        <v>13</v>
      </c>
      <c r="W2" s="187"/>
      <c r="X2" s="7"/>
      <c r="Y2" s="147" t="s">
        <v>381</v>
      </c>
      <c r="AK2" s="162" t="str" cm="1">
        <f t="array" ref="AK2">TRANSPOSE(IFERROR(_xlfn._xlws.FILTER(CE10:CE160,CE10:CE160&lt;&gt;""),""))</f>
        <v/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1006 1032:2044 2116:3049 3109:3469" s="8" customFormat="1" ht="9" customHeight="1">
      <c r="X3" s="144"/>
      <c r="Y3" s="148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1006 1032:2044 2116:3049 3109:3469" s="8" customFormat="1" ht="18.75" customHeight="1">
      <c r="B4" s="174" t="s">
        <v>14</v>
      </c>
      <c r="C4" s="176"/>
      <c r="D4" s="115" t="s">
        <v>286</v>
      </c>
      <c r="E4" s="116"/>
      <c r="F4" s="182" t="s">
        <v>15</v>
      </c>
      <c r="G4" s="183"/>
      <c r="H4" s="188" t="s">
        <v>376</v>
      </c>
      <c r="I4" s="172"/>
      <c r="J4" s="172"/>
      <c r="K4" s="172"/>
      <c r="L4" s="172"/>
      <c r="M4" s="173"/>
      <c r="N4" s="117"/>
      <c r="O4" s="174" t="s">
        <v>82</v>
      </c>
      <c r="P4" s="175"/>
      <c r="Q4" s="176"/>
      <c r="R4" s="189" t="s">
        <v>380</v>
      </c>
      <c r="S4" s="178"/>
      <c r="T4" s="178"/>
      <c r="U4" s="178"/>
      <c r="V4" s="178"/>
      <c r="W4" s="178"/>
      <c r="X4" s="145"/>
      <c r="Y4" s="149" t="s">
        <v>382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62" t="str" cm="1">
        <f t="array" ref="AK4">TRANSPOSE(_xlfn.ANCHORARRAY(BT10))</f>
        <v/>
      </c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1006 1032:2044 2116:3049 3109:3469" s="8" customFormat="1" ht="18.75" customHeight="1">
      <c r="B5" s="174" t="s">
        <v>16</v>
      </c>
      <c r="C5" s="176"/>
      <c r="D5" s="115" t="s">
        <v>287</v>
      </c>
      <c r="E5" s="116"/>
      <c r="F5" s="182" t="s">
        <v>17</v>
      </c>
      <c r="G5" s="183"/>
      <c r="H5" s="171" t="s">
        <v>377</v>
      </c>
      <c r="I5" s="172"/>
      <c r="J5" s="172"/>
      <c r="K5" s="172"/>
      <c r="L5" s="172"/>
      <c r="M5" s="173"/>
      <c r="N5" s="117"/>
      <c r="O5" s="174" t="s">
        <v>58</v>
      </c>
      <c r="P5" s="175"/>
      <c r="Q5" s="176"/>
      <c r="R5" s="177"/>
      <c r="S5" s="178"/>
      <c r="T5" s="178"/>
      <c r="U5" s="178"/>
      <c r="V5" s="178"/>
      <c r="W5" s="178"/>
      <c r="X5" s="146"/>
      <c r="Y5" s="149" t="s">
        <v>383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63" t="str" cm="1">
        <f t="array" ref="AK5">TRANSPOSE(_xlfn.ANCHORARRAY(BR10))</f>
        <v/>
      </c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1006 1032:2044 2116:3049 3109:3469" s="8" customFormat="1" ht="18.75" customHeight="1">
      <c r="B6" s="174" t="s">
        <v>18</v>
      </c>
      <c r="C6" s="176"/>
      <c r="D6" s="118">
        <v>7</v>
      </c>
      <c r="E6" s="116"/>
      <c r="F6" s="182" t="s">
        <v>46</v>
      </c>
      <c r="G6" s="183"/>
      <c r="H6" s="184" t="s">
        <v>378</v>
      </c>
      <c r="I6" s="172"/>
      <c r="J6" s="172"/>
      <c r="K6" s="172"/>
      <c r="L6" s="172"/>
      <c r="M6" s="173"/>
      <c r="N6" s="117"/>
      <c r="O6" s="174" t="s">
        <v>57</v>
      </c>
      <c r="P6" s="175"/>
      <c r="Q6" s="176"/>
      <c r="R6" s="177" t="s">
        <v>379</v>
      </c>
      <c r="S6" s="178"/>
      <c r="T6" s="178"/>
      <c r="U6" s="178"/>
      <c r="V6" s="178"/>
      <c r="W6" s="185"/>
      <c r="X6" s="7"/>
      <c r="Y6" s="149" t="s">
        <v>384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1006 1032:2044 2116:3049 3109:3469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1006 1032:2044 2116:3049 3109:3469" s="10" customFormat="1" ht="15" customHeight="1">
      <c r="A8" s="24"/>
      <c r="B8" s="179" t="s">
        <v>19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  <c r="N8" s="24"/>
      <c r="O8" s="179" t="s">
        <v>25</v>
      </c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  <c r="AG8" s="164" t="s">
        <v>69</v>
      </c>
      <c r="AH8" s="164"/>
      <c r="AI8" s="164"/>
      <c r="AJ8" s="24"/>
      <c r="AK8" s="165" t="s">
        <v>26</v>
      </c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</row>
    <row r="9" spans="1:1006 1032:2044 2116:3049 3109:3469" s="10" customFormat="1" ht="24.95" customHeight="1" thickBot="1">
      <c r="A9" s="30"/>
      <c r="B9" s="167" t="s">
        <v>288</v>
      </c>
      <c r="C9" s="167" t="s">
        <v>289</v>
      </c>
      <c r="D9" s="119"/>
      <c r="E9" s="119"/>
      <c r="F9" s="119"/>
      <c r="G9" s="120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69" t="s">
        <v>77</v>
      </c>
      <c r="AA9" s="170"/>
      <c r="AB9" s="45" t="s">
        <v>65</v>
      </c>
      <c r="AC9" s="70">
        <v>1.5</v>
      </c>
      <c r="AD9" s="121"/>
      <c r="AE9" s="121"/>
      <c r="AF9" s="68"/>
      <c r="AG9" s="66"/>
      <c r="AH9" s="66"/>
      <c r="AI9" s="67"/>
      <c r="AJ9" s="56"/>
      <c r="AK9" s="122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</row>
    <row r="10" spans="1:1006 1032:2044 2116:3049 3109:3469" s="22" customFormat="1" ht="25.5">
      <c r="A10" s="25"/>
      <c r="B10" s="168"/>
      <c r="C10" s="168"/>
      <c r="D10" s="124" t="s">
        <v>290</v>
      </c>
      <c r="E10" s="124" t="s">
        <v>76</v>
      </c>
      <c r="F10" s="124" t="s">
        <v>27</v>
      </c>
      <c r="G10" s="125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291</v>
      </c>
      <c r="W10" s="43" t="s">
        <v>292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53" t="s">
        <v>23</v>
      </c>
      <c r="AE10" s="53" t="s">
        <v>24</v>
      </c>
      <c r="AF10" s="53" t="s">
        <v>68</v>
      </c>
      <c r="AG10" s="66"/>
      <c r="AH10" s="66"/>
      <c r="AI10" s="67"/>
      <c r="AJ10" s="57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22" t="str" cm="1">
        <f t="array" ref="BQ10:BQ41">TRANSPOSE(LEFT(AK10:BP10,1))</f>
        <v/>
      </c>
      <c r="BR10" s="22" t="str" cm="1">
        <f t="array" ref="BR10">_xlfn._xlws.SORT(_xlfn.UNIQUE(_xlfn.ANCHORARRAY(BQ10)))</f>
        <v/>
      </c>
      <c r="BS10" s="22" t="str" cm="1">
        <f t="array" ref="BS10:BS41">TRANSPOSE(LEFT(AK10:BP10,3))</f>
        <v/>
      </c>
      <c r="BT10" s="22" t="str" cm="1">
        <f t="array" ref="BT10">_xlfn._xlws.SORT(_xlfn.UNIQUE(_xlfn.ANCHORARRAY(BS10)))</f>
        <v/>
      </c>
      <c r="BU10" s="150" t="str" cm="1">
        <f t="array" ref="BU10">IF(BR10="","",_xlfn._xlws.FILTER($AJ$4:$BP$4,ISNUMBER(SEARCH(BR10,$AJ$4:$BP$4))))</f>
        <v/>
      </c>
      <c r="BV10" s="151"/>
      <c r="BW10" s="151"/>
      <c r="BX10" s="151"/>
      <c r="BY10" s="151" t="str" cm="1">
        <f t="array" ref="BY10">IF(BU10="","",IF(AND(MID(BU10,1,1)=MID(BU10:BX10,1,1)),"TRUE","FALSE"))</f>
        <v/>
      </c>
      <c r="CA10" s="152" t="str">
        <f>IF(BR10="","",SUBSTITUTE(SUBSTITUTE(COUNTIF(_xlfn.ANCHORARRAY(BU10),BR10&amp;"#1"),"1",""),"0",BR10&amp;"#1"))</f>
        <v/>
      </c>
      <c r="CB10" s="153" t="str">
        <f>IF(BR10="","",SUBSTITUTE(SUBSTITUTE(COUNTIF(_xlfn.ANCHORARRAY(BU10),BR10&amp;"#2"),"1",""),"0",BR10&amp;"#2"))</f>
        <v/>
      </c>
      <c r="CC10" s="153" t="str">
        <f>IF(BR10="","",SUBSTITUTE(SUBSTITUTE(COUNTIF(_xlfn.ANCHORARRAY(BU10),BR10&amp;"#3"),"1",""),"0",BR10&amp;"#3"))</f>
        <v/>
      </c>
      <c r="CD10" s="153" t="str">
        <f>IF(BR10="","",SUBSTITUTE(SUBSTITUTE(COUNTIF(_xlfn.ANCHORARRAY(BU10),BR10&amp;"#4"),"1",""),"0",BR10&amp;"#4"))</f>
        <v/>
      </c>
      <c r="CE10" s="154" t="str" cm="1">
        <f t="array" ref="CE10:CE129">_xlfn.TOCOL(CA10:CD160,3)</f>
        <v/>
      </c>
    </row>
    <row r="11" spans="1:1006 1032:2044 2116:3049 3109:3469" ht="15" customHeight="1">
      <c r="A11" s="17">
        <v>1</v>
      </c>
      <c r="B11" s="127">
        <v>1</v>
      </c>
      <c r="C11" s="128" t="s">
        <v>238</v>
      </c>
      <c r="D11" s="98" t="s">
        <v>373</v>
      </c>
      <c r="E11" s="99">
        <v>1.5</v>
      </c>
      <c r="F11" s="128" t="s">
        <v>42</v>
      </c>
      <c r="G11" s="129"/>
      <c r="H11" s="143">
        <v>7.0000000000000007E-2</v>
      </c>
      <c r="I11" s="129" t="s">
        <v>385</v>
      </c>
      <c r="J11" s="128" t="s">
        <v>12</v>
      </c>
      <c r="K11" s="130" t="s">
        <v>293</v>
      </c>
      <c r="L11" s="131">
        <f>IF(AND(G11="",H11=""),"",IF(G11="",H11,G11+H11))</f>
        <v>7.0000000000000007E-2</v>
      </c>
      <c r="M11" s="131" t="str">
        <f>IF(AND(G11="",I11=""),"",IF(G11="",I11,G11+I11))</f>
        <v/>
      </c>
      <c r="N11" s="26"/>
      <c r="O11" s="3" t="str">
        <f>IF(OR($AK11="",ISNUMBER($AK11)=FALSE),"",MAX(AK11:BP11))</f>
        <v/>
      </c>
      <c r="P11" s="3" t="str">
        <f>IF(OR($AK11="",ISNUMBER($AK11)=FALSE),"",MIN(AK11:BP11))</f>
        <v/>
      </c>
      <c r="Q11" s="3" t="str">
        <f>IF(OR($AK11="",ISNUMBER($AK11)=FALSE),"",AVERAGE(AK11:BP11))</f>
        <v/>
      </c>
      <c r="R11" s="4" t="str">
        <f>IF(OR($AK11="",ISNUMBER($AK11)=FALSE),"",STDEV(AK11:BP11))</f>
        <v/>
      </c>
      <c r="S11" s="5" t="str">
        <f t="shared" ref="S11:S74" si="0">IF(OR($AK11="",ISNUMBER($AK11)=FALSE),"",IF(AND(G11=0,I11=0),V11,IF(AND(G11="",H11=""),W11,(H11+ABS(I11))/(6*R11))))</f>
        <v/>
      </c>
      <c r="T11" s="75" t="str">
        <f t="shared" ref="T11:T74" si="1">IF(OR($AK11="",ISNUMBER($AK11)=FALSE),"",IF(AND($F11="Tolerance",$G11&lt;&gt;""),($Q11-$G11)/(($L11-$M11)/2),IF(AND($F11="GD&amp;T",$H11&lt;&gt;""),$Q11/$H11,"")))</f>
        <v/>
      </c>
      <c r="U11" s="75" t="str">
        <f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74" si="2">IF(OR($AK11="",ISNUMBER($AK11)=FALSE),"",IF(H11="","",(L11-Q11)/(3*R11)))</f>
        <v/>
      </c>
      <c r="W11" s="5" t="str">
        <f t="shared" ref="W11:W74" si="3">IF(OR($AK11="",ISNUMBER($AK11)=FALSE),"",IF(I11="","",(Q11-M11)/(3*R11)))</f>
        <v/>
      </c>
      <c r="X11" s="5" t="str">
        <f t="shared" ref="X11:X74" si="4">IF(OR($AK11="",ISNUMBER($AK11)=FALSE),"",IF(AND(G11=0,I11=0),((H11)-(Q11))/(3*R11),MIN(V11:W11)))</f>
        <v/>
      </c>
      <c r="Y11" s="71" t="str">
        <f t="shared" ref="Y11:Y74" si="5">IF(OR($AK11="",ISNUMBER($AK11)=FALSE),"",IF(AND(G11=0,I11=0),NORMSDIST(3*X11),NORMSDIST(3*X11)+NORMSDIST(6*S11-3*X11)-1))</f>
        <v/>
      </c>
      <c r="Z11" s="31" t="str">
        <f>IF($Q11="","",IF(F11="Tolerance",IF(($E11*3*R11+Q11)-G11&lt;H11,"",($E11*3*R11+Q11)-G11),IF(OR(F11="GD&amp;T",F11="MAX"),IF(($E11*3*R11+Q11)&lt;H11,"",($E11*3*R11+Q11)),"")))</f>
        <v/>
      </c>
      <c r="AA11" s="31" t="str">
        <f>IF(Q11="","",IF(F11="Tolerance",IF(-(($E11*3*R11)-Q11)-G11&gt;I11,"",-(($E11*3*R11)-Q11)-G11),IF(F11="MIN",IF(-(($E11*3*R11)-Q11)&gt;I11,"",-(($E11*3*R11)-Q11)),"")))</f>
        <v/>
      </c>
      <c r="AB11" s="31" t="str">
        <f>IF(OR(G11="",Q11=""),"",(L11+M11)/2-Q11)</f>
        <v/>
      </c>
      <c r="AC11" s="31" t="str">
        <f t="shared" ref="AC11:AC74" si="6">IF(OR($S11&gt;$AC$9,$R11=""),"",$AC$9*6*$R11)</f>
        <v/>
      </c>
      <c r="AD11" s="132"/>
      <c r="AE11" s="133" t="str">
        <f>IF(AD11="","",IF(AD11&gt;=0.966,"Normal","Not Normal"))</f>
        <v/>
      </c>
      <c r="AF11" s="134"/>
      <c r="AG11" s="135"/>
      <c r="AH11" s="135"/>
      <c r="AI11" s="136"/>
      <c r="AJ11" s="21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t="str">
        <v/>
      </c>
      <c r="BS11" t="str">
        <v/>
      </c>
      <c r="BU11" s="150" t="str" cm="1">
        <f t="array" ref="BU11">IF(BR11="","",_xlfn._xlws.FILTER($AJ$4:$BP$4,ISNUMBER(SEARCH(BR11,$AJ$4:$BP$4))))</f>
        <v/>
      </c>
      <c r="BV11" s="151"/>
      <c r="BW11" s="151"/>
      <c r="BX11" s="151"/>
      <c r="BY11" s="151" t="str" cm="1">
        <f t="array" ref="BY11">IF(BU11="","",IF(AND(MID(BU11,1,1)=MID(BU11:BX11,1,1)),"TRUE","FALSE"))</f>
        <v/>
      </c>
      <c r="CA11" s="158" t="str">
        <f t="shared" ref="CA11:CA39" si="7">IF(BR11="","",SUBSTITUTE(SUBSTITUTE(COUNTIF(_xlfn.ANCHORARRAY(BU11),BR11&amp;"#1"),"1",""),"0",BR11&amp;"#1"))</f>
        <v/>
      </c>
      <c r="CB11" s="62" t="str">
        <f t="shared" ref="CB11:CB39" si="8">IF(BR11="","",SUBSTITUTE(SUBSTITUTE(COUNTIF(_xlfn.ANCHORARRAY(BU11),BR11&amp;"#2"),"1",""),"0",BR11&amp;"#2"))</f>
        <v/>
      </c>
      <c r="CC11" s="62" t="str">
        <f t="shared" ref="CC11:CC39" si="9">IF(BR11="","",SUBSTITUTE(SUBSTITUTE(COUNTIF(_xlfn.ANCHORARRAY(BU11),BR11&amp;"#3"),"1",""),"0",BR11&amp;"#3"))</f>
        <v/>
      </c>
      <c r="CD11" s="62" t="str">
        <f t="shared" ref="CD11:CD39" si="10">IF(BR11="","",SUBSTITUTE(SUBSTITUTE(COUNTIF(_xlfn.ANCHORARRAY(BU11),BR11&amp;"#4"),"1",""),"0",BR11&amp;"#4"))</f>
        <v/>
      </c>
      <c r="CE11" s="155" t="str">
        <v/>
      </c>
      <c r="ML11" s="77"/>
      <c r="SE11" s="77"/>
      <c r="TA11" s="77"/>
      <c r="AIY11" s="77"/>
      <c r="AKE11" s="77"/>
      <c r="AWR11" s="77"/>
      <c r="AXJ11" s="77"/>
      <c r="BBN11" s="77"/>
      <c r="BDJ11" s="77"/>
      <c r="CJL11" s="77"/>
      <c r="CPM11" s="77"/>
      <c r="DJE11" s="77"/>
      <c r="DOO11" s="77"/>
      <c r="EBG11" s="77"/>
      <c r="ECK11" s="77"/>
    </row>
    <row r="12" spans="1:1006 1032:2044 2116:3049 3109:3469" ht="15" customHeight="1">
      <c r="A12" s="17">
        <v>2</v>
      </c>
      <c r="B12" s="127" t="s">
        <v>295</v>
      </c>
      <c r="C12" s="128" t="s">
        <v>270</v>
      </c>
      <c r="D12" s="98" t="s">
        <v>199</v>
      </c>
      <c r="E12" s="99">
        <v>1.5</v>
      </c>
      <c r="F12" s="128" t="s">
        <v>45</v>
      </c>
      <c r="G12" s="143">
        <v>2.0649999999999999</v>
      </c>
      <c r="H12" s="143">
        <v>0.04</v>
      </c>
      <c r="I12" s="143">
        <v>-0.02</v>
      </c>
      <c r="J12" s="128" t="s">
        <v>12</v>
      </c>
      <c r="K12" s="130" t="s">
        <v>294</v>
      </c>
      <c r="L12" s="131">
        <f t="shared" ref="L12:L75" si="11">IF(AND(G12="",H12=""),"",IF(G12="",H12,G12+H12))</f>
        <v>2.105</v>
      </c>
      <c r="M12" s="137">
        <f t="shared" ref="M12:M75" si="12">IF(AND(G12="",I12=""),"",IF(G12="",I12,G12+I12))</f>
        <v>2.0449999999999999</v>
      </c>
      <c r="N12" s="26"/>
      <c r="O12" s="3" t="str">
        <f t="shared" ref="O12:O75" si="13">IF(OR($AK12="",ISNUMBER($AK12)=FALSE),"",MAX(AK12:BP12))</f>
        <v/>
      </c>
      <c r="P12" s="3" t="str">
        <f t="shared" ref="P12:P75" si="14">IF(OR($AK12="",ISNUMBER($AK12)=FALSE),"",MIN(AK12:BP12))</f>
        <v/>
      </c>
      <c r="Q12" s="3" t="str">
        <f t="shared" ref="Q12:Q75" si="15">IF(OR($AK12="",ISNUMBER($AK12)=FALSE),"",AVERAGE(AK12:BP12))</f>
        <v/>
      </c>
      <c r="R12" s="4" t="str">
        <f t="shared" ref="R12:R75" si="16">IF(OR($AK12="",ISNUMBER($AK12)=FALSE),"",STDEV(AK12:BP12))</f>
        <v/>
      </c>
      <c r="S12" s="5" t="str">
        <f t="shared" si="0"/>
        <v/>
      </c>
      <c r="T12" s="75" t="str">
        <f t="shared" si="1"/>
        <v/>
      </c>
      <c r="U12" s="75" t="str">
        <f t="shared" ref="U12:U75" si="17">IF($T12="","",IF(ABS($T12)&lt;=0.125, "Level A",IF(AND(ABS($T12)&gt;0.125,ABS($T12)&lt;=0.25), "Level B",IF(AND(ABS($T12)&gt;0.25,ABS($T12)&lt;=0.5), "Level C", IF(ABS($T12)&gt;0.5, "Level D")))))</f>
        <v/>
      </c>
      <c r="V12" s="5" t="str">
        <f t="shared" si="2"/>
        <v/>
      </c>
      <c r="W12" s="5" t="str">
        <f t="shared" si="3"/>
        <v/>
      </c>
      <c r="X12" s="5" t="str">
        <f t="shared" si="4"/>
        <v/>
      </c>
      <c r="Y12" s="71" t="str">
        <f t="shared" si="5"/>
        <v/>
      </c>
      <c r="Z12" s="31" t="str">
        <f t="shared" ref="Z12:Z75" si="18">IF($Q12="","",IF(F12="Tolerance",IF(($E12*3*R12+Q12)-G12&lt;H12,"",($E12*3*R12+Q12)-G12),IF(OR(F12="GD&amp;T",F12="MAX"),IF(($E12*3*R12+Q12)&lt;H12,"",($E12*3*R12+Q12)),"")))</f>
        <v/>
      </c>
      <c r="AA12" s="31" t="str">
        <f t="shared" ref="AA12:AA75" si="19">IF(Q12="","",IF(F12="Tolerance",IF(-(($E12*3*R12)-Q12)-G12&gt;I12,"",-(($E12*3*R12)-Q12)-G12),IF(F12="MIN",IF(-(($E12*3*R12)-Q12)&gt;I12,"",-(($E12*3*R12)-Q12)),"")))</f>
        <v/>
      </c>
      <c r="AB12" s="31" t="str">
        <f t="shared" ref="AB12:AB75" si="20">IF(OR(G12="",Q12=""),"",(L12+M12)/2-Q12)</f>
        <v/>
      </c>
      <c r="AC12" s="31" t="str">
        <f t="shared" si="6"/>
        <v/>
      </c>
      <c r="AD12" s="132"/>
      <c r="AE12" s="133" t="str">
        <f t="shared" ref="AE12:AE75" si="21">IF(AD12="","",IF(AD12&gt;=0.966,"Normal","Not Normal"))</f>
        <v/>
      </c>
      <c r="AF12" s="134"/>
      <c r="AG12" s="135"/>
      <c r="AH12" s="135"/>
      <c r="AI12" s="136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t="str">
        <v/>
      </c>
      <c r="BS12" t="str">
        <v/>
      </c>
      <c r="BU12" s="150" t="str" cm="1">
        <f t="array" ref="BU12">IF(BR12="","",_xlfn._xlws.FILTER($AJ$4:$BP$4,ISNUMBER(SEARCH(BR12,$AJ$4:$BP$4))))</f>
        <v/>
      </c>
      <c r="BV12" s="151"/>
      <c r="BW12" s="151"/>
      <c r="BX12" s="151"/>
      <c r="BY12" s="151" t="str" cm="1">
        <f t="array" ref="BY12">IF(BU12="","",IF(AND(MID(BU12,1,1)=MID(BU12:BX12,1,1)),"TRUE","FALSE"))</f>
        <v/>
      </c>
      <c r="CA12" s="158" t="str">
        <f t="shared" si="7"/>
        <v/>
      </c>
      <c r="CB12" s="62" t="str">
        <f t="shared" si="8"/>
        <v/>
      </c>
      <c r="CC12" s="62" t="str">
        <f t="shared" si="9"/>
        <v/>
      </c>
      <c r="CD12" s="62" t="str">
        <f t="shared" si="10"/>
        <v/>
      </c>
      <c r="CE12" s="155" t="str">
        <v/>
      </c>
      <c r="FD12" s="77"/>
      <c r="GL12" s="77"/>
      <c r="JF12" s="77"/>
      <c r="MZ12" s="77"/>
      <c r="SE12" s="77"/>
      <c r="AKE12" s="77"/>
      <c r="AOB12" s="77"/>
      <c r="ASC12" s="77"/>
      <c r="AWZ12" s="77"/>
      <c r="BIO12" s="77"/>
      <c r="BLN12" s="77"/>
      <c r="BOF12" s="77"/>
      <c r="BPN12" s="77"/>
      <c r="BPP12" s="77"/>
      <c r="BTD12" s="77"/>
      <c r="BTK12" s="77"/>
      <c r="BUE12" s="77"/>
      <c r="BZP12" s="77"/>
      <c r="CNW12" s="77"/>
      <c r="CNZ12" s="77"/>
      <c r="COC12" s="77"/>
      <c r="CUV12" s="77"/>
      <c r="CYX12" s="77"/>
      <c r="CZF12" s="77"/>
      <c r="DHG12" s="77"/>
      <c r="DIN12" s="77"/>
      <c r="DLO12" s="77"/>
      <c r="DSK12" s="77"/>
      <c r="DSO12" s="77"/>
      <c r="DTQ12" s="77"/>
      <c r="DYA12" s="77"/>
      <c r="EAO12" s="77"/>
    </row>
    <row r="13" spans="1:1006 1032:2044 2116:3049 3109:3469" ht="15" customHeight="1">
      <c r="A13" s="17">
        <v>3</v>
      </c>
      <c r="B13" s="127" t="s">
        <v>296</v>
      </c>
      <c r="C13" s="128" t="s">
        <v>270</v>
      </c>
      <c r="D13" s="98" t="s">
        <v>199</v>
      </c>
      <c r="E13" s="99">
        <v>1.5</v>
      </c>
      <c r="F13" s="128" t="s">
        <v>45</v>
      </c>
      <c r="G13" s="143">
        <v>2.0649999999999999</v>
      </c>
      <c r="H13" s="143">
        <v>0.04</v>
      </c>
      <c r="I13" s="143">
        <v>-0.02</v>
      </c>
      <c r="J13" s="128" t="s">
        <v>12</v>
      </c>
      <c r="K13" s="130" t="s">
        <v>294</v>
      </c>
      <c r="L13" s="131">
        <f t="shared" si="11"/>
        <v>2.105</v>
      </c>
      <c r="M13" s="137">
        <f t="shared" si="12"/>
        <v>2.0449999999999999</v>
      </c>
      <c r="N13" s="26"/>
      <c r="O13" s="3" t="str">
        <f t="shared" si="13"/>
        <v/>
      </c>
      <c r="P13" s="3" t="str">
        <f t="shared" si="14"/>
        <v/>
      </c>
      <c r="Q13" s="3" t="str">
        <f t="shared" si="15"/>
        <v/>
      </c>
      <c r="R13" s="4" t="str">
        <f t="shared" si="16"/>
        <v/>
      </c>
      <c r="S13" s="5" t="str">
        <f t="shared" si="0"/>
        <v/>
      </c>
      <c r="T13" s="75" t="str">
        <f t="shared" si="1"/>
        <v/>
      </c>
      <c r="U13" s="75" t="str">
        <f t="shared" si="17"/>
        <v/>
      </c>
      <c r="V13" s="5" t="str">
        <f t="shared" si="2"/>
        <v/>
      </c>
      <c r="W13" s="5" t="str">
        <f t="shared" si="3"/>
        <v/>
      </c>
      <c r="X13" s="5" t="str">
        <f t="shared" si="4"/>
        <v/>
      </c>
      <c r="Y13" s="71" t="str">
        <f t="shared" si="5"/>
        <v/>
      </c>
      <c r="Z13" s="31" t="str">
        <f t="shared" si="18"/>
        <v/>
      </c>
      <c r="AA13" s="31" t="str">
        <f t="shared" si="19"/>
        <v/>
      </c>
      <c r="AB13" s="31" t="str">
        <f t="shared" si="20"/>
        <v/>
      </c>
      <c r="AC13" s="31" t="str">
        <f t="shared" si="6"/>
        <v/>
      </c>
      <c r="AD13" s="132"/>
      <c r="AE13" s="133" t="str">
        <f t="shared" si="21"/>
        <v/>
      </c>
      <c r="AF13" s="134"/>
      <c r="AG13" s="135"/>
      <c r="AH13" s="135"/>
      <c r="AI13" s="136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t="str">
        <v/>
      </c>
      <c r="BS13" t="str">
        <v/>
      </c>
      <c r="BU13" s="150" t="str" cm="1">
        <f t="array" ref="BU13">IF(BR13="","",_xlfn._xlws.FILTER($AJ$4:$BP$4,ISNUMBER(SEARCH(BR13,$AJ$4:$BP$4))))</f>
        <v/>
      </c>
      <c r="BV13" s="151"/>
      <c r="BW13" s="151"/>
      <c r="BX13" s="151"/>
      <c r="BY13" s="151" t="str" cm="1">
        <f t="array" ref="BY13">IF(BU13="","",IF(AND(MID(BU13,1,1)=MID(BU13:BX13,1,1)),"TRUE","FALSE"))</f>
        <v/>
      </c>
      <c r="CA13" s="158" t="str">
        <f t="shared" si="7"/>
        <v/>
      </c>
      <c r="CB13" s="62" t="str">
        <f t="shared" si="8"/>
        <v/>
      </c>
      <c r="CC13" s="62" t="str">
        <f t="shared" si="9"/>
        <v/>
      </c>
      <c r="CD13" s="62" t="str">
        <f t="shared" si="10"/>
        <v/>
      </c>
      <c r="CE13" s="155" t="str">
        <v/>
      </c>
      <c r="FE13" s="77"/>
      <c r="JF13" s="77"/>
      <c r="AFP13" s="77"/>
      <c r="BEZ13" s="77"/>
      <c r="BJP13" s="77"/>
      <c r="BOS13" s="77"/>
      <c r="BPN13" s="77"/>
      <c r="BRN13" s="77"/>
      <c r="BRT13" s="77"/>
      <c r="BUE13" s="77"/>
      <c r="BVS13" s="77"/>
      <c r="BWA13" s="77"/>
      <c r="BYU13" s="77"/>
      <c r="BZP13" s="77"/>
      <c r="DHJ13" s="77"/>
      <c r="DIN13" s="77"/>
      <c r="DOP13" s="77"/>
      <c r="EBN13" s="77"/>
    </row>
    <row r="14" spans="1:1006 1032:2044 2116:3049 3109:3469" ht="15" customHeight="1">
      <c r="A14" s="17">
        <v>4</v>
      </c>
      <c r="B14" s="127" t="s">
        <v>297</v>
      </c>
      <c r="C14" s="128" t="s">
        <v>270</v>
      </c>
      <c r="D14" s="98" t="s">
        <v>199</v>
      </c>
      <c r="E14" s="99">
        <v>1.5</v>
      </c>
      <c r="F14" s="128" t="s">
        <v>45</v>
      </c>
      <c r="G14" s="129">
        <v>2.0649999999999999</v>
      </c>
      <c r="H14" s="143">
        <v>0.04</v>
      </c>
      <c r="I14" s="143">
        <v>-0.02</v>
      </c>
      <c r="J14" s="128" t="s">
        <v>12</v>
      </c>
      <c r="K14" s="130" t="s">
        <v>294</v>
      </c>
      <c r="L14" s="131">
        <f t="shared" si="11"/>
        <v>2.105</v>
      </c>
      <c r="M14" s="137">
        <f t="shared" si="12"/>
        <v>2.0449999999999999</v>
      </c>
      <c r="N14" s="26"/>
      <c r="O14" s="3" t="str">
        <f t="shared" si="13"/>
        <v/>
      </c>
      <c r="P14" s="3" t="str">
        <f t="shared" si="14"/>
        <v/>
      </c>
      <c r="Q14" s="3" t="str">
        <f t="shared" si="15"/>
        <v/>
      </c>
      <c r="R14" s="4" t="str">
        <f t="shared" si="16"/>
        <v/>
      </c>
      <c r="S14" s="5" t="str">
        <f t="shared" si="0"/>
        <v/>
      </c>
      <c r="T14" s="75" t="str">
        <f t="shared" si="1"/>
        <v/>
      </c>
      <c r="U14" s="75" t="str">
        <f t="shared" si="17"/>
        <v/>
      </c>
      <c r="V14" s="5" t="str">
        <f t="shared" si="2"/>
        <v/>
      </c>
      <c r="W14" s="5" t="str">
        <f t="shared" si="3"/>
        <v/>
      </c>
      <c r="X14" s="5" t="str">
        <f t="shared" si="4"/>
        <v/>
      </c>
      <c r="Y14" s="71" t="str">
        <f t="shared" si="5"/>
        <v/>
      </c>
      <c r="Z14" s="31" t="str">
        <f t="shared" si="18"/>
        <v/>
      </c>
      <c r="AA14" s="31" t="str">
        <f t="shared" si="19"/>
        <v/>
      </c>
      <c r="AB14" s="31" t="str">
        <f t="shared" si="20"/>
        <v/>
      </c>
      <c r="AC14" s="31" t="str">
        <f t="shared" si="6"/>
        <v/>
      </c>
      <c r="AD14" s="132"/>
      <c r="AE14" s="133" t="str">
        <f t="shared" si="21"/>
        <v/>
      </c>
      <c r="AF14" s="134"/>
      <c r="AG14" s="135"/>
      <c r="AH14" s="135"/>
      <c r="AI14" s="136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t="str">
        <v/>
      </c>
      <c r="BS14" t="str">
        <v/>
      </c>
      <c r="BU14" s="150" t="str" cm="1">
        <f t="array" ref="BU14">IF(BR14="","",_xlfn._xlws.FILTER($AJ$4:$BP$4,ISNUMBER(SEARCH(BR14,$AJ$4:$BP$4))))</f>
        <v/>
      </c>
      <c r="BV14" s="151"/>
      <c r="BW14" s="151"/>
      <c r="BX14" s="151"/>
      <c r="BY14" s="151" t="str" cm="1">
        <f t="array" ref="BY14">IF(BU14="","",IF(AND(MID(BU14,1,1)=MID(BU14:BX14,1,1)),"TRUE","FALSE"))</f>
        <v/>
      </c>
      <c r="CA14" s="158" t="str">
        <f t="shared" si="7"/>
        <v/>
      </c>
      <c r="CB14" s="62" t="str">
        <f t="shared" si="8"/>
        <v/>
      </c>
      <c r="CC14" s="62" t="str">
        <f t="shared" si="9"/>
        <v/>
      </c>
      <c r="CD14" s="62" t="str">
        <f t="shared" si="10"/>
        <v/>
      </c>
      <c r="CE14" s="155" t="str">
        <v/>
      </c>
      <c r="EJ14" s="77"/>
      <c r="KN14" s="77"/>
      <c r="QC14" s="77"/>
      <c r="TB14" s="77"/>
      <c r="AAU14" s="77"/>
      <c r="ABI14" s="77"/>
      <c r="ALR14" s="77"/>
      <c r="AMR14" s="77"/>
      <c r="AQA14" s="77"/>
      <c r="ARF14" s="77"/>
      <c r="AUU14" s="77"/>
      <c r="BAA14" s="77"/>
      <c r="BAK14" s="77"/>
      <c r="BGM14" s="77"/>
      <c r="BJA14" s="77"/>
      <c r="BOL14" s="77"/>
      <c r="BSE14" s="77"/>
      <c r="BST14" s="77"/>
      <c r="BVI14" s="77"/>
      <c r="BVN14" s="77"/>
      <c r="BVX14" s="77"/>
      <c r="BXN14" s="77"/>
      <c r="CCN14" s="77"/>
      <c r="CEK14" s="77"/>
      <c r="CFC14" s="77"/>
      <c r="CFD14" s="77"/>
      <c r="CJZ14" s="77"/>
      <c r="CMA14" s="77"/>
      <c r="CNX14" s="77"/>
      <c r="CPN14" s="77"/>
      <c r="CQQ14" s="77"/>
      <c r="CRL14" s="77"/>
      <c r="CTE14" s="77"/>
      <c r="CZB14" s="77"/>
      <c r="DCU14" s="77"/>
      <c r="DEF14" s="77"/>
      <c r="DHP14" s="77"/>
      <c r="DHY14" s="77"/>
      <c r="DMG14" s="77"/>
      <c r="DSG14" s="77"/>
      <c r="DSH14" s="77"/>
      <c r="DUX14" s="77"/>
      <c r="EBH14" s="77"/>
    </row>
    <row r="15" spans="1:1006 1032:2044 2116:3049 3109:3469" ht="15" customHeight="1">
      <c r="A15" s="17">
        <v>5</v>
      </c>
      <c r="B15" s="127" t="s">
        <v>298</v>
      </c>
      <c r="C15" s="128" t="s">
        <v>270</v>
      </c>
      <c r="D15" s="98" t="s">
        <v>199</v>
      </c>
      <c r="E15" s="99">
        <v>1.5</v>
      </c>
      <c r="F15" s="128" t="s">
        <v>45</v>
      </c>
      <c r="G15" s="129">
        <v>2.0649999999999999</v>
      </c>
      <c r="H15" s="143">
        <v>0.04</v>
      </c>
      <c r="I15" s="143">
        <v>-0.02</v>
      </c>
      <c r="J15" s="128" t="s">
        <v>12</v>
      </c>
      <c r="K15" s="130" t="s">
        <v>294</v>
      </c>
      <c r="L15" s="131">
        <f t="shared" si="11"/>
        <v>2.105</v>
      </c>
      <c r="M15" s="137">
        <f t="shared" si="12"/>
        <v>2.0449999999999999</v>
      </c>
      <c r="N15" s="26"/>
      <c r="O15" s="3" t="str">
        <f t="shared" si="13"/>
        <v/>
      </c>
      <c r="P15" s="3" t="str">
        <f t="shared" si="14"/>
        <v/>
      </c>
      <c r="Q15" s="3" t="str">
        <f t="shared" si="15"/>
        <v/>
      </c>
      <c r="R15" s="4" t="str">
        <f t="shared" si="16"/>
        <v/>
      </c>
      <c r="S15" s="5" t="str">
        <f t="shared" si="0"/>
        <v/>
      </c>
      <c r="T15" s="75" t="str">
        <f t="shared" si="1"/>
        <v/>
      </c>
      <c r="U15" s="75" t="str">
        <f t="shared" si="17"/>
        <v/>
      </c>
      <c r="V15" s="5" t="str">
        <f t="shared" si="2"/>
        <v/>
      </c>
      <c r="W15" s="5" t="str">
        <f t="shared" si="3"/>
        <v/>
      </c>
      <c r="X15" s="5" t="str">
        <f t="shared" si="4"/>
        <v/>
      </c>
      <c r="Y15" s="71" t="str">
        <f t="shared" si="5"/>
        <v/>
      </c>
      <c r="Z15" s="31" t="str">
        <f t="shared" si="18"/>
        <v/>
      </c>
      <c r="AA15" s="31" t="str">
        <f t="shared" si="19"/>
        <v/>
      </c>
      <c r="AB15" s="31" t="str">
        <f t="shared" si="20"/>
        <v/>
      </c>
      <c r="AC15" s="31" t="str">
        <f t="shared" si="6"/>
        <v/>
      </c>
      <c r="AD15" s="132"/>
      <c r="AE15" s="133" t="str">
        <f t="shared" si="21"/>
        <v/>
      </c>
      <c r="AF15" s="134"/>
      <c r="AG15" s="135"/>
      <c r="AH15" s="135"/>
      <c r="AI15" s="136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t="str">
        <v/>
      </c>
      <c r="BS15" t="str">
        <v/>
      </c>
      <c r="BU15" s="150" t="str" cm="1">
        <f t="array" ref="BU15">IF(BR15="","",_xlfn._xlws.FILTER($AJ$4:$BP$4,ISNUMBER(SEARCH(BR15,$AJ$4:$BP$4))))</f>
        <v/>
      </c>
      <c r="BV15" s="151"/>
      <c r="BW15" s="151"/>
      <c r="BX15" s="151"/>
      <c r="BY15" s="151" t="str" cm="1">
        <f t="array" ref="BY15">IF(BU15="","",IF(AND(MID(BU15,1,1)=MID(BU15:BX15,1,1)),"TRUE","FALSE"))</f>
        <v/>
      </c>
      <c r="CA15" s="158" t="str">
        <f t="shared" si="7"/>
        <v/>
      </c>
      <c r="CB15" s="62" t="str">
        <f t="shared" si="8"/>
        <v/>
      </c>
      <c r="CC15" s="62" t="str">
        <f t="shared" si="9"/>
        <v/>
      </c>
      <c r="CD15" s="62" t="str">
        <f t="shared" si="10"/>
        <v/>
      </c>
      <c r="CE15" s="155" t="str">
        <v/>
      </c>
      <c r="DA15" s="77"/>
      <c r="DG15" s="77"/>
      <c r="EJ15" s="77"/>
      <c r="EQ15" s="77"/>
      <c r="FB15" s="77"/>
      <c r="FN15" s="77"/>
      <c r="TY15" s="77"/>
      <c r="XD15" s="77"/>
      <c r="YE15" s="77"/>
      <c r="AAU15" s="77"/>
      <c r="AKM15" s="77"/>
      <c r="BJA15" s="77"/>
      <c r="BKA15" s="77"/>
      <c r="BMO15" s="77"/>
      <c r="BON15" s="77"/>
      <c r="BOQ15" s="77"/>
      <c r="BOX15" s="77"/>
      <c r="BST15" s="77"/>
      <c r="BVN15" s="77"/>
      <c r="BXU15" s="77"/>
      <c r="CFD15" s="77"/>
      <c r="CKD15" s="77"/>
      <c r="CNT15" s="77"/>
      <c r="CNX15" s="77"/>
      <c r="CPK15" s="77"/>
      <c r="CPU15" s="77"/>
      <c r="CQF15" s="77"/>
      <c r="CXH15" s="77"/>
      <c r="CZB15" s="77"/>
      <c r="DCU15" s="77"/>
      <c r="DFY15" s="77"/>
      <c r="DGL15" s="77"/>
      <c r="DGM15" s="77"/>
      <c r="DHJ15" s="77"/>
      <c r="DIA15" s="77"/>
      <c r="DSH15" s="77"/>
      <c r="DTR15" s="77"/>
    </row>
    <row r="16" spans="1:1006 1032:2044 2116:3049 3109:3469" ht="15" customHeight="1">
      <c r="A16" s="17">
        <v>6</v>
      </c>
      <c r="B16" s="127" t="s">
        <v>299</v>
      </c>
      <c r="C16" s="128" t="s">
        <v>92</v>
      </c>
      <c r="D16" s="98" t="s">
        <v>197</v>
      </c>
      <c r="E16" s="99">
        <v>1.5</v>
      </c>
      <c r="F16" s="128" t="s">
        <v>45</v>
      </c>
      <c r="G16" s="143">
        <v>0.3</v>
      </c>
      <c r="H16" s="143">
        <v>0.03</v>
      </c>
      <c r="I16" s="143">
        <v>-0.03</v>
      </c>
      <c r="J16" s="128" t="s">
        <v>12</v>
      </c>
      <c r="K16" s="130" t="s">
        <v>294</v>
      </c>
      <c r="L16" s="131">
        <f t="shared" si="11"/>
        <v>0.32999999999999996</v>
      </c>
      <c r="M16" s="137">
        <f t="shared" si="12"/>
        <v>0.27</v>
      </c>
      <c r="N16" s="26"/>
      <c r="O16" s="3" t="str">
        <f t="shared" si="13"/>
        <v/>
      </c>
      <c r="P16" s="3" t="str">
        <f t="shared" si="14"/>
        <v/>
      </c>
      <c r="Q16" s="3" t="str">
        <f t="shared" si="15"/>
        <v/>
      </c>
      <c r="R16" s="4" t="str">
        <f t="shared" si="16"/>
        <v/>
      </c>
      <c r="S16" s="5" t="str">
        <f t="shared" si="0"/>
        <v/>
      </c>
      <c r="T16" s="75" t="str">
        <f t="shared" si="1"/>
        <v/>
      </c>
      <c r="U16" s="75" t="str">
        <f t="shared" si="17"/>
        <v/>
      </c>
      <c r="V16" s="5" t="str">
        <f t="shared" si="2"/>
        <v/>
      </c>
      <c r="W16" s="5" t="str">
        <f t="shared" si="3"/>
        <v/>
      </c>
      <c r="X16" s="5" t="str">
        <f t="shared" si="4"/>
        <v/>
      </c>
      <c r="Y16" s="71" t="str">
        <f t="shared" si="5"/>
        <v/>
      </c>
      <c r="Z16" s="31" t="str">
        <f t="shared" si="18"/>
        <v/>
      </c>
      <c r="AA16" s="31" t="str">
        <f t="shared" si="19"/>
        <v/>
      </c>
      <c r="AB16" s="31" t="str">
        <f t="shared" si="20"/>
        <v/>
      </c>
      <c r="AC16" s="31" t="str">
        <f t="shared" si="6"/>
        <v/>
      </c>
      <c r="AD16" s="132"/>
      <c r="AE16" s="133" t="str">
        <f t="shared" si="21"/>
        <v/>
      </c>
      <c r="AF16" s="134"/>
      <c r="AG16" s="135"/>
      <c r="AH16" s="135"/>
      <c r="AI16" s="136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t="str">
        <v/>
      </c>
      <c r="BS16" t="str">
        <v/>
      </c>
      <c r="BU16" s="150" t="str" cm="1">
        <f t="array" ref="BU16">IF(BR16="","",_xlfn._xlws.FILTER($AJ$4:$BP$4,ISNUMBER(SEARCH(BR16,$AJ$4:$BP$4))))</f>
        <v/>
      </c>
      <c r="BV16" s="151"/>
      <c r="BW16" s="151"/>
      <c r="BX16" s="151"/>
      <c r="BY16" s="151" t="str" cm="1">
        <f t="array" ref="BY16">IF(BU16="","",IF(AND(MID(BU16,1,1)=MID(BU16:BX16,1,1)),"TRUE","FALSE"))</f>
        <v/>
      </c>
      <c r="CA16" s="158" t="str">
        <f t="shared" si="7"/>
        <v/>
      </c>
      <c r="CB16" s="62" t="str">
        <f t="shared" si="8"/>
        <v/>
      </c>
      <c r="CC16" s="62" t="str">
        <f t="shared" si="9"/>
        <v/>
      </c>
      <c r="CD16" s="62" t="str">
        <f t="shared" si="10"/>
        <v/>
      </c>
      <c r="CE16" s="155" t="str">
        <v/>
      </c>
      <c r="CZ16" s="77"/>
      <c r="FD16" s="77"/>
      <c r="GL16" s="77"/>
      <c r="JF16" s="77"/>
      <c r="MZ16" s="77"/>
      <c r="PC16" s="77"/>
      <c r="SE16" s="77"/>
      <c r="AKE16" s="77"/>
      <c r="AOB16" s="77"/>
      <c r="AWZ16" s="77"/>
      <c r="BLN16" s="77"/>
      <c r="BOF16" s="77"/>
      <c r="BPP16" s="77"/>
      <c r="BSE16" s="77"/>
      <c r="BUE16" s="77"/>
      <c r="CCJ16" s="77"/>
      <c r="CGW16" s="77"/>
      <c r="CJL16" s="77"/>
      <c r="COC16" s="77"/>
      <c r="CZF16" s="77"/>
      <c r="DSO16" s="77"/>
    </row>
    <row r="17" spans="1:1010 1028:2041 2080:3065 3088:3478" ht="15" customHeight="1">
      <c r="A17" s="17">
        <v>7</v>
      </c>
      <c r="B17" s="127" t="s">
        <v>300</v>
      </c>
      <c r="C17" s="128" t="s">
        <v>92</v>
      </c>
      <c r="D17" s="98" t="s">
        <v>197</v>
      </c>
      <c r="E17" s="99">
        <v>1.5</v>
      </c>
      <c r="F17" s="128" t="s">
        <v>45</v>
      </c>
      <c r="G17" s="143">
        <v>0.3</v>
      </c>
      <c r="H17" s="143">
        <v>0.03</v>
      </c>
      <c r="I17" s="143">
        <v>-0.03</v>
      </c>
      <c r="J17" s="128" t="s">
        <v>12</v>
      </c>
      <c r="K17" s="130" t="s">
        <v>294</v>
      </c>
      <c r="L17" s="131">
        <f t="shared" si="11"/>
        <v>0.32999999999999996</v>
      </c>
      <c r="M17" s="137">
        <f t="shared" si="12"/>
        <v>0.27</v>
      </c>
      <c r="N17" s="26"/>
      <c r="O17" s="3" t="str">
        <f t="shared" si="13"/>
        <v/>
      </c>
      <c r="P17" s="3" t="str">
        <f t="shared" si="14"/>
        <v/>
      </c>
      <c r="Q17" s="3" t="str">
        <f t="shared" si="15"/>
        <v/>
      </c>
      <c r="R17" s="4" t="str">
        <f t="shared" si="16"/>
        <v/>
      </c>
      <c r="S17" s="5" t="str">
        <f t="shared" si="0"/>
        <v/>
      </c>
      <c r="T17" s="75" t="str">
        <f t="shared" si="1"/>
        <v/>
      </c>
      <c r="U17" s="75" t="str">
        <f t="shared" si="17"/>
        <v/>
      </c>
      <c r="V17" s="5" t="str">
        <f t="shared" si="2"/>
        <v/>
      </c>
      <c r="W17" s="5" t="str">
        <f t="shared" si="3"/>
        <v/>
      </c>
      <c r="X17" s="5" t="str">
        <f t="shared" si="4"/>
        <v/>
      </c>
      <c r="Y17" s="71" t="str">
        <f t="shared" si="5"/>
        <v/>
      </c>
      <c r="Z17" s="31" t="str">
        <f t="shared" si="18"/>
        <v/>
      </c>
      <c r="AA17" s="31" t="str">
        <f t="shared" si="19"/>
        <v/>
      </c>
      <c r="AB17" s="31" t="str">
        <f t="shared" si="20"/>
        <v/>
      </c>
      <c r="AC17" s="31" t="str">
        <f t="shared" si="6"/>
        <v/>
      </c>
      <c r="AD17" s="132"/>
      <c r="AE17" s="133" t="str">
        <f t="shared" si="21"/>
        <v/>
      </c>
      <c r="AF17" s="134"/>
      <c r="AG17" s="135"/>
      <c r="AH17" s="135"/>
      <c r="AI17" s="136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t="str">
        <v/>
      </c>
      <c r="BS17" t="str">
        <v/>
      </c>
      <c r="BU17" s="150" t="str" cm="1">
        <f t="array" ref="BU17">IF(BR17="","",_xlfn._xlws.FILTER($AJ$4:$BP$4,ISNUMBER(SEARCH(BR17,$AJ$4:$BP$4))))</f>
        <v/>
      </c>
      <c r="BV17" s="151"/>
      <c r="BW17" s="151"/>
      <c r="BX17" s="151"/>
      <c r="BY17" s="151" t="str" cm="1">
        <f t="array" ref="BY17">IF(BU17="","",IF(AND(MID(BU17,1,1)=MID(BU17:BX17,1,1)),"TRUE","FALSE"))</f>
        <v/>
      </c>
      <c r="CA17" s="158" t="str">
        <f t="shared" si="7"/>
        <v/>
      </c>
      <c r="CB17" s="62" t="str">
        <f t="shared" si="8"/>
        <v/>
      </c>
      <c r="CC17" s="62" t="str">
        <f t="shared" si="9"/>
        <v/>
      </c>
      <c r="CD17" s="62" t="str">
        <f t="shared" si="10"/>
        <v/>
      </c>
      <c r="CE17" s="155" t="str">
        <v/>
      </c>
      <c r="CK17" s="77"/>
      <c r="FM17" s="77"/>
      <c r="HA17" s="77"/>
      <c r="MU17" s="77"/>
      <c r="NH17" s="77"/>
      <c r="PX17" s="77"/>
      <c r="WO17" s="77"/>
      <c r="XO17" s="77"/>
      <c r="ZY17" s="77"/>
      <c r="ABI17" s="77"/>
      <c r="ABW17" s="77"/>
      <c r="ADD17" s="77"/>
      <c r="AHG17" s="77"/>
      <c r="AIW17" s="77"/>
      <c r="AKT17" s="77"/>
      <c r="ALT17" s="77"/>
      <c r="ANI17" s="77"/>
      <c r="AOG17" s="77"/>
      <c r="AOK17" s="77"/>
      <c r="APA17" s="77"/>
      <c r="APH17" s="77"/>
      <c r="API17" s="77"/>
      <c r="AQK17" s="77"/>
      <c r="ASV17" s="77"/>
      <c r="AYU17" s="77"/>
      <c r="BAW17" s="77"/>
      <c r="BBW17" s="77"/>
      <c r="BDO17" s="77"/>
      <c r="BEJ17" s="77"/>
      <c r="BQQ17" s="77"/>
      <c r="BSP17" s="77"/>
      <c r="CEF17" s="77"/>
      <c r="CFC17" s="77"/>
      <c r="CKP17" s="77"/>
      <c r="CWA17" s="77"/>
      <c r="DLO17" s="77"/>
      <c r="DRW17" s="77"/>
      <c r="DSH17" s="77"/>
      <c r="DTG17" s="77"/>
      <c r="DUJ17" s="77"/>
    </row>
    <row r="18" spans="1:1010 1028:2041 2080:3065 3088:3478" ht="15" customHeight="1">
      <c r="A18" s="17">
        <v>11</v>
      </c>
      <c r="B18" s="127" t="s">
        <v>301</v>
      </c>
      <c r="C18" s="128" t="s">
        <v>239</v>
      </c>
      <c r="D18" s="98" t="s">
        <v>197</v>
      </c>
      <c r="E18" s="99">
        <v>1.5</v>
      </c>
      <c r="F18" s="128" t="s">
        <v>45</v>
      </c>
      <c r="G18" s="129">
        <v>0.32</v>
      </c>
      <c r="H18" s="143">
        <v>0.03</v>
      </c>
      <c r="I18" s="143">
        <v>-0.03</v>
      </c>
      <c r="J18" s="128" t="s">
        <v>12</v>
      </c>
      <c r="K18" s="130" t="s">
        <v>294</v>
      </c>
      <c r="L18" s="131">
        <f t="shared" si="11"/>
        <v>0.35</v>
      </c>
      <c r="M18" s="137">
        <f t="shared" si="12"/>
        <v>0.29000000000000004</v>
      </c>
      <c r="N18" s="26"/>
      <c r="O18" s="3" t="str">
        <f t="shared" si="13"/>
        <v/>
      </c>
      <c r="P18" s="3" t="str">
        <f t="shared" si="14"/>
        <v/>
      </c>
      <c r="Q18" s="3" t="str">
        <f t="shared" si="15"/>
        <v/>
      </c>
      <c r="R18" s="4" t="str">
        <f t="shared" si="16"/>
        <v/>
      </c>
      <c r="S18" s="5" t="str">
        <f t="shared" si="0"/>
        <v/>
      </c>
      <c r="T18" s="75" t="str">
        <f t="shared" si="1"/>
        <v/>
      </c>
      <c r="U18" s="75" t="str">
        <f t="shared" si="17"/>
        <v/>
      </c>
      <c r="V18" s="5" t="str">
        <f t="shared" si="2"/>
        <v/>
      </c>
      <c r="W18" s="5" t="str">
        <f t="shared" si="3"/>
        <v/>
      </c>
      <c r="X18" s="5" t="str">
        <f t="shared" si="4"/>
        <v/>
      </c>
      <c r="Y18" s="71" t="str">
        <f t="shared" si="5"/>
        <v/>
      </c>
      <c r="Z18" s="31" t="str">
        <f t="shared" si="18"/>
        <v/>
      </c>
      <c r="AA18" s="31" t="str">
        <f t="shared" si="19"/>
        <v/>
      </c>
      <c r="AB18" s="31" t="str">
        <f t="shared" si="20"/>
        <v/>
      </c>
      <c r="AC18" s="31" t="str">
        <f t="shared" si="6"/>
        <v/>
      </c>
      <c r="AD18" s="132"/>
      <c r="AE18" s="133" t="str">
        <f t="shared" si="21"/>
        <v/>
      </c>
      <c r="AF18" s="134"/>
      <c r="AG18" s="135"/>
      <c r="AH18" s="135"/>
      <c r="AI18" s="136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t="str">
        <v/>
      </c>
      <c r="BS18" t="str">
        <v/>
      </c>
      <c r="BU18" s="150" t="str" cm="1">
        <f t="array" ref="BU18">IF(BR18="","",_xlfn._xlws.FILTER($AJ$4:$BP$4,ISNUMBER(SEARCH(BR18,$AJ$4:$BP$4))))</f>
        <v/>
      </c>
      <c r="BV18" s="151"/>
      <c r="BW18" s="151"/>
      <c r="BX18" s="151"/>
      <c r="BY18" s="151" t="str" cm="1">
        <f t="array" ref="BY18">IF(BU18="","",IF(AND(MID(BU18,1,1)=MID(BU18:BX18,1,1)),"TRUE","FALSE"))</f>
        <v/>
      </c>
      <c r="CA18" s="158" t="str">
        <f t="shared" si="7"/>
        <v/>
      </c>
      <c r="CB18" s="62" t="str">
        <f t="shared" si="8"/>
        <v/>
      </c>
      <c r="CC18" s="62" t="str">
        <f t="shared" si="9"/>
        <v/>
      </c>
      <c r="CD18" s="62" t="str">
        <f t="shared" si="10"/>
        <v/>
      </c>
      <c r="CE18" s="155" t="str">
        <v/>
      </c>
      <c r="DW18" s="77"/>
      <c r="GL18" s="77"/>
      <c r="KN18" s="77"/>
      <c r="PB18" s="77"/>
      <c r="VL18" s="77"/>
      <c r="WZ18" s="77"/>
      <c r="YE18" s="77"/>
      <c r="AII18" s="77"/>
      <c r="AKP18" s="77"/>
      <c r="ALV18" s="77"/>
      <c r="AMN18" s="77"/>
      <c r="APN18" s="77"/>
      <c r="ARL18" s="77"/>
      <c r="AVQ18" s="77"/>
      <c r="BBS18" s="77"/>
      <c r="BDJ18" s="77"/>
      <c r="BEY18" s="77"/>
      <c r="BKC18" s="77"/>
      <c r="BNZ18" s="77"/>
      <c r="BRD18" s="77"/>
      <c r="BRY18" s="77"/>
      <c r="BSN18" s="77"/>
      <c r="BXH18" s="77"/>
      <c r="BXU18" s="77"/>
      <c r="CGA18" s="77"/>
      <c r="CGD18" s="77"/>
      <c r="CTE18" s="77"/>
      <c r="DHI18" s="77"/>
      <c r="DHL18" s="77"/>
      <c r="DIB18" s="77"/>
      <c r="DJB18" s="77"/>
      <c r="DOZ18" s="77"/>
      <c r="DPD18" s="77"/>
      <c r="DQG18" s="77"/>
      <c r="DYU18" s="77"/>
      <c r="DZO18" s="77"/>
      <c r="ECC18" s="77"/>
    </row>
    <row r="19" spans="1:1010 1028:2041 2080:3065 3088:3478" ht="15" customHeight="1">
      <c r="A19" s="17">
        <v>12</v>
      </c>
      <c r="B19" s="127" t="s">
        <v>302</v>
      </c>
      <c r="C19" s="128" t="s">
        <v>239</v>
      </c>
      <c r="D19" s="98" t="s">
        <v>197</v>
      </c>
      <c r="E19" s="99">
        <v>1.5</v>
      </c>
      <c r="F19" s="128" t="s">
        <v>45</v>
      </c>
      <c r="G19" s="129">
        <v>0.32</v>
      </c>
      <c r="H19" s="143">
        <v>0.03</v>
      </c>
      <c r="I19" s="143">
        <v>-0.03</v>
      </c>
      <c r="J19" s="128" t="s">
        <v>12</v>
      </c>
      <c r="K19" s="130" t="s">
        <v>294</v>
      </c>
      <c r="L19" s="131">
        <f t="shared" si="11"/>
        <v>0.35</v>
      </c>
      <c r="M19" s="137">
        <f t="shared" si="12"/>
        <v>0.29000000000000004</v>
      </c>
      <c r="N19" s="27"/>
      <c r="O19" s="3" t="str">
        <f t="shared" si="13"/>
        <v/>
      </c>
      <c r="P19" s="3" t="str">
        <f t="shared" si="14"/>
        <v/>
      </c>
      <c r="Q19" s="3" t="str">
        <f t="shared" si="15"/>
        <v/>
      </c>
      <c r="R19" s="4" t="str">
        <f t="shared" si="16"/>
        <v/>
      </c>
      <c r="S19" s="5" t="str">
        <f t="shared" si="0"/>
        <v/>
      </c>
      <c r="T19" s="75" t="str">
        <f t="shared" si="1"/>
        <v/>
      </c>
      <c r="U19" s="75" t="str">
        <f t="shared" si="17"/>
        <v/>
      </c>
      <c r="V19" s="5" t="str">
        <f t="shared" si="2"/>
        <v/>
      </c>
      <c r="W19" s="5" t="str">
        <f t="shared" si="3"/>
        <v/>
      </c>
      <c r="X19" s="5" t="str">
        <f t="shared" si="4"/>
        <v/>
      </c>
      <c r="Y19" s="71" t="str">
        <f t="shared" si="5"/>
        <v/>
      </c>
      <c r="Z19" s="31" t="str">
        <f t="shared" si="18"/>
        <v/>
      </c>
      <c r="AA19" s="31" t="str">
        <f t="shared" si="19"/>
        <v/>
      </c>
      <c r="AB19" s="31" t="str">
        <f t="shared" si="20"/>
        <v/>
      </c>
      <c r="AC19" s="31" t="str">
        <f t="shared" si="6"/>
        <v/>
      </c>
      <c r="AD19" s="132"/>
      <c r="AE19" s="133" t="str">
        <f t="shared" si="21"/>
        <v/>
      </c>
      <c r="AF19" s="134"/>
      <c r="AG19" s="135"/>
      <c r="AH19" s="135"/>
      <c r="AI19" s="136"/>
      <c r="AJ19" s="19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t="str">
        <v/>
      </c>
      <c r="BS19" t="str">
        <v/>
      </c>
      <c r="BU19" s="150" t="str" cm="1">
        <f t="array" ref="BU19">IF(BR19="","",_xlfn._xlws.FILTER($AJ$4:$BP$4,ISNUMBER(SEARCH(BR19,$AJ$4:$BP$4))))</f>
        <v/>
      </c>
      <c r="BV19" s="151"/>
      <c r="BW19" s="151"/>
      <c r="BX19" s="151"/>
      <c r="BY19" s="151" t="str" cm="1">
        <f t="array" ref="BY19">IF(BU19="","",IF(AND(MID(BU19,1,1)=MID(BU19:BX19,1,1)),"TRUE","FALSE"))</f>
        <v/>
      </c>
      <c r="CA19" s="158" t="str">
        <f t="shared" si="7"/>
        <v/>
      </c>
      <c r="CB19" s="62" t="str">
        <f t="shared" si="8"/>
        <v/>
      </c>
      <c r="CC19" s="62" t="str">
        <f t="shared" si="9"/>
        <v/>
      </c>
      <c r="CD19" s="62" t="str">
        <f t="shared" si="10"/>
        <v/>
      </c>
      <c r="CE19" s="155" t="str">
        <v/>
      </c>
      <c r="GL19" s="77"/>
      <c r="KN19" s="77"/>
      <c r="WZ19" s="77"/>
      <c r="YE19" s="77"/>
      <c r="AII19" s="77"/>
      <c r="AKE19" s="77"/>
      <c r="AKP19" s="77"/>
      <c r="ALV19" s="77"/>
      <c r="AMN19" s="77"/>
      <c r="APN19" s="77"/>
      <c r="AQA19" s="77"/>
      <c r="ARL19" s="77"/>
      <c r="AVQ19" s="77"/>
      <c r="AYH19" s="77"/>
      <c r="BBS19" s="77"/>
      <c r="BDJ19" s="77"/>
      <c r="BEY19" s="77"/>
      <c r="BJF19" s="77"/>
      <c r="BNZ19" s="77"/>
      <c r="BRD19" s="77"/>
      <c r="BRY19" s="77"/>
      <c r="BXH19" s="77"/>
      <c r="BXU19" s="77"/>
      <c r="CGA19" s="77"/>
      <c r="DHI19" s="77"/>
      <c r="DHL19" s="77"/>
      <c r="DIB19" s="77"/>
      <c r="DJB19" s="77"/>
      <c r="DOZ19" s="77"/>
      <c r="DPD19" s="77"/>
      <c r="DQG19" s="77"/>
      <c r="DRW19" s="77"/>
      <c r="DYU19" s="77"/>
      <c r="DZO19" s="77"/>
    </row>
    <row r="20" spans="1:1010 1028:2041 2080:3065 3088:3478" ht="15" customHeight="1">
      <c r="A20" s="17">
        <v>13</v>
      </c>
      <c r="B20" s="127" t="s">
        <v>303</v>
      </c>
      <c r="C20" s="128" t="s">
        <v>90</v>
      </c>
      <c r="D20" s="98" t="s">
        <v>197</v>
      </c>
      <c r="E20" s="99">
        <v>1.5</v>
      </c>
      <c r="F20" s="128" t="s">
        <v>45</v>
      </c>
      <c r="G20" s="129">
        <v>0.1</v>
      </c>
      <c r="H20" s="143">
        <v>0.01</v>
      </c>
      <c r="I20" s="143">
        <v>-0.04</v>
      </c>
      <c r="J20" s="128" t="s">
        <v>12</v>
      </c>
      <c r="K20" s="130" t="s">
        <v>294</v>
      </c>
      <c r="L20" s="131">
        <f t="shared" si="11"/>
        <v>0.11</v>
      </c>
      <c r="M20" s="137">
        <f t="shared" si="12"/>
        <v>6.0000000000000005E-2</v>
      </c>
      <c r="N20" s="27"/>
      <c r="O20" s="3" t="str">
        <f t="shared" si="13"/>
        <v/>
      </c>
      <c r="P20" s="3" t="str">
        <f t="shared" si="14"/>
        <v/>
      </c>
      <c r="Q20" s="3" t="str">
        <f t="shared" si="15"/>
        <v/>
      </c>
      <c r="R20" s="4" t="str">
        <f t="shared" si="16"/>
        <v/>
      </c>
      <c r="S20" s="5" t="str">
        <f t="shared" si="0"/>
        <v/>
      </c>
      <c r="T20" s="75" t="str">
        <f t="shared" si="1"/>
        <v/>
      </c>
      <c r="U20" s="75" t="str">
        <f t="shared" si="17"/>
        <v/>
      </c>
      <c r="V20" s="5" t="str">
        <f t="shared" si="2"/>
        <v/>
      </c>
      <c r="W20" s="5" t="str">
        <f t="shared" si="3"/>
        <v/>
      </c>
      <c r="X20" s="5" t="str">
        <f t="shared" si="4"/>
        <v/>
      </c>
      <c r="Y20" s="71" t="str">
        <f t="shared" si="5"/>
        <v/>
      </c>
      <c r="Z20" s="31" t="str">
        <f t="shared" si="18"/>
        <v/>
      </c>
      <c r="AA20" s="31" t="str">
        <f t="shared" si="19"/>
        <v/>
      </c>
      <c r="AB20" s="31" t="str">
        <f t="shared" si="20"/>
        <v/>
      </c>
      <c r="AC20" s="31" t="str">
        <f t="shared" si="6"/>
        <v/>
      </c>
      <c r="AD20" s="132"/>
      <c r="AE20" s="133" t="str">
        <f t="shared" si="21"/>
        <v/>
      </c>
      <c r="AF20" s="134"/>
      <c r="AG20" s="135"/>
      <c r="AH20" s="135"/>
      <c r="AI20" s="136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t="str">
        <v/>
      </c>
      <c r="BS20" t="str">
        <v/>
      </c>
      <c r="BU20" s="150" t="str" cm="1">
        <f t="array" ref="BU20">IF(BR20="","",_xlfn._xlws.FILTER($AJ$4:$BP$4,ISNUMBER(SEARCH(BR20,$AJ$4:$BP$4))))</f>
        <v/>
      </c>
      <c r="BV20" s="151"/>
      <c r="BW20" s="151"/>
      <c r="BX20" s="151"/>
      <c r="BY20" s="151" t="str" cm="1">
        <f t="array" ref="BY20">IF(BU20="","",IF(AND(MID(BU20,1,1)=MID(BU20:BX20,1,1)),"TRUE","FALSE"))</f>
        <v/>
      </c>
      <c r="CA20" s="158" t="str">
        <f t="shared" si="7"/>
        <v/>
      </c>
      <c r="CB20" s="62" t="str">
        <f t="shared" si="8"/>
        <v/>
      </c>
      <c r="CC20" s="62" t="str">
        <f t="shared" si="9"/>
        <v/>
      </c>
      <c r="CD20" s="62" t="str">
        <f t="shared" si="10"/>
        <v/>
      </c>
      <c r="CE20" s="155" t="str">
        <v/>
      </c>
      <c r="GL20" s="77"/>
      <c r="KN20" s="77"/>
      <c r="PB20" s="77"/>
      <c r="PL20" s="77"/>
      <c r="WZ20" s="77"/>
      <c r="YE20" s="77"/>
      <c r="AII20" s="77"/>
      <c r="AKP20" s="77"/>
      <c r="ALV20" s="77"/>
      <c r="AMN20" s="77"/>
      <c r="APN20" s="77"/>
      <c r="AQA20" s="77"/>
      <c r="ARL20" s="77"/>
      <c r="AVQ20" s="77"/>
      <c r="AYH20" s="77"/>
      <c r="BBS20" s="77"/>
      <c r="BDJ20" s="77"/>
      <c r="BEY20" s="77"/>
      <c r="BNZ20" s="77"/>
      <c r="BRD20" s="77"/>
      <c r="BRY20" s="77"/>
      <c r="BSN20" s="77"/>
      <c r="BXH20" s="77"/>
      <c r="BXU20" s="77"/>
      <c r="CGA20" s="77"/>
      <c r="DHI20" s="77"/>
      <c r="DHL20" s="77"/>
      <c r="DIB20" s="77"/>
      <c r="DJB20" s="77"/>
      <c r="DOZ20" s="77"/>
      <c r="DPD20" s="77"/>
      <c r="DYU20" s="77"/>
      <c r="DZO20" s="77"/>
    </row>
    <row r="21" spans="1:1010 1028:2041 2080:3065 3088:3478" ht="15" customHeight="1">
      <c r="A21" s="17">
        <v>14</v>
      </c>
      <c r="B21" s="127" t="s">
        <v>304</v>
      </c>
      <c r="C21" s="128" t="s">
        <v>90</v>
      </c>
      <c r="D21" s="98" t="s">
        <v>197</v>
      </c>
      <c r="E21" s="99">
        <v>1.5</v>
      </c>
      <c r="F21" s="128" t="s">
        <v>45</v>
      </c>
      <c r="G21" s="129">
        <v>0.1</v>
      </c>
      <c r="H21" s="143">
        <v>0.01</v>
      </c>
      <c r="I21" s="143">
        <v>-0.04</v>
      </c>
      <c r="J21" s="128" t="s">
        <v>12</v>
      </c>
      <c r="K21" s="130" t="s">
        <v>294</v>
      </c>
      <c r="L21" s="131">
        <f t="shared" si="11"/>
        <v>0.11</v>
      </c>
      <c r="M21" s="137">
        <f t="shared" si="12"/>
        <v>6.0000000000000005E-2</v>
      </c>
      <c r="N21" s="26"/>
      <c r="O21" s="3" t="str">
        <f t="shared" si="13"/>
        <v/>
      </c>
      <c r="P21" s="3" t="str">
        <f t="shared" si="14"/>
        <v/>
      </c>
      <c r="Q21" s="3" t="str">
        <f t="shared" si="15"/>
        <v/>
      </c>
      <c r="R21" s="4" t="str">
        <f t="shared" si="16"/>
        <v/>
      </c>
      <c r="S21" s="5" t="str">
        <f t="shared" si="0"/>
        <v/>
      </c>
      <c r="T21" s="75" t="str">
        <f t="shared" si="1"/>
        <v/>
      </c>
      <c r="U21" s="75" t="str">
        <f t="shared" si="17"/>
        <v/>
      </c>
      <c r="V21" s="5" t="str">
        <f t="shared" si="2"/>
        <v/>
      </c>
      <c r="W21" s="5" t="str">
        <f t="shared" si="3"/>
        <v/>
      </c>
      <c r="X21" s="5" t="str">
        <f t="shared" si="4"/>
        <v/>
      </c>
      <c r="Y21" s="71" t="str">
        <f t="shared" si="5"/>
        <v/>
      </c>
      <c r="Z21" s="31" t="str">
        <f t="shared" si="18"/>
        <v/>
      </c>
      <c r="AA21" s="31" t="str">
        <f t="shared" si="19"/>
        <v/>
      </c>
      <c r="AB21" s="31" t="str">
        <f t="shared" si="20"/>
        <v/>
      </c>
      <c r="AC21" s="31" t="str">
        <f t="shared" si="6"/>
        <v/>
      </c>
      <c r="AD21" s="132"/>
      <c r="AE21" s="133" t="str">
        <f t="shared" si="21"/>
        <v/>
      </c>
      <c r="AF21" s="134"/>
      <c r="AG21" s="135"/>
      <c r="AH21" s="135"/>
      <c r="AI21" s="136"/>
      <c r="AJ21" s="21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t="str">
        <v/>
      </c>
      <c r="BS21" t="str">
        <v/>
      </c>
      <c r="BU21" s="150" t="str" cm="1">
        <f t="array" ref="BU21">IF(BR21="","",_xlfn._xlws.FILTER($AJ$4:$BP$4,ISNUMBER(SEARCH(BR21,$AJ$4:$BP$4))))</f>
        <v/>
      </c>
      <c r="BV21" s="151"/>
      <c r="BW21" s="151"/>
      <c r="BX21" s="151"/>
      <c r="BY21" s="151" t="str" cm="1">
        <f t="array" ref="BY21">IF(BU21="","",IF(AND(MID(BU21,1,1)=MID(BU21:BX21,1,1)),"TRUE","FALSE"))</f>
        <v/>
      </c>
      <c r="CA21" s="158" t="str">
        <f t="shared" si="7"/>
        <v/>
      </c>
      <c r="CB21" s="62" t="str">
        <f t="shared" si="8"/>
        <v/>
      </c>
      <c r="CC21" s="62" t="str">
        <f t="shared" si="9"/>
        <v/>
      </c>
      <c r="CD21" s="62" t="str">
        <f t="shared" si="10"/>
        <v/>
      </c>
      <c r="CE21" s="155" t="str">
        <v/>
      </c>
      <c r="GL21" s="77"/>
      <c r="HX21" s="77"/>
      <c r="JO21" s="77"/>
      <c r="PT21" s="77"/>
      <c r="VL21" s="77"/>
      <c r="WP21" s="77"/>
      <c r="WS21" s="77"/>
      <c r="ZL21" s="77"/>
      <c r="AII21" s="77"/>
      <c r="AKE21" s="77"/>
      <c r="ATN21" s="77"/>
      <c r="BBS21" s="77"/>
      <c r="BEY21" s="77"/>
      <c r="BUD21" s="77"/>
      <c r="BXG21" s="77"/>
      <c r="BZM21" s="77"/>
      <c r="CGD21" s="77"/>
      <c r="CGQ21" s="77"/>
      <c r="CHJ21" s="77"/>
      <c r="CKF21" s="77"/>
      <c r="CLG21" s="77"/>
      <c r="CLQ21" s="77"/>
      <c r="CNA21" s="77"/>
      <c r="CQR21" s="77"/>
      <c r="DDT21" s="77"/>
      <c r="DHI21" s="77"/>
      <c r="DHL21" s="77"/>
      <c r="DIB21" s="77"/>
      <c r="DOS21" s="77"/>
      <c r="DZO21" s="77"/>
    </row>
    <row r="22" spans="1:1010 1028:2041 2080:3065 3088:3478" ht="15" customHeight="1">
      <c r="A22" s="17">
        <v>15</v>
      </c>
      <c r="B22" s="127" t="s">
        <v>305</v>
      </c>
      <c r="C22" s="128" t="s">
        <v>90</v>
      </c>
      <c r="D22" s="98" t="s">
        <v>197</v>
      </c>
      <c r="E22" s="99">
        <v>1.5</v>
      </c>
      <c r="F22" s="128" t="s">
        <v>45</v>
      </c>
      <c r="G22" s="143">
        <v>0.1</v>
      </c>
      <c r="H22" s="143">
        <v>0.01</v>
      </c>
      <c r="I22" s="143">
        <v>-0.04</v>
      </c>
      <c r="J22" s="128" t="s">
        <v>12</v>
      </c>
      <c r="K22" s="130" t="s">
        <v>294</v>
      </c>
      <c r="L22" s="131">
        <f t="shared" si="11"/>
        <v>0.11</v>
      </c>
      <c r="M22" s="137">
        <f t="shared" si="12"/>
        <v>6.0000000000000005E-2</v>
      </c>
      <c r="N22" s="26"/>
      <c r="O22" s="3" t="str">
        <f t="shared" si="13"/>
        <v/>
      </c>
      <c r="P22" s="3" t="str">
        <f t="shared" si="14"/>
        <v/>
      </c>
      <c r="Q22" s="3" t="str">
        <f t="shared" si="15"/>
        <v/>
      </c>
      <c r="R22" s="4" t="str">
        <f t="shared" si="16"/>
        <v/>
      </c>
      <c r="S22" s="5" t="str">
        <f t="shared" si="0"/>
        <v/>
      </c>
      <c r="T22" s="75" t="str">
        <f t="shared" si="1"/>
        <v/>
      </c>
      <c r="U22" s="75" t="str">
        <f t="shared" si="17"/>
        <v/>
      </c>
      <c r="V22" s="5" t="str">
        <f t="shared" si="2"/>
        <v/>
      </c>
      <c r="W22" s="5" t="str">
        <f t="shared" si="3"/>
        <v/>
      </c>
      <c r="X22" s="5" t="str">
        <f t="shared" si="4"/>
        <v/>
      </c>
      <c r="Y22" s="71" t="str">
        <f t="shared" si="5"/>
        <v/>
      </c>
      <c r="Z22" s="31" t="str">
        <f t="shared" si="18"/>
        <v/>
      </c>
      <c r="AA22" s="31" t="str">
        <f t="shared" si="19"/>
        <v/>
      </c>
      <c r="AB22" s="31" t="str">
        <f t="shared" si="20"/>
        <v/>
      </c>
      <c r="AC22" s="31" t="str">
        <f t="shared" si="6"/>
        <v/>
      </c>
      <c r="AD22" s="132"/>
      <c r="AE22" s="133" t="str">
        <f t="shared" si="21"/>
        <v/>
      </c>
      <c r="AF22" s="134"/>
      <c r="AG22" s="135"/>
      <c r="AH22" s="135"/>
      <c r="AI22" s="136"/>
      <c r="AJ22" s="21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t="str">
        <v/>
      </c>
      <c r="BS22" t="str">
        <v/>
      </c>
      <c r="BU22" s="150" t="str" cm="1">
        <f t="array" ref="BU22">IF(BR22="","",_xlfn._xlws.FILTER($AJ$4:$BP$4,ISNUMBER(SEARCH(BR22,$AJ$4:$BP$4))))</f>
        <v/>
      </c>
      <c r="BV22" s="151"/>
      <c r="BW22" s="159"/>
      <c r="BX22" s="151"/>
      <c r="BY22" s="151" t="str" cm="1">
        <f t="array" ref="BY22">IF(BU22="","",IF(AND(MID(BU22,1,1)=MID(BU22:BX22,1,1)),"TRUE","FALSE"))</f>
        <v/>
      </c>
      <c r="CA22" s="158" t="str">
        <f t="shared" si="7"/>
        <v/>
      </c>
      <c r="CB22" s="62" t="str">
        <f t="shared" si="8"/>
        <v/>
      </c>
      <c r="CC22" s="62" t="str">
        <f t="shared" si="9"/>
        <v/>
      </c>
      <c r="CD22" s="62" t="str">
        <f t="shared" si="10"/>
        <v/>
      </c>
      <c r="CE22" s="156" t="str">
        <v/>
      </c>
      <c r="FU22" s="77"/>
      <c r="GL22" s="77"/>
      <c r="HX22" s="77"/>
      <c r="JO22" s="77"/>
      <c r="PT22" s="77"/>
      <c r="VE22" s="77"/>
      <c r="VL22" s="77"/>
      <c r="WP22" s="77"/>
      <c r="WS22" s="77"/>
      <c r="ZL22" s="77"/>
      <c r="AII22" s="77"/>
      <c r="AKE22" s="77"/>
      <c r="ATN22" s="77"/>
      <c r="AYZ22" s="77"/>
      <c r="BBS22" s="77"/>
      <c r="BEY22" s="77"/>
      <c r="BQG22" s="77"/>
      <c r="BRY22" s="77"/>
      <c r="BUD22" s="77"/>
      <c r="BXG22" s="77"/>
      <c r="BZM22" s="77"/>
      <c r="CGD22" s="77"/>
      <c r="CGQ22" s="77"/>
      <c r="CHJ22" s="77"/>
      <c r="CKG22" s="77"/>
      <c r="CLG22" s="77"/>
      <c r="CLQ22" s="77"/>
      <c r="CNA22" s="77"/>
      <c r="CQR22" s="77"/>
      <c r="CYC22" s="77"/>
      <c r="DAQ22" s="77"/>
      <c r="DDT22" s="77"/>
      <c r="DED22" s="77"/>
      <c r="DHI22" s="77"/>
      <c r="DHL22" s="77"/>
      <c r="DHO22" s="77"/>
      <c r="DHV22" s="77"/>
      <c r="DIB22" s="77"/>
      <c r="DJH22" s="77"/>
      <c r="DNT22" s="77"/>
      <c r="DOS22" s="77"/>
      <c r="DZO22" s="77"/>
    </row>
    <row r="23" spans="1:1010 1028:2041 2080:3065 3088:3478" ht="15" customHeight="1">
      <c r="A23" s="17">
        <v>15</v>
      </c>
      <c r="B23" s="127" t="s">
        <v>306</v>
      </c>
      <c r="C23" s="128" t="s">
        <v>90</v>
      </c>
      <c r="D23" s="98" t="s">
        <v>197</v>
      </c>
      <c r="E23" s="99">
        <v>1.5</v>
      </c>
      <c r="F23" s="128" t="s">
        <v>45</v>
      </c>
      <c r="G23" s="143">
        <v>0.1</v>
      </c>
      <c r="H23" s="143">
        <v>0.01</v>
      </c>
      <c r="I23" s="143">
        <v>-0.04</v>
      </c>
      <c r="J23" s="128" t="s">
        <v>12</v>
      </c>
      <c r="K23" s="130" t="s">
        <v>294</v>
      </c>
      <c r="L23" s="131">
        <f>IF(AND(G23="",H23=""),"",IF(G23="",H23,G23+H23))</f>
        <v>0.11</v>
      </c>
      <c r="M23" s="137">
        <f>IF(AND(G23="",I23=""),"",IF(G23="",I23,G23+I23))</f>
        <v>6.0000000000000005E-2</v>
      </c>
      <c r="N23" s="26"/>
      <c r="O23" s="3" t="str">
        <f t="shared" si="13"/>
        <v/>
      </c>
      <c r="P23" s="3" t="str">
        <f t="shared" si="14"/>
        <v/>
      </c>
      <c r="Q23" s="3" t="str">
        <f t="shared" si="15"/>
        <v/>
      </c>
      <c r="R23" s="4" t="str">
        <f t="shared" si="16"/>
        <v/>
      </c>
      <c r="S23" s="5" t="str">
        <f t="shared" si="0"/>
        <v/>
      </c>
      <c r="T23" s="75" t="str">
        <f t="shared" si="1"/>
        <v/>
      </c>
      <c r="U23" s="75" t="str">
        <f t="shared" si="17"/>
        <v/>
      </c>
      <c r="V23" s="5" t="str">
        <f t="shared" si="2"/>
        <v/>
      </c>
      <c r="W23" s="5" t="str">
        <f t="shared" si="3"/>
        <v/>
      </c>
      <c r="X23" s="5" t="str">
        <f t="shared" si="4"/>
        <v/>
      </c>
      <c r="Y23" s="71" t="str">
        <f t="shared" si="5"/>
        <v/>
      </c>
      <c r="Z23" s="31" t="str">
        <f t="shared" si="18"/>
        <v/>
      </c>
      <c r="AA23" s="31" t="str">
        <f t="shared" si="19"/>
        <v/>
      </c>
      <c r="AB23" s="31" t="str">
        <f>IF(OR(G23="",Q23=""),"",(L23+M23)/2-Q23)</f>
        <v/>
      </c>
      <c r="AC23" s="31" t="str">
        <f t="shared" si="6"/>
        <v/>
      </c>
      <c r="AD23" s="132"/>
      <c r="AE23" s="133" t="str">
        <f t="shared" si="21"/>
        <v/>
      </c>
      <c r="AF23" s="134"/>
      <c r="AG23" s="135"/>
      <c r="AH23" s="135"/>
      <c r="AI23" s="136"/>
      <c r="AJ23" s="21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t="str">
        <v/>
      </c>
      <c r="BS23" t="str">
        <v/>
      </c>
      <c r="BU23" s="150" t="str" cm="1">
        <f t="array" ref="BU23">IF(BR23="","",_xlfn._xlws.FILTER($AJ$4:$BP$4,ISNUMBER(SEARCH(BR23,$AJ$4:$BP$4))))</f>
        <v/>
      </c>
      <c r="BV23" s="151"/>
      <c r="BW23" s="151"/>
      <c r="BX23" s="151"/>
      <c r="BY23" s="151" t="str" cm="1">
        <f t="array" ref="BY23">IF(BU23="","",IF(AND(MID(BU23,1,1)=MID(BU23:BX23,1,1)),"TRUE","FALSE"))</f>
        <v/>
      </c>
      <c r="CA23" s="158" t="str">
        <f t="shared" si="7"/>
        <v/>
      </c>
      <c r="CB23" s="62" t="str">
        <f t="shared" si="8"/>
        <v/>
      </c>
      <c r="CC23" s="62" t="str">
        <f t="shared" si="9"/>
        <v/>
      </c>
      <c r="CD23" s="62" t="str">
        <f t="shared" si="10"/>
        <v/>
      </c>
      <c r="CE23" s="156" t="str">
        <v/>
      </c>
      <c r="HW23" s="77"/>
      <c r="HX23" s="77"/>
      <c r="JO23" s="77"/>
      <c r="OM23" s="77"/>
      <c r="VL23" s="77"/>
      <c r="WP23" s="77"/>
      <c r="ZL23" s="77"/>
      <c r="AAI23" s="77"/>
      <c r="AII23" s="77"/>
      <c r="AKE23" s="77"/>
      <c r="AKP23" s="77"/>
      <c r="ATN23" s="77"/>
      <c r="BBS23" s="77"/>
      <c r="BEY23" s="77"/>
      <c r="BRY23" s="77"/>
      <c r="BUD23" s="77"/>
      <c r="BZM23" s="77"/>
      <c r="CGD23" s="77"/>
      <c r="CHJ23" s="77"/>
      <c r="CKG23" s="77"/>
      <c r="CLG23" s="77"/>
      <c r="CNA23" s="77"/>
      <c r="CQR23" s="77"/>
      <c r="CYC23" s="77"/>
      <c r="DAQ23" s="77"/>
      <c r="DDT23" s="77"/>
      <c r="DHI23" s="77"/>
      <c r="DHJ23" s="77"/>
      <c r="DHL23" s="77"/>
      <c r="DHO23" s="77"/>
      <c r="DHV23" s="77"/>
      <c r="DIB23" s="77"/>
      <c r="DLO23" s="77"/>
      <c r="DNT23" s="77"/>
      <c r="DOS23" s="77"/>
      <c r="DZO23" s="77"/>
    </row>
    <row r="24" spans="1:1010 1028:2041 2080:3065 3088:3478" ht="15" customHeight="1">
      <c r="A24" s="17">
        <v>17</v>
      </c>
      <c r="B24" s="127" t="s">
        <v>307</v>
      </c>
      <c r="C24" s="128" t="s">
        <v>271</v>
      </c>
      <c r="D24" s="98" t="s">
        <v>374</v>
      </c>
      <c r="E24" s="99">
        <v>1.5</v>
      </c>
      <c r="F24" s="128" t="s">
        <v>45</v>
      </c>
      <c r="G24" s="143">
        <v>90</v>
      </c>
      <c r="H24" s="143">
        <v>1</v>
      </c>
      <c r="I24" s="143">
        <v>-2</v>
      </c>
      <c r="J24" s="128" t="s">
        <v>12</v>
      </c>
      <c r="K24" s="130" t="s">
        <v>294</v>
      </c>
      <c r="L24" s="131">
        <f t="shared" si="11"/>
        <v>91</v>
      </c>
      <c r="M24" s="137">
        <f t="shared" si="12"/>
        <v>88</v>
      </c>
      <c r="N24" s="27"/>
      <c r="O24" s="3" t="str">
        <f t="shared" si="13"/>
        <v/>
      </c>
      <c r="P24" s="3" t="str">
        <f t="shared" si="14"/>
        <v/>
      </c>
      <c r="Q24" s="3" t="str">
        <f t="shared" si="15"/>
        <v/>
      </c>
      <c r="R24" s="4" t="str">
        <f t="shared" si="16"/>
        <v/>
      </c>
      <c r="S24" s="5" t="str">
        <f t="shared" si="0"/>
        <v/>
      </c>
      <c r="T24" s="75" t="str">
        <f t="shared" si="1"/>
        <v/>
      </c>
      <c r="U24" s="75" t="str">
        <f t="shared" si="17"/>
        <v/>
      </c>
      <c r="V24" s="5" t="str">
        <f t="shared" si="2"/>
        <v/>
      </c>
      <c r="W24" s="5" t="str">
        <f t="shared" si="3"/>
        <v/>
      </c>
      <c r="X24" s="5" t="str">
        <f t="shared" si="4"/>
        <v/>
      </c>
      <c r="Y24" s="71" t="str">
        <f t="shared" si="5"/>
        <v/>
      </c>
      <c r="Z24" s="31" t="str">
        <f t="shared" si="18"/>
        <v/>
      </c>
      <c r="AA24" s="31" t="str">
        <f t="shared" si="19"/>
        <v/>
      </c>
      <c r="AB24" s="31" t="str">
        <f t="shared" si="20"/>
        <v/>
      </c>
      <c r="AC24" s="31" t="str">
        <f t="shared" si="6"/>
        <v/>
      </c>
      <c r="AD24" s="132"/>
      <c r="AE24" s="133" t="str">
        <f t="shared" si="21"/>
        <v/>
      </c>
      <c r="AF24" s="134"/>
      <c r="AG24" s="135"/>
      <c r="AH24" s="135"/>
      <c r="AI24" s="136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t="str">
        <v/>
      </c>
      <c r="BS24" t="str">
        <v/>
      </c>
      <c r="BU24" s="150" t="str" cm="1">
        <f t="array" ref="BU24">IF(BR24="","",_xlfn._xlws.FILTER($AJ$4:$BP$4,ISNUMBER(SEARCH(BR24,$AJ$4:$BP$4))))</f>
        <v/>
      </c>
      <c r="BV24" s="151"/>
      <c r="BW24" s="151"/>
      <c r="BX24" s="151"/>
      <c r="BY24" s="151" t="str" cm="1">
        <f t="array" ref="BY24">IF(BU24="","",IF(AND(MID(BU24,1,1)=MID(BU24:BX24,1,1)),"TRUE","FALSE"))</f>
        <v/>
      </c>
      <c r="CA24" s="158" t="str">
        <f t="shared" si="7"/>
        <v/>
      </c>
      <c r="CB24" s="62" t="str">
        <f t="shared" si="8"/>
        <v/>
      </c>
      <c r="CC24" s="62" t="str">
        <f t="shared" si="9"/>
        <v/>
      </c>
      <c r="CD24" s="62" t="str">
        <f t="shared" si="10"/>
        <v/>
      </c>
      <c r="CE24" s="155" t="str">
        <v/>
      </c>
      <c r="GL24" s="77"/>
      <c r="HX24" s="77"/>
      <c r="JO24" s="77"/>
      <c r="PT24" s="77"/>
      <c r="VL24" s="77"/>
      <c r="WS24" s="77"/>
      <c r="ZL24" s="77"/>
      <c r="AAI24" s="77"/>
      <c r="AII24" s="77"/>
      <c r="AKE24" s="77"/>
      <c r="AKP24" s="77"/>
      <c r="BBS24" s="77"/>
      <c r="BEY24" s="77"/>
      <c r="BRD24" s="77"/>
      <c r="BRY24" s="77"/>
      <c r="BUD24" s="77"/>
      <c r="BXG24" s="77"/>
      <c r="BZM24" s="77"/>
      <c r="CGD24" s="77"/>
      <c r="CGP24" s="77"/>
      <c r="CHJ24" s="77"/>
      <c r="CLG24" s="77"/>
      <c r="CNA24" s="77"/>
      <c r="CQR24" s="77"/>
      <c r="CYC24" s="77"/>
      <c r="DAQ24" s="77"/>
      <c r="DDT24" s="77"/>
      <c r="DHI24" s="77"/>
      <c r="DHL24" s="77"/>
      <c r="DIB24" s="77"/>
      <c r="DNT24" s="77"/>
      <c r="DOS24" s="77"/>
      <c r="DZO24" s="77"/>
    </row>
    <row r="25" spans="1:1010 1028:2041 2080:3065 3088:3478" ht="15" customHeight="1">
      <c r="A25" s="17">
        <v>18</v>
      </c>
      <c r="B25" s="127" t="s">
        <v>308</v>
      </c>
      <c r="C25" s="128" t="s">
        <v>271</v>
      </c>
      <c r="D25" s="98" t="s">
        <v>374</v>
      </c>
      <c r="E25" s="99">
        <v>1.5</v>
      </c>
      <c r="F25" s="128" t="s">
        <v>45</v>
      </c>
      <c r="G25" s="143">
        <v>90</v>
      </c>
      <c r="H25" s="143">
        <v>1</v>
      </c>
      <c r="I25" s="143">
        <v>-2</v>
      </c>
      <c r="J25" s="128" t="s">
        <v>12</v>
      </c>
      <c r="K25" s="130" t="s">
        <v>294</v>
      </c>
      <c r="L25" s="131">
        <f t="shared" si="11"/>
        <v>91</v>
      </c>
      <c r="M25" s="137">
        <f t="shared" si="12"/>
        <v>88</v>
      </c>
      <c r="N25" s="27"/>
      <c r="O25" s="3" t="str">
        <f t="shared" si="13"/>
        <v/>
      </c>
      <c r="P25" s="3" t="str">
        <f t="shared" si="14"/>
        <v/>
      </c>
      <c r="Q25" s="3" t="str">
        <f t="shared" si="15"/>
        <v/>
      </c>
      <c r="R25" s="4" t="str">
        <f t="shared" si="16"/>
        <v/>
      </c>
      <c r="S25" s="5" t="str">
        <f t="shared" si="0"/>
        <v/>
      </c>
      <c r="T25" s="75" t="str">
        <f t="shared" si="1"/>
        <v/>
      </c>
      <c r="U25" s="75" t="str">
        <f t="shared" si="17"/>
        <v/>
      </c>
      <c r="V25" s="5" t="str">
        <f t="shared" si="2"/>
        <v/>
      </c>
      <c r="W25" s="5" t="str">
        <f t="shared" si="3"/>
        <v/>
      </c>
      <c r="X25" s="5" t="str">
        <f t="shared" si="4"/>
        <v/>
      </c>
      <c r="Y25" s="71" t="str">
        <f t="shared" si="5"/>
        <v/>
      </c>
      <c r="Z25" s="31" t="str">
        <f t="shared" si="18"/>
        <v/>
      </c>
      <c r="AA25" s="31" t="str">
        <f t="shared" si="19"/>
        <v/>
      </c>
      <c r="AB25" s="31" t="str">
        <f t="shared" si="20"/>
        <v/>
      </c>
      <c r="AC25" s="31" t="str">
        <f t="shared" si="6"/>
        <v/>
      </c>
      <c r="AD25" s="132"/>
      <c r="AE25" s="133" t="str">
        <f t="shared" si="21"/>
        <v/>
      </c>
      <c r="AF25" s="134"/>
      <c r="AG25" s="135"/>
      <c r="AH25" s="135"/>
      <c r="AI25" s="136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t="str">
        <v/>
      </c>
      <c r="BS25" t="str">
        <v/>
      </c>
      <c r="BU25" s="150" t="str" cm="1">
        <f t="array" ref="BU25">IF(BR25="","",_xlfn._xlws.FILTER($AJ$4:$BP$4,ISNUMBER(SEARCH(BR25,$AJ$4:$BP$4))))</f>
        <v/>
      </c>
      <c r="BV25" s="151"/>
      <c r="BW25" s="151"/>
      <c r="BX25" s="151"/>
      <c r="BY25" s="151" t="str" cm="1">
        <f t="array" ref="BY25">IF(BU25="","",IF(AND(MID(BU25,1,1)=MID(BU25:BX25,1,1)),"TRUE","FALSE"))</f>
        <v/>
      </c>
      <c r="CA25" s="158" t="str">
        <f t="shared" si="7"/>
        <v/>
      </c>
      <c r="CB25" s="62" t="str">
        <f t="shared" si="8"/>
        <v/>
      </c>
      <c r="CC25" s="62" t="str">
        <f t="shared" si="9"/>
        <v/>
      </c>
      <c r="CD25" s="62" t="str">
        <f t="shared" si="10"/>
        <v/>
      </c>
      <c r="CE25" s="155" t="str">
        <v/>
      </c>
      <c r="GL25" s="77"/>
      <c r="HX25" s="77"/>
      <c r="JO25" s="77"/>
      <c r="VL25" s="77"/>
      <c r="WS25" s="77"/>
      <c r="ZL25" s="77"/>
      <c r="AAI25" s="77"/>
      <c r="AIB25" s="77"/>
      <c r="AII25" s="77"/>
      <c r="AKE25" s="77"/>
      <c r="AKP25" s="77"/>
      <c r="AOS25" s="77"/>
      <c r="BBS25" s="77"/>
      <c r="BEY25" s="77"/>
      <c r="BRY25" s="77"/>
      <c r="BUD25" s="77"/>
      <c r="BXU25" s="77"/>
      <c r="BZM25" s="77"/>
      <c r="CGD25" s="77"/>
      <c r="CLG25" s="77"/>
      <c r="CNA25" s="77"/>
      <c r="CQR25" s="77"/>
      <c r="CYC25" s="77"/>
      <c r="DDT25" s="77"/>
      <c r="DHI25" s="77"/>
      <c r="DHL25" s="77"/>
      <c r="DIB25" s="77"/>
      <c r="DNT25" s="77"/>
      <c r="DOS25" s="77"/>
      <c r="DQJ25" s="77"/>
      <c r="DZO25" s="77"/>
    </row>
    <row r="26" spans="1:1010 1028:2041 2080:3065 3088:3478" ht="15" customHeight="1">
      <c r="A26" s="17">
        <v>19</v>
      </c>
      <c r="B26" s="127" t="s">
        <v>309</v>
      </c>
      <c r="C26" s="128" t="s">
        <v>272</v>
      </c>
      <c r="D26" s="98" t="s">
        <v>374</v>
      </c>
      <c r="E26" s="99">
        <v>1.5</v>
      </c>
      <c r="F26" s="128" t="s">
        <v>45</v>
      </c>
      <c r="G26" s="143">
        <v>90</v>
      </c>
      <c r="H26" s="143">
        <v>1</v>
      </c>
      <c r="I26" s="143">
        <v>-2</v>
      </c>
      <c r="J26" s="128" t="s">
        <v>12</v>
      </c>
      <c r="K26" s="130" t="s">
        <v>294</v>
      </c>
      <c r="L26" s="131">
        <f t="shared" si="11"/>
        <v>91</v>
      </c>
      <c r="M26" s="137">
        <f t="shared" si="12"/>
        <v>88</v>
      </c>
      <c r="N26" s="27"/>
      <c r="O26" s="3" t="str">
        <f t="shared" si="13"/>
        <v/>
      </c>
      <c r="P26" s="3" t="str">
        <f t="shared" si="14"/>
        <v/>
      </c>
      <c r="Q26" s="3" t="str">
        <f t="shared" si="15"/>
        <v/>
      </c>
      <c r="R26" s="4" t="str">
        <f t="shared" si="16"/>
        <v/>
      </c>
      <c r="S26" s="5" t="str">
        <f t="shared" si="0"/>
        <v/>
      </c>
      <c r="T26" s="75" t="str">
        <f t="shared" si="1"/>
        <v/>
      </c>
      <c r="U26" s="75" t="str">
        <f t="shared" si="17"/>
        <v/>
      </c>
      <c r="V26" s="5" t="str">
        <f t="shared" si="2"/>
        <v/>
      </c>
      <c r="W26" s="5" t="str">
        <f t="shared" si="3"/>
        <v/>
      </c>
      <c r="X26" s="5" t="str">
        <f t="shared" si="4"/>
        <v/>
      </c>
      <c r="Y26" s="71" t="str">
        <f t="shared" si="5"/>
        <v/>
      </c>
      <c r="Z26" s="31" t="str">
        <f t="shared" si="18"/>
        <v/>
      </c>
      <c r="AA26" s="31" t="str">
        <f t="shared" si="19"/>
        <v/>
      </c>
      <c r="AB26" s="31" t="str">
        <f t="shared" si="20"/>
        <v/>
      </c>
      <c r="AC26" s="31" t="str">
        <f t="shared" si="6"/>
        <v/>
      </c>
      <c r="AD26" s="132"/>
      <c r="AE26" s="133" t="str">
        <f t="shared" si="21"/>
        <v/>
      </c>
      <c r="AF26" s="134"/>
      <c r="AG26" s="135"/>
      <c r="AH26" s="135"/>
      <c r="AI26" s="136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t="str">
        <v/>
      </c>
      <c r="BS26" t="str">
        <v/>
      </c>
      <c r="BU26" s="150" t="str" cm="1">
        <f t="array" ref="BU26">IF(BR26="","",_xlfn._xlws.FILTER($AJ$4:$BP$4,ISNUMBER(SEARCH(BR26,$AJ$4:$BP$4))))</f>
        <v/>
      </c>
      <c r="BV26" s="151"/>
      <c r="BW26" s="151"/>
      <c r="BX26" s="151"/>
      <c r="BY26" s="151" t="str" cm="1">
        <f t="array" ref="BY26">IF(BU26="","",IF(AND(MID(BU26,1,1)=MID(BU26:BX26,1,1)),"TRUE","FALSE"))</f>
        <v/>
      </c>
      <c r="CA26" s="158" t="str">
        <f t="shared" si="7"/>
        <v/>
      </c>
      <c r="CB26" s="62" t="str">
        <f t="shared" si="8"/>
        <v/>
      </c>
      <c r="CC26" s="62" t="str">
        <f t="shared" si="9"/>
        <v/>
      </c>
      <c r="CD26" s="62" t="str">
        <f t="shared" si="10"/>
        <v/>
      </c>
      <c r="CE26" s="155" t="str">
        <v/>
      </c>
      <c r="DV26" s="77"/>
      <c r="FP26" s="77"/>
      <c r="OX26" s="77"/>
      <c r="PD26" s="77"/>
      <c r="UI26" s="77"/>
      <c r="VZ26" s="77"/>
      <c r="WE26" s="77"/>
      <c r="YP26" s="77"/>
      <c r="ACQ26" s="77"/>
      <c r="ACT26" s="77"/>
      <c r="AFE26" s="77"/>
      <c r="AFO26" s="77"/>
      <c r="AFX26" s="77"/>
      <c r="AGE26" s="77"/>
      <c r="AGR26" s="77"/>
      <c r="AHC26" s="77"/>
      <c r="AHL26" s="77"/>
      <c r="AIE26" s="77"/>
      <c r="ANQ26" s="77"/>
      <c r="AOE26" s="77"/>
      <c r="APQ26" s="77"/>
      <c r="BTW26" s="77"/>
      <c r="DMK26" s="77"/>
      <c r="DRZ26" s="77"/>
    </row>
    <row r="27" spans="1:1010 1028:2041 2080:3065 3088:3478" ht="15" customHeight="1">
      <c r="A27" s="17">
        <v>20</v>
      </c>
      <c r="B27" s="127" t="s">
        <v>310</v>
      </c>
      <c r="C27" s="128" t="s">
        <v>272</v>
      </c>
      <c r="D27" s="98" t="s">
        <v>374</v>
      </c>
      <c r="E27" s="99">
        <v>1.5</v>
      </c>
      <c r="F27" s="128" t="s">
        <v>45</v>
      </c>
      <c r="G27" s="143">
        <v>90</v>
      </c>
      <c r="H27" s="143">
        <v>1</v>
      </c>
      <c r="I27" s="143">
        <v>-2</v>
      </c>
      <c r="J27" s="128" t="s">
        <v>12</v>
      </c>
      <c r="K27" s="130" t="s">
        <v>294</v>
      </c>
      <c r="L27" s="131">
        <f t="shared" si="11"/>
        <v>91</v>
      </c>
      <c r="M27" s="137">
        <f t="shared" si="12"/>
        <v>88</v>
      </c>
      <c r="N27" s="27"/>
      <c r="O27" s="3" t="str">
        <f t="shared" si="13"/>
        <v/>
      </c>
      <c r="P27" s="3" t="str">
        <f t="shared" si="14"/>
        <v/>
      </c>
      <c r="Q27" s="3" t="str">
        <f t="shared" si="15"/>
        <v/>
      </c>
      <c r="R27" s="4" t="str">
        <f t="shared" si="16"/>
        <v/>
      </c>
      <c r="S27" s="5" t="str">
        <f t="shared" si="0"/>
        <v/>
      </c>
      <c r="T27" s="75" t="str">
        <f t="shared" si="1"/>
        <v/>
      </c>
      <c r="U27" s="75" t="str">
        <f t="shared" si="17"/>
        <v/>
      </c>
      <c r="V27" s="5" t="str">
        <f t="shared" si="2"/>
        <v/>
      </c>
      <c r="W27" s="5" t="str">
        <f t="shared" si="3"/>
        <v/>
      </c>
      <c r="X27" s="5" t="str">
        <f t="shared" si="4"/>
        <v/>
      </c>
      <c r="Y27" s="71" t="str">
        <f t="shared" si="5"/>
        <v/>
      </c>
      <c r="Z27" s="31" t="str">
        <f t="shared" si="18"/>
        <v/>
      </c>
      <c r="AA27" s="31" t="str">
        <f t="shared" si="19"/>
        <v/>
      </c>
      <c r="AB27" s="31" t="str">
        <f t="shared" si="20"/>
        <v/>
      </c>
      <c r="AC27" s="31" t="str">
        <f t="shared" si="6"/>
        <v/>
      </c>
      <c r="AD27" s="132"/>
      <c r="AE27" s="133" t="str">
        <f t="shared" si="21"/>
        <v/>
      </c>
      <c r="AF27" s="134"/>
      <c r="AG27" s="135"/>
      <c r="AH27" s="135"/>
      <c r="AI27" s="136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t="str">
        <v/>
      </c>
      <c r="BS27" t="str">
        <v/>
      </c>
      <c r="BU27" s="150" t="str" cm="1">
        <f t="array" ref="BU27">IF(BR27="","",_xlfn._xlws.FILTER($AJ$4:$BP$4,ISNUMBER(SEARCH(BR27,$AJ$4:$BP$4))))</f>
        <v/>
      </c>
      <c r="BV27" s="151"/>
      <c r="BW27" s="151"/>
      <c r="BX27" s="151"/>
      <c r="BY27" s="151" t="str" cm="1">
        <f t="array" ref="BY27">IF(BU27="","",IF(AND(MID(BU27,1,1)=MID(BU27:BX27,1,1)),"TRUE","FALSE"))</f>
        <v/>
      </c>
      <c r="CA27" s="158" t="str">
        <f t="shared" si="7"/>
        <v/>
      </c>
      <c r="CB27" s="62" t="str">
        <f t="shared" si="8"/>
        <v/>
      </c>
      <c r="CC27" s="62" t="str">
        <f t="shared" si="9"/>
        <v/>
      </c>
      <c r="CD27" s="62" t="str">
        <f t="shared" si="10"/>
        <v/>
      </c>
      <c r="CE27" s="155" t="str">
        <v/>
      </c>
      <c r="HK27" s="77"/>
      <c r="SY27" s="77"/>
      <c r="TS27" s="77"/>
      <c r="WS27" s="77"/>
      <c r="WZ27" s="77"/>
      <c r="XI27" s="77"/>
      <c r="XR27" s="77"/>
      <c r="AAI27" s="77"/>
      <c r="AAW27" s="77"/>
      <c r="ABY27" s="77"/>
      <c r="ACT27" s="77"/>
      <c r="ACZ27" s="77"/>
      <c r="AFX27" s="77"/>
      <c r="AGH27" s="77"/>
      <c r="AGT27" s="77"/>
      <c r="AKP27" s="77"/>
      <c r="ATS27" s="77"/>
      <c r="AUG27" s="77"/>
      <c r="BCN27" s="77"/>
      <c r="BHT27" s="77"/>
      <c r="BKU27" s="77"/>
      <c r="BPF27" s="77"/>
      <c r="BXT27" s="77"/>
      <c r="BXW27" s="77"/>
      <c r="BYZ27" s="77"/>
      <c r="CDF27" s="77"/>
      <c r="CDQ27" s="77"/>
      <c r="CZW27" s="77"/>
      <c r="DCI27" s="77"/>
      <c r="DHV27" s="77"/>
      <c r="DLI27" s="77"/>
      <c r="DUH27" s="77"/>
    </row>
    <row r="28" spans="1:1010 1028:2041 2080:3065 3088:3478" ht="15" customHeight="1">
      <c r="A28" s="17">
        <v>21</v>
      </c>
      <c r="B28" s="127" t="s">
        <v>311</v>
      </c>
      <c r="C28" s="128" t="s">
        <v>105</v>
      </c>
      <c r="D28" s="98" t="s">
        <v>197</v>
      </c>
      <c r="E28" s="99">
        <v>1.5</v>
      </c>
      <c r="F28" s="128" t="s">
        <v>45</v>
      </c>
      <c r="G28" s="143">
        <v>0.122</v>
      </c>
      <c r="H28" s="143">
        <v>0.01</v>
      </c>
      <c r="I28" s="143">
        <v>-0.02</v>
      </c>
      <c r="J28" s="128" t="s">
        <v>12</v>
      </c>
      <c r="K28" s="130" t="s">
        <v>294</v>
      </c>
      <c r="L28" s="131">
        <f t="shared" si="11"/>
        <v>0.13200000000000001</v>
      </c>
      <c r="M28" s="137">
        <f t="shared" si="12"/>
        <v>0.10199999999999999</v>
      </c>
      <c r="N28" s="27"/>
      <c r="O28" s="3" t="str">
        <f t="shared" si="13"/>
        <v/>
      </c>
      <c r="P28" s="3" t="str">
        <f t="shared" si="14"/>
        <v/>
      </c>
      <c r="Q28" s="3" t="str">
        <f t="shared" si="15"/>
        <v/>
      </c>
      <c r="R28" s="4" t="str">
        <f t="shared" si="16"/>
        <v/>
      </c>
      <c r="S28" s="5" t="str">
        <f t="shared" si="0"/>
        <v/>
      </c>
      <c r="T28" s="75" t="str">
        <f t="shared" si="1"/>
        <v/>
      </c>
      <c r="U28" s="75" t="str">
        <f t="shared" si="17"/>
        <v/>
      </c>
      <c r="V28" s="5" t="str">
        <f t="shared" si="2"/>
        <v/>
      </c>
      <c r="W28" s="5" t="str">
        <f t="shared" si="3"/>
        <v/>
      </c>
      <c r="X28" s="5" t="str">
        <f t="shared" si="4"/>
        <v/>
      </c>
      <c r="Y28" s="71" t="str">
        <f t="shared" si="5"/>
        <v/>
      </c>
      <c r="Z28" s="31" t="str">
        <f t="shared" si="18"/>
        <v/>
      </c>
      <c r="AA28" s="31" t="str">
        <f t="shared" si="19"/>
        <v/>
      </c>
      <c r="AB28" s="31" t="str">
        <f t="shared" si="20"/>
        <v/>
      </c>
      <c r="AC28" s="31" t="str">
        <f t="shared" si="6"/>
        <v/>
      </c>
      <c r="AD28" s="132"/>
      <c r="AE28" s="133" t="str">
        <f t="shared" si="21"/>
        <v/>
      </c>
      <c r="AF28" s="134"/>
      <c r="AG28" s="135"/>
      <c r="AH28" s="135"/>
      <c r="AI28" s="136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t="str">
        <v/>
      </c>
      <c r="BS28" t="str">
        <v/>
      </c>
      <c r="BU28" s="150" t="str" cm="1">
        <f t="array" ref="BU28">IF(BR28="","",_xlfn._xlws.FILTER($AJ$4:$BP$4,ISNUMBER(SEARCH(BR28,$AJ$4:$BP$4))))</f>
        <v/>
      </c>
      <c r="BV28" s="151"/>
      <c r="BW28" s="151"/>
      <c r="BX28" s="151"/>
      <c r="BY28" s="151" t="str" cm="1">
        <f t="array" ref="BY28">IF(BU28="","",IF(AND(MID(BU28,1,1)=MID(BU28:BX28,1,1)),"TRUE","FALSE"))</f>
        <v/>
      </c>
      <c r="CA28" s="158" t="str">
        <f t="shared" si="7"/>
        <v/>
      </c>
      <c r="CB28" s="62" t="str">
        <f t="shared" si="8"/>
        <v/>
      </c>
      <c r="CC28" s="62" t="str">
        <f t="shared" si="9"/>
        <v/>
      </c>
      <c r="CD28" s="62" t="str">
        <f t="shared" si="10"/>
        <v/>
      </c>
      <c r="CE28" s="155" t="str">
        <v/>
      </c>
      <c r="DE28" s="77"/>
      <c r="FJ28" s="77"/>
      <c r="KO28" s="77"/>
      <c r="KT28" s="77"/>
      <c r="QI28" s="77"/>
      <c r="TH28" s="77"/>
      <c r="VL28" s="77"/>
      <c r="XZ28" s="77"/>
      <c r="YX28" s="77"/>
      <c r="AOI28" s="77"/>
      <c r="ASX28" s="77"/>
      <c r="AZC28" s="77"/>
      <c r="BGB28" s="77"/>
      <c r="BIG28" s="77"/>
      <c r="BOW28" s="77"/>
      <c r="BPP28" s="77"/>
      <c r="BSV28" s="77"/>
      <c r="BZL28" s="77"/>
      <c r="CAZ28" s="77"/>
      <c r="CMJ28" s="77"/>
      <c r="CNS28" s="77"/>
      <c r="CUX28" s="77"/>
      <c r="CZO28" s="77"/>
      <c r="DBJ28" s="77"/>
      <c r="DDK28" s="77"/>
      <c r="DGD28" s="77"/>
      <c r="DGT28" s="77"/>
      <c r="DHL28" s="77"/>
      <c r="DJU28" s="77"/>
      <c r="DLK28" s="77"/>
      <c r="DSO28" s="77"/>
      <c r="DVA28" s="77"/>
      <c r="DXU28" s="77"/>
      <c r="EAK28" s="77"/>
    </row>
    <row r="29" spans="1:1010 1028:2041 2080:3065 3088:3478" ht="15" customHeight="1">
      <c r="A29" s="17">
        <v>22</v>
      </c>
      <c r="B29" s="127" t="s">
        <v>312</v>
      </c>
      <c r="C29" s="128" t="s">
        <v>106</v>
      </c>
      <c r="D29" s="98" t="s">
        <v>197</v>
      </c>
      <c r="E29" s="99">
        <v>1.5</v>
      </c>
      <c r="F29" s="128" t="s">
        <v>45</v>
      </c>
      <c r="G29" s="129">
        <v>0.122</v>
      </c>
      <c r="H29" s="143">
        <v>0.01</v>
      </c>
      <c r="I29" s="143">
        <v>-0.02</v>
      </c>
      <c r="J29" s="128" t="s">
        <v>12</v>
      </c>
      <c r="K29" s="130" t="s">
        <v>293</v>
      </c>
      <c r="L29" s="131">
        <f t="shared" si="11"/>
        <v>0.13200000000000001</v>
      </c>
      <c r="M29" s="137">
        <f t="shared" si="12"/>
        <v>0.10199999999999999</v>
      </c>
      <c r="N29" s="27"/>
      <c r="O29" s="3" t="str">
        <f t="shared" si="13"/>
        <v/>
      </c>
      <c r="P29" s="3" t="str">
        <f t="shared" si="14"/>
        <v/>
      </c>
      <c r="Q29" s="3" t="str">
        <f t="shared" si="15"/>
        <v/>
      </c>
      <c r="R29" s="4" t="str">
        <f t="shared" si="16"/>
        <v/>
      </c>
      <c r="S29" s="5" t="str">
        <f t="shared" si="0"/>
        <v/>
      </c>
      <c r="T29" s="75" t="str">
        <f t="shared" si="1"/>
        <v/>
      </c>
      <c r="U29" s="75" t="str">
        <f t="shared" si="17"/>
        <v/>
      </c>
      <c r="V29" s="5" t="str">
        <f t="shared" si="2"/>
        <v/>
      </c>
      <c r="W29" s="5" t="str">
        <f t="shared" si="3"/>
        <v/>
      </c>
      <c r="X29" s="5" t="str">
        <f t="shared" si="4"/>
        <v/>
      </c>
      <c r="Y29" s="71" t="str">
        <f t="shared" si="5"/>
        <v/>
      </c>
      <c r="Z29" s="31" t="str">
        <f t="shared" si="18"/>
        <v/>
      </c>
      <c r="AA29" s="31" t="str">
        <f t="shared" si="19"/>
        <v/>
      </c>
      <c r="AB29" s="31" t="str">
        <f t="shared" si="20"/>
        <v/>
      </c>
      <c r="AC29" s="31" t="str">
        <f t="shared" si="6"/>
        <v/>
      </c>
      <c r="AD29" s="132"/>
      <c r="AE29" s="133" t="str">
        <f t="shared" si="21"/>
        <v/>
      </c>
      <c r="AF29" s="134"/>
      <c r="AG29" s="135"/>
      <c r="AH29" s="135"/>
      <c r="AI29" s="136"/>
      <c r="AJ29" s="19"/>
      <c r="AK29" s="2"/>
      <c r="AL29" s="2"/>
      <c r="AM29" s="2"/>
      <c r="AN29" s="2"/>
      <c r="AO29" s="2"/>
      <c r="AP29" s="138"/>
      <c r="AQ29" s="2"/>
      <c r="AR29" s="2"/>
      <c r="AS29" s="2"/>
      <c r="AT29" s="2"/>
      <c r="AU29" s="138"/>
      <c r="AV29" s="2"/>
      <c r="AW29" s="2"/>
      <c r="AX29" s="2"/>
      <c r="AY29" s="2"/>
      <c r="AZ29" s="138"/>
      <c r="BA29" s="2"/>
      <c r="BB29" s="2"/>
      <c r="BC29" s="2"/>
      <c r="BD29" s="2"/>
      <c r="BE29" s="2"/>
      <c r="BF29" s="138"/>
      <c r="BG29" s="2"/>
      <c r="BH29" s="2"/>
      <c r="BI29" s="2"/>
      <c r="BJ29" s="2"/>
      <c r="BK29" s="138"/>
      <c r="BL29" s="2"/>
      <c r="BM29" s="2"/>
      <c r="BN29" s="2"/>
      <c r="BO29" s="2"/>
      <c r="BP29" s="138"/>
      <c r="BQ29" t="str">
        <v/>
      </c>
      <c r="BS29" t="str">
        <v/>
      </c>
      <c r="BU29" s="150" t="str" cm="1">
        <f t="array" ref="BU29">IF(BR29="","",_xlfn._xlws.FILTER($AJ$4:$BP$4,ISNUMBER(SEARCH(BR29,$AJ$4:$BP$4))))</f>
        <v/>
      </c>
      <c r="BV29" s="151"/>
      <c r="BW29" s="151"/>
      <c r="BX29" s="151"/>
      <c r="BY29" s="151" t="str" cm="1">
        <f t="array" ref="BY29">IF(BU29="","",IF(AND(MID(BU29,1,1)=MID(BU29:BX29,1,1)),"TRUE","FALSE"))</f>
        <v/>
      </c>
      <c r="CA29" s="158" t="str">
        <f t="shared" si="7"/>
        <v/>
      </c>
      <c r="CB29" s="62" t="str">
        <f t="shared" si="8"/>
        <v/>
      </c>
      <c r="CC29" s="62" t="str">
        <f t="shared" si="9"/>
        <v/>
      </c>
      <c r="CD29" s="62" t="str">
        <f t="shared" si="10"/>
        <v/>
      </c>
      <c r="CE29" s="155" t="str">
        <v/>
      </c>
      <c r="DZ29" s="77"/>
      <c r="OY29" s="77"/>
      <c r="VG29" s="77"/>
      <c r="VQ29" s="77"/>
      <c r="VX29" s="77"/>
      <c r="YM29" s="77"/>
      <c r="AAA29" s="77"/>
      <c r="AGS29" s="77"/>
      <c r="ALR29" s="77"/>
      <c r="ANW29" s="77"/>
      <c r="AUP29" s="77"/>
      <c r="BGB29" s="77"/>
      <c r="BLF29" s="77"/>
      <c r="BMV29" s="77"/>
      <c r="BNN29" s="77"/>
      <c r="BSV29" s="77"/>
      <c r="BZB29" s="77"/>
      <c r="CDI29" s="77"/>
      <c r="CNV29" s="77"/>
      <c r="CQV29" s="77"/>
      <c r="CWK29" s="77"/>
      <c r="CYB29" s="77"/>
      <c r="CYG29" s="77"/>
      <c r="CZI29" s="77"/>
      <c r="DHY29" s="77"/>
      <c r="DKE29" s="77"/>
      <c r="DMW29" s="77"/>
      <c r="DNV29" s="77"/>
      <c r="DOA29" s="77"/>
      <c r="DRZ29" s="77"/>
      <c r="ECT29" s="77"/>
    </row>
    <row r="30" spans="1:1010 1028:2041 2080:3065 3088:3478" ht="15" customHeight="1">
      <c r="A30" s="17">
        <v>23</v>
      </c>
      <c r="B30" s="127" t="s">
        <v>313</v>
      </c>
      <c r="C30" s="128" t="s">
        <v>107</v>
      </c>
      <c r="D30" s="98" t="s">
        <v>197</v>
      </c>
      <c r="E30" s="99">
        <v>1.33</v>
      </c>
      <c r="F30" s="128" t="s">
        <v>45</v>
      </c>
      <c r="G30" s="143">
        <v>7.8E-2</v>
      </c>
      <c r="H30" s="143">
        <v>0.01</v>
      </c>
      <c r="I30" s="143">
        <v>-0.02</v>
      </c>
      <c r="J30" s="128" t="s">
        <v>12</v>
      </c>
      <c r="K30" s="130" t="s">
        <v>293</v>
      </c>
      <c r="L30" s="131">
        <f t="shared" si="11"/>
        <v>8.7999999999999995E-2</v>
      </c>
      <c r="M30" s="137">
        <f t="shared" si="12"/>
        <v>5.7999999999999996E-2</v>
      </c>
      <c r="N30" s="27"/>
      <c r="O30" s="3" t="str">
        <f t="shared" si="13"/>
        <v/>
      </c>
      <c r="P30" s="3" t="str">
        <f t="shared" si="14"/>
        <v/>
      </c>
      <c r="Q30" s="3" t="str">
        <f t="shared" si="15"/>
        <v/>
      </c>
      <c r="R30" s="4" t="str">
        <f t="shared" si="16"/>
        <v/>
      </c>
      <c r="S30" s="5" t="str">
        <f t="shared" si="0"/>
        <v/>
      </c>
      <c r="T30" s="75" t="str">
        <f t="shared" si="1"/>
        <v/>
      </c>
      <c r="U30" s="75" t="str">
        <f t="shared" si="17"/>
        <v/>
      </c>
      <c r="V30" s="5" t="str">
        <f t="shared" si="2"/>
        <v/>
      </c>
      <c r="W30" s="5" t="str">
        <f t="shared" si="3"/>
        <v/>
      </c>
      <c r="X30" s="5" t="str">
        <f t="shared" si="4"/>
        <v/>
      </c>
      <c r="Y30" s="71" t="str">
        <f t="shared" si="5"/>
        <v/>
      </c>
      <c r="Z30" s="31" t="str">
        <f t="shared" si="18"/>
        <v/>
      </c>
      <c r="AA30" s="31" t="str">
        <f t="shared" si="19"/>
        <v/>
      </c>
      <c r="AB30" s="31" t="str">
        <f t="shared" si="20"/>
        <v/>
      </c>
      <c r="AC30" s="31" t="str">
        <f t="shared" si="6"/>
        <v/>
      </c>
      <c r="AD30" s="132"/>
      <c r="AE30" s="133" t="str">
        <f t="shared" si="21"/>
        <v/>
      </c>
      <c r="AF30" s="134"/>
      <c r="AG30" s="135"/>
      <c r="AH30" s="135"/>
      <c r="AI30" s="136"/>
      <c r="AJ30" s="1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t="str">
        <v/>
      </c>
      <c r="BS30" t="str">
        <v/>
      </c>
      <c r="BU30" s="150" t="str" cm="1">
        <f t="array" ref="BU30">IF(BR30="","",_xlfn._xlws.FILTER($AJ$4:$BP$4,ISNUMBER(SEARCH(BR30,$AJ$4:$BP$4))))</f>
        <v/>
      </c>
      <c r="BV30" s="151"/>
      <c r="BW30" s="151"/>
      <c r="BX30" s="151"/>
      <c r="BY30" s="151" t="str" cm="1">
        <f t="array" ref="BY30">IF(BU30="","",IF(AND(MID(BU30,1,1)=MID(BU30:BX30,1,1)),"TRUE","FALSE"))</f>
        <v/>
      </c>
      <c r="CA30" s="158" t="str">
        <f t="shared" si="7"/>
        <v/>
      </c>
      <c r="CB30" s="62" t="str">
        <f t="shared" si="8"/>
        <v/>
      </c>
      <c r="CC30" s="62" t="str">
        <f t="shared" si="9"/>
        <v/>
      </c>
      <c r="CD30" s="62" t="str">
        <f t="shared" si="10"/>
        <v/>
      </c>
      <c r="CE30" s="155" t="str">
        <v/>
      </c>
    </row>
    <row r="31" spans="1:1010 1028:2041 2080:3065 3088:3478" ht="15" customHeight="1">
      <c r="A31" s="17">
        <v>24</v>
      </c>
      <c r="B31" s="127" t="s">
        <v>314</v>
      </c>
      <c r="C31" s="128" t="s">
        <v>118</v>
      </c>
      <c r="D31" s="98" t="s">
        <v>197</v>
      </c>
      <c r="E31" s="99">
        <v>1.33</v>
      </c>
      <c r="F31" s="128" t="s">
        <v>45</v>
      </c>
      <c r="G31" s="143">
        <v>7.8E-2</v>
      </c>
      <c r="H31" s="143">
        <v>0.01</v>
      </c>
      <c r="I31" s="143">
        <v>-0.02</v>
      </c>
      <c r="J31" s="128" t="s">
        <v>12</v>
      </c>
      <c r="K31" s="130" t="s">
        <v>293</v>
      </c>
      <c r="L31" s="131">
        <f t="shared" si="11"/>
        <v>8.7999999999999995E-2</v>
      </c>
      <c r="M31" s="137">
        <f t="shared" si="12"/>
        <v>5.7999999999999996E-2</v>
      </c>
      <c r="N31" s="27"/>
      <c r="O31" s="3" t="str">
        <f t="shared" si="13"/>
        <v/>
      </c>
      <c r="P31" s="3" t="str">
        <f t="shared" si="14"/>
        <v/>
      </c>
      <c r="Q31" s="3" t="str">
        <f t="shared" si="15"/>
        <v/>
      </c>
      <c r="R31" s="4" t="str">
        <f t="shared" si="16"/>
        <v/>
      </c>
      <c r="S31" s="5" t="str">
        <f t="shared" si="0"/>
        <v/>
      </c>
      <c r="T31" s="75" t="str">
        <f t="shared" si="1"/>
        <v/>
      </c>
      <c r="U31" s="75" t="str">
        <f t="shared" si="17"/>
        <v/>
      </c>
      <c r="V31" s="5" t="str">
        <f t="shared" si="2"/>
        <v/>
      </c>
      <c r="W31" s="5" t="str">
        <f t="shared" si="3"/>
        <v/>
      </c>
      <c r="X31" s="5" t="str">
        <f t="shared" si="4"/>
        <v/>
      </c>
      <c r="Y31" s="71" t="str">
        <f t="shared" si="5"/>
        <v/>
      </c>
      <c r="Z31" s="31" t="str">
        <f t="shared" si="18"/>
        <v/>
      </c>
      <c r="AA31" s="31" t="str">
        <f t="shared" si="19"/>
        <v/>
      </c>
      <c r="AB31" s="31" t="str">
        <f t="shared" si="20"/>
        <v/>
      </c>
      <c r="AC31" s="31" t="str">
        <f t="shared" si="6"/>
        <v/>
      </c>
      <c r="AD31" s="132"/>
      <c r="AE31" s="133" t="str">
        <f t="shared" si="21"/>
        <v/>
      </c>
      <c r="AF31" s="134"/>
      <c r="AG31" s="135"/>
      <c r="AH31" s="135"/>
      <c r="AI31" s="136"/>
      <c r="AJ31" s="19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t="str">
        <v/>
      </c>
      <c r="BS31" t="str">
        <v/>
      </c>
      <c r="BU31" s="150" t="str" cm="1">
        <f t="array" ref="BU31">IF(BR31="","",_xlfn._xlws.FILTER($AJ$4:$BP$4,ISNUMBER(SEARCH(BR31,$AJ$4:$BP$4))))</f>
        <v/>
      </c>
      <c r="BV31" s="151"/>
      <c r="BW31" s="151"/>
      <c r="BX31" s="151"/>
      <c r="BY31" s="151" t="str" cm="1">
        <f t="array" ref="BY31">IF(BU31="","",IF(AND(MID(BU31,1,1)=MID(BU31:BX31,1,1)),"TRUE","FALSE"))</f>
        <v/>
      </c>
      <c r="CA31" s="158" t="str">
        <f t="shared" si="7"/>
        <v/>
      </c>
      <c r="CB31" s="62" t="str">
        <f t="shared" si="8"/>
        <v/>
      </c>
      <c r="CC31" s="62" t="str">
        <f t="shared" si="9"/>
        <v/>
      </c>
      <c r="CD31" s="62" t="str">
        <f t="shared" si="10"/>
        <v/>
      </c>
      <c r="CE31" s="155" t="str">
        <v/>
      </c>
    </row>
    <row r="32" spans="1:1010 1028:2041 2080:3065 3088:3478" ht="15" customHeight="1">
      <c r="A32" s="17">
        <v>25</v>
      </c>
      <c r="B32" s="127" t="s">
        <v>315</v>
      </c>
      <c r="C32" s="128"/>
      <c r="D32" s="98" t="s">
        <v>199</v>
      </c>
      <c r="E32" s="99"/>
      <c r="F32" s="128" t="s">
        <v>45</v>
      </c>
      <c r="G32" s="143">
        <v>12.494</v>
      </c>
      <c r="H32" s="143">
        <v>0.03</v>
      </c>
      <c r="I32" s="143">
        <v>-0.03</v>
      </c>
      <c r="J32" s="128" t="s">
        <v>12</v>
      </c>
      <c r="K32" s="130" t="s">
        <v>293</v>
      </c>
      <c r="L32" s="131">
        <f t="shared" si="11"/>
        <v>12.523999999999999</v>
      </c>
      <c r="M32" s="137">
        <f t="shared" si="12"/>
        <v>12.464</v>
      </c>
      <c r="N32" s="27"/>
      <c r="O32" s="3" t="str">
        <f t="shared" si="13"/>
        <v/>
      </c>
      <c r="P32" s="3" t="str">
        <f t="shared" si="14"/>
        <v/>
      </c>
      <c r="Q32" s="3" t="str">
        <f t="shared" si="15"/>
        <v/>
      </c>
      <c r="R32" s="4" t="str">
        <f t="shared" si="16"/>
        <v/>
      </c>
      <c r="S32" s="5" t="str">
        <f t="shared" si="0"/>
        <v/>
      </c>
      <c r="T32" s="75" t="str">
        <f t="shared" si="1"/>
        <v/>
      </c>
      <c r="U32" s="75" t="str">
        <f t="shared" si="17"/>
        <v/>
      </c>
      <c r="V32" s="5" t="str">
        <f t="shared" si="2"/>
        <v/>
      </c>
      <c r="W32" s="5" t="str">
        <f t="shared" si="3"/>
        <v/>
      </c>
      <c r="X32" s="5" t="str">
        <f t="shared" si="4"/>
        <v/>
      </c>
      <c r="Y32" s="71" t="str">
        <f t="shared" si="5"/>
        <v/>
      </c>
      <c r="Z32" s="31" t="str">
        <f t="shared" si="18"/>
        <v/>
      </c>
      <c r="AA32" s="31" t="str">
        <f t="shared" si="19"/>
        <v/>
      </c>
      <c r="AB32" s="31" t="str">
        <f t="shared" si="20"/>
        <v/>
      </c>
      <c r="AC32" s="31" t="str">
        <f t="shared" si="6"/>
        <v/>
      </c>
      <c r="AD32" s="132"/>
      <c r="AE32" s="133" t="str">
        <f t="shared" si="21"/>
        <v/>
      </c>
      <c r="AF32" s="134"/>
      <c r="AG32" s="135"/>
      <c r="AH32" s="135"/>
      <c r="AI32" s="136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t="str">
        <v/>
      </c>
      <c r="BS32" t="str">
        <v/>
      </c>
      <c r="BU32" s="150" t="str" cm="1">
        <f t="array" ref="BU32">IF(BR32="","",_xlfn._xlws.FILTER($AJ$4:$BP$4,ISNUMBER(SEARCH(BR32,$AJ$4:$BP$4))))</f>
        <v/>
      </c>
      <c r="BV32" s="151"/>
      <c r="BW32" s="151"/>
      <c r="BX32" s="151"/>
      <c r="BY32" s="151" t="str" cm="1">
        <f t="array" ref="BY32">IF(BU32="","",IF(AND(MID(BU32,1,1)=MID(BU32:BX32,1,1)),"TRUE","FALSE"))</f>
        <v/>
      </c>
      <c r="CA32" s="158" t="str">
        <f t="shared" si="7"/>
        <v/>
      </c>
      <c r="CB32" s="62" t="str">
        <f t="shared" si="8"/>
        <v/>
      </c>
      <c r="CC32" s="62" t="str">
        <f t="shared" si="9"/>
        <v/>
      </c>
      <c r="CD32" s="62" t="str">
        <f t="shared" si="10"/>
        <v/>
      </c>
      <c r="CE32" s="155" t="str">
        <v/>
      </c>
    </row>
    <row r="33" spans="1:83" ht="15" customHeight="1">
      <c r="A33" s="17">
        <v>26</v>
      </c>
      <c r="B33" s="127" t="s">
        <v>316</v>
      </c>
      <c r="C33" s="128"/>
      <c r="D33" s="98" t="s">
        <v>199</v>
      </c>
      <c r="E33" s="99"/>
      <c r="F33" s="128" t="s">
        <v>45</v>
      </c>
      <c r="G33" s="143">
        <v>0.53300000000000003</v>
      </c>
      <c r="H33" s="143">
        <v>0.03</v>
      </c>
      <c r="I33" s="143">
        <v>-0.03</v>
      </c>
      <c r="J33" s="128" t="s">
        <v>12</v>
      </c>
      <c r="K33" s="130" t="s">
        <v>293</v>
      </c>
      <c r="L33" s="131">
        <f t="shared" si="11"/>
        <v>0.56300000000000006</v>
      </c>
      <c r="M33" s="137">
        <f t="shared" si="12"/>
        <v>0.503</v>
      </c>
      <c r="N33" s="27"/>
      <c r="O33" s="3" t="str">
        <f t="shared" si="13"/>
        <v/>
      </c>
      <c r="P33" s="3" t="str">
        <f t="shared" si="14"/>
        <v/>
      </c>
      <c r="Q33" s="3" t="str">
        <f t="shared" si="15"/>
        <v/>
      </c>
      <c r="R33" s="4" t="str">
        <f t="shared" si="16"/>
        <v/>
      </c>
      <c r="S33" s="5" t="str">
        <f t="shared" si="0"/>
        <v/>
      </c>
      <c r="T33" s="75" t="str">
        <f t="shared" si="1"/>
        <v/>
      </c>
      <c r="U33" s="75" t="str">
        <f t="shared" si="17"/>
        <v/>
      </c>
      <c r="V33" s="5" t="str">
        <f t="shared" si="2"/>
        <v/>
      </c>
      <c r="W33" s="5" t="str">
        <f t="shared" si="3"/>
        <v/>
      </c>
      <c r="X33" s="5" t="str">
        <f t="shared" si="4"/>
        <v/>
      </c>
      <c r="Y33" s="139" t="str">
        <f t="shared" si="5"/>
        <v/>
      </c>
      <c r="Z33" s="31" t="str">
        <f t="shared" si="18"/>
        <v/>
      </c>
      <c r="AA33" s="31" t="str">
        <f t="shared" si="19"/>
        <v/>
      </c>
      <c r="AB33" s="31" t="str">
        <f t="shared" si="20"/>
        <v/>
      </c>
      <c r="AC33" s="31" t="str">
        <f t="shared" si="6"/>
        <v/>
      </c>
      <c r="AD33" s="132"/>
      <c r="AE33" s="133" t="str">
        <f t="shared" si="21"/>
        <v/>
      </c>
      <c r="AF33" s="134"/>
      <c r="AG33" s="135"/>
      <c r="AH33" s="135"/>
      <c r="AI33" s="136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t="str">
        <v/>
      </c>
      <c r="BS33" t="str">
        <v/>
      </c>
      <c r="BU33" s="150" t="str" cm="1">
        <f t="array" ref="BU33">IF(BR33="","",_xlfn._xlws.FILTER($AJ$4:$BP$4,ISNUMBER(SEARCH(BR33,$AJ$4:$BP$4))))</f>
        <v/>
      </c>
      <c r="BV33" s="151"/>
      <c r="BW33" s="151"/>
      <c r="BX33" s="151"/>
      <c r="BY33" s="151" t="str" cm="1">
        <f t="array" ref="BY33">IF(BU33="","",IF(AND(MID(BU33,1,1)=MID(BU33:BX33,1,1)),"TRUE","FALSE"))</f>
        <v/>
      </c>
      <c r="CA33" s="158" t="str">
        <f t="shared" si="7"/>
        <v/>
      </c>
      <c r="CB33" s="62" t="str">
        <f t="shared" si="8"/>
        <v/>
      </c>
      <c r="CC33" s="62" t="str">
        <f t="shared" si="9"/>
        <v/>
      </c>
      <c r="CD33" s="62" t="str">
        <f t="shared" si="10"/>
        <v/>
      </c>
      <c r="CE33" s="155" t="str">
        <v/>
      </c>
    </row>
    <row r="34" spans="1:83" ht="15" customHeight="1">
      <c r="A34" s="17">
        <v>27</v>
      </c>
      <c r="B34" s="127" t="s">
        <v>317</v>
      </c>
      <c r="C34" s="128"/>
      <c r="D34" s="98" t="s">
        <v>199</v>
      </c>
      <c r="E34" s="99"/>
      <c r="F34" s="128" t="s">
        <v>45</v>
      </c>
      <c r="G34" s="143">
        <v>0.53300000000000003</v>
      </c>
      <c r="H34" s="143">
        <v>0.03</v>
      </c>
      <c r="I34" s="143">
        <v>-0.03</v>
      </c>
      <c r="J34" s="128" t="s">
        <v>12</v>
      </c>
      <c r="K34" s="130" t="s">
        <v>293</v>
      </c>
      <c r="L34" s="131">
        <f t="shared" si="11"/>
        <v>0.56300000000000006</v>
      </c>
      <c r="M34" s="137">
        <f t="shared" si="12"/>
        <v>0.503</v>
      </c>
      <c r="N34" s="27"/>
      <c r="O34" s="3" t="str">
        <f t="shared" si="13"/>
        <v/>
      </c>
      <c r="P34" s="3" t="str">
        <f t="shared" si="14"/>
        <v/>
      </c>
      <c r="Q34" s="3" t="str">
        <f t="shared" si="15"/>
        <v/>
      </c>
      <c r="R34" s="4" t="str">
        <f t="shared" si="16"/>
        <v/>
      </c>
      <c r="S34" s="5" t="str">
        <f t="shared" si="0"/>
        <v/>
      </c>
      <c r="T34" s="75" t="str">
        <f t="shared" si="1"/>
        <v/>
      </c>
      <c r="U34" s="75" t="str">
        <f t="shared" si="17"/>
        <v/>
      </c>
      <c r="V34" s="5" t="str">
        <f t="shared" si="2"/>
        <v/>
      </c>
      <c r="W34" s="5" t="str">
        <f t="shared" si="3"/>
        <v/>
      </c>
      <c r="X34" s="5" t="str">
        <f t="shared" si="4"/>
        <v/>
      </c>
      <c r="Y34" s="139" t="str">
        <f t="shared" si="5"/>
        <v/>
      </c>
      <c r="Z34" s="31" t="str">
        <f t="shared" si="18"/>
        <v/>
      </c>
      <c r="AA34" s="31" t="str">
        <f t="shared" si="19"/>
        <v/>
      </c>
      <c r="AB34" s="31" t="str">
        <f t="shared" si="20"/>
        <v/>
      </c>
      <c r="AC34" s="31" t="str">
        <f t="shared" si="6"/>
        <v/>
      </c>
      <c r="AD34" s="132"/>
      <c r="AE34" s="133" t="str">
        <f t="shared" si="21"/>
        <v/>
      </c>
      <c r="AF34" s="134"/>
      <c r="AG34" s="135"/>
      <c r="AH34" s="135"/>
      <c r="AI34" s="136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t="str">
        <v/>
      </c>
      <c r="BS34" t="str">
        <v/>
      </c>
      <c r="BU34" s="150" t="str" cm="1">
        <f t="array" ref="BU34">IF(BR34="","",_xlfn._xlws.FILTER($AJ$4:$BP$4,ISNUMBER(SEARCH(BR34,$AJ$4:$BP$4))))</f>
        <v/>
      </c>
      <c r="BV34" s="151"/>
      <c r="BW34" s="151"/>
      <c r="BX34" s="151"/>
      <c r="BY34" s="151" t="str" cm="1">
        <f t="array" ref="BY34">IF(BU34="","",IF(AND(MID(BU34,1,1)=MID(BU34:BX34,1,1)),"TRUE","FALSE"))</f>
        <v/>
      </c>
      <c r="CA34" s="158" t="str">
        <f t="shared" si="7"/>
        <v/>
      </c>
      <c r="CB34" s="62" t="str">
        <f t="shared" si="8"/>
        <v/>
      </c>
      <c r="CC34" s="62" t="str">
        <f t="shared" si="9"/>
        <v/>
      </c>
      <c r="CD34" s="62" t="str">
        <f t="shared" si="10"/>
        <v/>
      </c>
      <c r="CE34" s="155" t="str">
        <v/>
      </c>
    </row>
    <row r="35" spans="1:83" ht="15" customHeight="1">
      <c r="A35" s="17">
        <v>28</v>
      </c>
      <c r="B35" s="127" t="s">
        <v>318</v>
      </c>
      <c r="C35" s="128"/>
      <c r="D35" s="98" t="s">
        <v>199</v>
      </c>
      <c r="E35" s="99"/>
      <c r="F35" s="128" t="s">
        <v>45</v>
      </c>
      <c r="G35" s="143">
        <v>15.518000000000001</v>
      </c>
      <c r="H35" s="143">
        <v>0.03</v>
      </c>
      <c r="I35" s="143">
        <v>-0.03</v>
      </c>
      <c r="J35" s="128" t="s">
        <v>12</v>
      </c>
      <c r="K35" s="130" t="s">
        <v>293</v>
      </c>
      <c r="L35" s="131">
        <f t="shared" si="11"/>
        <v>15.548</v>
      </c>
      <c r="M35" s="137">
        <f t="shared" si="12"/>
        <v>15.488000000000001</v>
      </c>
      <c r="N35" s="27"/>
      <c r="O35" s="3" t="str">
        <f t="shared" si="13"/>
        <v/>
      </c>
      <c r="P35" s="3" t="str">
        <f t="shared" si="14"/>
        <v/>
      </c>
      <c r="Q35" s="3" t="str">
        <f t="shared" si="15"/>
        <v/>
      </c>
      <c r="R35" s="4" t="str">
        <f t="shared" si="16"/>
        <v/>
      </c>
      <c r="S35" s="5" t="str">
        <f t="shared" si="0"/>
        <v/>
      </c>
      <c r="T35" s="75" t="str">
        <f t="shared" si="1"/>
        <v/>
      </c>
      <c r="U35" s="75" t="str">
        <f t="shared" si="17"/>
        <v/>
      </c>
      <c r="V35" s="5" t="str">
        <f t="shared" si="2"/>
        <v/>
      </c>
      <c r="W35" s="5" t="str">
        <f t="shared" si="3"/>
        <v/>
      </c>
      <c r="X35" s="5" t="str">
        <f t="shared" si="4"/>
        <v/>
      </c>
      <c r="Y35" s="139" t="str">
        <f t="shared" si="5"/>
        <v/>
      </c>
      <c r="Z35" s="31" t="str">
        <f t="shared" si="18"/>
        <v/>
      </c>
      <c r="AA35" s="31" t="str">
        <f t="shared" si="19"/>
        <v/>
      </c>
      <c r="AB35" s="31" t="str">
        <f t="shared" si="20"/>
        <v/>
      </c>
      <c r="AC35" s="31" t="str">
        <f t="shared" si="6"/>
        <v/>
      </c>
      <c r="AD35" s="132"/>
      <c r="AE35" s="133" t="str">
        <f t="shared" si="21"/>
        <v/>
      </c>
      <c r="AF35" s="134"/>
      <c r="AG35" s="135"/>
      <c r="AH35" s="135"/>
      <c r="AI35" s="136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t="str">
        <v/>
      </c>
      <c r="BS35" t="str">
        <v/>
      </c>
      <c r="BU35" s="150" t="str" cm="1">
        <f t="array" ref="BU35">IF(BR35="","",_xlfn._xlws.FILTER($AJ$4:$BP$4,ISNUMBER(SEARCH(BR35,$AJ$4:$BP$4))))</f>
        <v/>
      </c>
      <c r="BV35" s="151"/>
      <c r="BW35" s="151"/>
      <c r="BX35" s="151"/>
      <c r="BY35" s="151" t="str" cm="1">
        <f t="array" ref="BY35">IF(BU35="","",IF(AND(MID(BU35,1,1)=MID(BU35:BX35,1,1)),"TRUE","FALSE"))</f>
        <v/>
      </c>
      <c r="CA35" s="158" t="str">
        <f t="shared" si="7"/>
        <v/>
      </c>
      <c r="CB35" s="62" t="str">
        <f t="shared" si="8"/>
        <v/>
      </c>
      <c r="CC35" s="62" t="str">
        <f t="shared" si="9"/>
        <v/>
      </c>
      <c r="CD35" s="62" t="str">
        <f t="shared" si="10"/>
        <v/>
      </c>
      <c r="CE35" s="155" t="str">
        <v/>
      </c>
    </row>
    <row r="36" spans="1:83" ht="15" customHeight="1">
      <c r="A36" s="17">
        <v>29</v>
      </c>
      <c r="B36" s="127" t="s">
        <v>319</v>
      </c>
      <c r="C36" s="128"/>
      <c r="D36" s="98" t="s">
        <v>199</v>
      </c>
      <c r="E36" s="99"/>
      <c r="F36" s="128" t="s">
        <v>45</v>
      </c>
      <c r="G36" s="143">
        <v>15.518000000000001</v>
      </c>
      <c r="H36" s="143">
        <v>0.03</v>
      </c>
      <c r="I36" s="143">
        <v>-0.03</v>
      </c>
      <c r="J36" s="128" t="s">
        <v>12</v>
      </c>
      <c r="K36" s="130" t="s">
        <v>293</v>
      </c>
      <c r="L36" s="131">
        <f t="shared" si="11"/>
        <v>15.548</v>
      </c>
      <c r="M36" s="137">
        <f t="shared" si="12"/>
        <v>15.488000000000001</v>
      </c>
      <c r="N36" s="27"/>
      <c r="O36" s="3" t="str">
        <f t="shared" si="13"/>
        <v/>
      </c>
      <c r="P36" s="3" t="str">
        <f t="shared" si="14"/>
        <v/>
      </c>
      <c r="Q36" s="3" t="str">
        <f t="shared" si="15"/>
        <v/>
      </c>
      <c r="R36" s="4" t="str">
        <f t="shared" si="16"/>
        <v/>
      </c>
      <c r="S36" s="5" t="str">
        <f t="shared" si="0"/>
        <v/>
      </c>
      <c r="T36" s="75" t="str">
        <f t="shared" si="1"/>
        <v/>
      </c>
      <c r="U36" s="75" t="str">
        <f t="shared" si="17"/>
        <v/>
      </c>
      <c r="V36" s="5" t="str">
        <f t="shared" si="2"/>
        <v/>
      </c>
      <c r="W36" s="5" t="str">
        <f t="shared" si="3"/>
        <v/>
      </c>
      <c r="X36" s="5" t="str">
        <f t="shared" si="4"/>
        <v/>
      </c>
      <c r="Y36" s="139" t="str">
        <f t="shared" si="5"/>
        <v/>
      </c>
      <c r="Z36" s="31" t="str">
        <f t="shared" si="18"/>
        <v/>
      </c>
      <c r="AA36" s="31" t="str">
        <f t="shared" si="19"/>
        <v/>
      </c>
      <c r="AB36" s="31" t="str">
        <f t="shared" si="20"/>
        <v/>
      </c>
      <c r="AC36" s="31" t="str">
        <f t="shared" si="6"/>
        <v/>
      </c>
      <c r="AD36" s="132"/>
      <c r="AE36" s="133" t="str">
        <f t="shared" si="21"/>
        <v/>
      </c>
      <c r="AF36" s="134"/>
      <c r="AG36" s="135"/>
      <c r="AH36" s="135"/>
      <c r="AI36" s="136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t="str">
        <v/>
      </c>
      <c r="BS36" t="str">
        <v/>
      </c>
      <c r="BU36" s="150" t="str" cm="1">
        <f t="array" ref="BU36">IF(BR36="","",_xlfn._xlws.FILTER($AJ$4:$BP$4,ISNUMBER(SEARCH(BR36,$AJ$4:$BP$4))))</f>
        <v/>
      </c>
      <c r="BV36" s="151"/>
      <c r="BW36" s="151"/>
      <c r="BX36" s="151"/>
      <c r="BY36" s="151" t="str" cm="1">
        <f t="array" ref="BY36">IF(BU36="","",IF(AND(MID(BU36,1,1)=MID(BU36:BX36,1,1)),"TRUE","FALSE"))</f>
        <v/>
      </c>
      <c r="CA36" s="158" t="str">
        <f t="shared" si="7"/>
        <v/>
      </c>
      <c r="CB36" s="62" t="str">
        <f t="shared" si="8"/>
        <v/>
      </c>
      <c r="CC36" s="62" t="str">
        <f t="shared" si="9"/>
        <v/>
      </c>
      <c r="CD36" s="62" t="str">
        <f t="shared" si="10"/>
        <v/>
      </c>
      <c r="CE36" s="155" t="str">
        <v/>
      </c>
    </row>
    <row r="37" spans="1:83" ht="15" customHeight="1">
      <c r="A37" s="17">
        <v>30</v>
      </c>
      <c r="B37" s="127" t="s">
        <v>320</v>
      </c>
      <c r="C37" s="128"/>
      <c r="D37" s="98" t="s">
        <v>199</v>
      </c>
      <c r="E37" s="99"/>
      <c r="F37" s="128" t="s">
        <v>45</v>
      </c>
      <c r="G37" s="143">
        <v>1.0149999999999999</v>
      </c>
      <c r="H37" s="143">
        <v>0.03</v>
      </c>
      <c r="I37" s="143">
        <v>-0.03</v>
      </c>
      <c r="J37" s="128" t="s">
        <v>12</v>
      </c>
      <c r="K37" s="130" t="s">
        <v>293</v>
      </c>
      <c r="L37" s="131">
        <f t="shared" si="11"/>
        <v>1.0449999999999999</v>
      </c>
      <c r="M37" s="137">
        <f t="shared" si="12"/>
        <v>0.98499999999999988</v>
      </c>
      <c r="N37" s="27"/>
      <c r="O37" s="3" t="str">
        <f t="shared" si="13"/>
        <v/>
      </c>
      <c r="P37" s="3" t="str">
        <f t="shared" si="14"/>
        <v/>
      </c>
      <c r="Q37" s="3" t="str">
        <f t="shared" si="15"/>
        <v/>
      </c>
      <c r="R37" s="4" t="str">
        <f t="shared" si="16"/>
        <v/>
      </c>
      <c r="S37" s="5" t="str">
        <f t="shared" si="0"/>
        <v/>
      </c>
      <c r="T37" s="75" t="str">
        <f t="shared" si="1"/>
        <v/>
      </c>
      <c r="U37" s="75" t="str">
        <f t="shared" si="17"/>
        <v/>
      </c>
      <c r="V37" s="5" t="str">
        <f t="shared" si="2"/>
        <v/>
      </c>
      <c r="W37" s="5" t="str">
        <f t="shared" si="3"/>
        <v/>
      </c>
      <c r="X37" s="5" t="str">
        <f t="shared" si="4"/>
        <v/>
      </c>
      <c r="Y37" s="139" t="str">
        <f t="shared" si="5"/>
        <v/>
      </c>
      <c r="Z37" s="31" t="str">
        <f t="shared" si="18"/>
        <v/>
      </c>
      <c r="AA37" s="31" t="str">
        <f t="shared" si="19"/>
        <v/>
      </c>
      <c r="AB37" s="31" t="str">
        <f t="shared" si="20"/>
        <v/>
      </c>
      <c r="AC37" s="31" t="str">
        <f t="shared" si="6"/>
        <v/>
      </c>
      <c r="AD37" s="132"/>
      <c r="AE37" s="133" t="str">
        <f t="shared" si="21"/>
        <v/>
      </c>
      <c r="AF37" s="134"/>
      <c r="AG37" s="135"/>
      <c r="AH37" s="135"/>
      <c r="AI37" s="136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t="str">
        <v/>
      </c>
      <c r="BS37" t="str">
        <v/>
      </c>
      <c r="BU37" s="150" t="str" cm="1">
        <f t="array" ref="BU37">IF(BR37="","",_xlfn._xlws.FILTER($AJ$4:$BP$4,ISNUMBER(SEARCH(BR37,$AJ$4:$BP$4))))</f>
        <v/>
      </c>
      <c r="BV37" s="151"/>
      <c r="BW37" s="151"/>
      <c r="BX37" s="151"/>
      <c r="BY37" s="151" t="str" cm="1">
        <f t="array" ref="BY37">IF(BU37="","",IF(AND(MID(BU37,1,1)=MID(BU37:BX37,1,1)),"TRUE","FALSE"))</f>
        <v/>
      </c>
      <c r="CA37" s="158" t="str">
        <f t="shared" si="7"/>
        <v/>
      </c>
      <c r="CB37" s="62" t="str">
        <f t="shared" si="8"/>
        <v/>
      </c>
      <c r="CC37" s="62" t="str">
        <f t="shared" si="9"/>
        <v/>
      </c>
      <c r="CD37" s="62" t="str">
        <f t="shared" si="10"/>
        <v/>
      </c>
      <c r="CE37" s="155" t="str">
        <v/>
      </c>
    </row>
    <row r="38" spans="1:83" ht="15" customHeight="1">
      <c r="A38" s="17">
        <v>31</v>
      </c>
      <c r="B38" s="127" t="s">
        <v>321</v>
      </c>
      <c r="C38" s="128"/>
      <c r="D38" s="98" t="s">
        <v>199</v>
      </c>
      <c r="E38" s="99"/>
      <c r="F38" s="128" t="s">
        <v>45</v>
      </c>
      <c r="G38" s="143">
        <v>14.803000000000001</v>
      </c>
      <c r="H38" s="143">
        <v>0.03</v>
      </c>
      <c r="I38" s="143">
        <v>-0.04</v>
      </c>
      <c r="J38" s="128" t="s">
        <v>12</v>
      </c>
      <c r="K38" s="130" t="s">
        <v>293</v>
      </c>
      <c r="L38" s="131">
        <f t="shared" si="11"/>
        <v>14.833</v>
      </c>
      <c r="M38" s="137">
        <f t="shared" si="12"/>
        <v>14.763000000000002</v>
      </c>
      <c r="N38" s="27"/>
      <c r="O38" s="3" t="str">
        <f t="shared" si="13"/>
        <v/>
      </c>
      <c r="P38" s="3" t="str">
        <f t="shared" si="14"/>
        <v/>
      </c>
      <c r="Q38" s="3" t="str">
        <f t="shared" si="15"/>
        <v/>
      </c>
      <c r="R38" s="4" t="str">
        <f t="shared" si="16"/>
        <v/>
      </c>
      <c r="S38" s="5" t="str">
        <f t="shared" si="0"/>
        <v/>
      </c>
      <c r="T38" s="75" t="str">
        <f t="shared" si="1"/>
        <v/>
      </c>
      <c r="U38" s="75" t="str">
        <f t="shared" si="17"/>
        <v/>
      </c>
      <c r="V38" s="5" t="str">
        <f t="shared" si="2"/>
        <v/>
      </c>
      <c r="W38" s="5" t="str">
        <f t="shared" si="3"/>
        <v/>
      </c>
      <c r="X38" s="5" t="str">
        <f t="shared" si="4"/>
        <v/>
      </c>
      <c r="Y38" s="139" t="str">
        <f t="shared" si="5"/>
        <v/>
      </c>
      <c r="Z38" s="31" t="str">
        <f t="shared" si="18"/>
        <v/>
      </c>
      <c r="AA38" s="31" t="str">
        <f t="shared" si="19"/>
        <v/>
      </c>
      <c r="AB38" s="31" t="str">
        <f t="shared" si="20"/>
        <v/>
      </c>
      <c r="AC38" s="31" t="str">
        <f t="shared" si="6"/>
        <v/>
      </c>
      <c r="AD38" s="132"/>
      <c r="AE38" s="133" t="str">
        <f t="shared" si="21"/>
        <v/>
      </c>
      <c r="AF38" s="134"/>
      <c r="AG38" s="135"/>
      <c r="AH38" s="135"/>
      <c r="AI38" s="136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t="str">
        <v/>
      </c>
      <c r="BS38" t="str">
        <v/>
      </c>
      <c r="BU38" s="150" t="str" cm="1">
        <f t="array" ref="BU38">IF(BR38="","",_xlfn._xlws.FILTER($AJ$4:$BP$4,ISNUMBER(SEARCH(BR38,$AJ$4:$BP$4))))</f>
        <v/>
      </c>
      <c r="BV38" s="151"/>
      <c r="BW38" s="151"/>
      <c r="BX38" s="151"/>
      <c r="BY38" s="151" t="str" cm="1">
        <f t="array" ref="BY38">IF(BU38="","",IF(AND(MID(BU38,1,1)=MID(BU38:BX38,1,1)),"TRUE","FALSE"))</f>
        <v/>
      </c>
      <c r="CA38" s="158" t="str">
        <f t="shared" si="7"/>
        <v/>
      </c>
      <c r="CB38" s="62" t="str">
        <f t="shared" si="8"/>
        <v/>
      </c>
      <c r="CC38" s="62" t="str">
        <f t="shared" si="9"/>
        <v/>
      </c>
      <c r="CD38" s="62" t="str">
        <f t="shared" si="10"/>
        <v/>
      </c>
      <c r="CE38" s="155" t="str">
        <v/>
      </c>
    </row>
    <row r="39" spans="1:83" ht="15" customHeight="1" thickBot="1">
      <c r="A39" s="17">
        <v>32</v>
      </c>
      <c r="B39" s="127" t="s">
        <v>322</v>
      </c>
      <c r="C39" s="128"/>
      <c r="D39" s="98" t="s">
        <v>199</v>
      </c>
      <c r="E39" s="99"/>
      <c r="F39" s="128" t="s">
        <v>45</v>
      </c>
      <c r="G39" s="143">
        <v>11.644</v>
      </c>
      <c r="H39" s="143">
        <v>0.03</v>
      </c>
      <c r="I39" s="143">
        <v>-0.03</v>
      </c>
      <c r="J39" s="128" t="s">
        <v>12</v>
      </c>
      <c r="K39" s="130" t="s">
        <v>293</v>
      </c>
      <c r="L39" s="131">
        <f t="shared" si="11"/>
        <v>11.673999999999999</v>
      </c>
      <c r="M39" s="137">
        <f t="shared" si="12"/>
        <v>11.614000000000001</v>
      </c>
      <c r="N39" s="27"/>
      <c r="O39" s="3" t="str">
        <f t="shared" si="13"/>
        <v/>
      </c>
      <c r="P39" s="3" t="str">
        <f t="shared" si="14"/>
        <v/>
      </c>
      <c r="Q39" s="3" t="str">
        <f t="shared" si="15"/>
        <v/>
      </c>
      <c r="R39" s="4" t="str">
        <f t="shared" si="16"/>
        <v/>
      </c>
      <c r="S39" s="5" t="str">
        <f t="shared" si="0"/>
        <v/>
      </c>
      <c r="T39" s="75" t="str">
        <f t="shared" si="1"/>
        <v/>
      </c>
      <c r="U39" s="75" t="str">
        <f t="shared" si="17"/>
        <v/>
      </c>
      <c r="V39" s="5" t="str">
        <f t="shared" si="2"/>
        <v/>
      </c>
      <c r="W39" s="5" t="str">
        <f t="shared" si="3"/>
        <v/>
      </c>
      <c r="X39" s="5" t="str">
        <f t="shared" si="4"/>
        <v/>
      </c>
      <c r="Y39" s="139" t="str">
        <f t="shared" si="5"/>
        <v/>
      </c>
      <c r="Z39" s="31" t="str">
        <f t="shared" si="18"/>
        <v/>
      </c>
      <c r="AA39" s="31" t="str">
        <f t="shared" si="19"/>
        <v/>
      </c>
      <c r="AB39" s="31" t="str">
        <f t="shared" si="20"/>
        <v/>
      </c>
      <c r="AC39" s="31" t="str">
        <f t="shared" si="6"/>
        <v/>
      </c>
      <c r="AD39" s="132"/>
      <c r="AE39" s="133" t="str">
        <f t="shared" si="21"/>
        <v/>
      </c>
      <c r="AF39" s="134"/>
      <c r="AG39" s="135"/>
      <c r="AH39" s="135"/>
      <c r="AI39" s="136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t="str">
        <v/>
      </c>
      <c r="BS39" t="str">
        <v/>
      </c>
      <c r="BU39" s="150" t="str" cm="1">
        <f t="array" ref="BU39">IF(BR39="","",_xlfn._xlws.FILTER($AJ$4:$BP$4,ISNUMBER(SEARCH(BR39,$AJ$4:$BP$4))))</f>
        <v/>
      </c>
      <c r="BV39" s="151"/>
      <c r="BW39" s="151"/>
      <c r="BX39" s="151"/>
      <c r="BY39" s="151" t="str" cm="1">
        <f t="array" ref="BY39">IF(BU39="","",IF(AND(MID(BU39,1,1)=MID(BU39:BX39,1,1)),"TRUE","FALSE"))</f>
        <v/>
      </c>
      <c r="CA39" s="160" t="str">
        <f t="shared" si="7"/>
        <v/>
      </c>
      <c r="CB39" s="161" t="str">
        <f t="shared" si="8"/>
        <v/>
      </c>
      <c r="CC39" s="161" t="str">
        <f t="shared" si="9"/>
        <v/>
      </c>
      <c r="CD39" s="161" t="str">
        <f t="shared" si="10"/>
        <v/>
      </c>
      <c r="CE39" s="157" t="str">
        <v/>
      </c>
    </row>
    <row r="40" spans="1:83" ht="15" customHeight="1">
      <c r="A40" s="17">
        <v>33</v>
      </c>
      <c r="B40" s="127" t="s">
        <v>323</v>
      </c>
      <c r="C40" s="128"/>
      <c r="D40" s="98" t="s">
        <v>199</v>
      </c>
      <c r="E40" s="99"/>
      <c r="F40" s="128" t="s">
        <v>45</v>
      </c>
      <c r="G40" s="143">
        <v>0.86</v>
      </c>
      <c r="H40" s="143">
        <v>0.03</v>
      </c>
      <c r="I40" s="143">
        <v>-0.03</v>
      </c>
      <c r="J40" s="128" t="s">
        <v>12</v>
      </c>
      <c r="K40" s="130" t="s">
        <v>293</v>
      </c>
      <c r="L40" s="131">
        <f t="shared" si="11"/>
        <v>0.89</v>
      </c>
      <c r="M40" s="137">
        <f t="shared" si="12"/>
        <v>0.83</v>
      </c>
      <c r="N40" s="27"/>
      <c r="O40" s="3" t="str">
        <f t="shared" si="13"/>
        <v/>
      </c>
      <c r="P40" s="3" t="str">
        <f t="shared" si="14"/>
        <v/>
      </c>
      <c r="Q40" s="3" t="str">
        <f t="shared" si="15"/>
        <v/>
      </c>
      <c r="R40" s="4" t="str">
        <f t="shared" si="16"/>
        <v/>
      </c>
      <c r="S40" s="5" t="str">
        <f t="shared" si="0"/>
        <v/>
      </c>
      <c r="T40" s="75" t="str">
        <f t="shared" si="1"/>
        <v/>
      </c>
      <c r="U40" s="75" t="str">
        <f t="shared" si="17"/>
        <v/>
      </c>
      <c r="V40" s="5" t="str">
        <f t="shared" si="2"/>
        <v/>
      </c>
      <c r="W40" s="5" t="str">
        <f t="shared" si="3"/>
        <v/>
      </c>
      <c r="X40" s="5" t="str">
        <f t="shared" si="4"/>
        <v/>
      </c>
      <c r="Y40" s="139" t="str">
        <f t="shared" si="5"/>
        <v/>
      </c>
      <c r="Z40" s="31" t="str">
        <f t="shared" si="18"/>
        <v/>
      </c>
      <c r="AA40" s="31" t="str">
        <f t="shared" si="19"/>
        <v/>
      </c>
      <c r="AB40" s="31" t="str">
        <f t="shared" si="20"/>
        <v/>
      </c>
      <c r="AC40" s="31" t="str">
        <f t="shared" si="6"/>
        <v/>
      </c>
      <c r="AD40" s="132"/>
      <c r="AE40" s="133" t="str">
        <f t="shared" si="21"/>
        <v/>
      </c>
      <c r="AF40" s="134"/>
      <c r="AG40" s="135"/>
      <c r="AH40" s="135"/>
      <c r="AI40" s="136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t="str">
        <v/>
      </c>
      <c r="BS40" t="str">
        <v/>
      </c>
      <c r="BU40" s="150" t="str" cm="1">
        <f t="array" ref="BU40">IF(BR40="","",_xlfn._xlws.FILTER($AJ$4:$BP$4,ISNUMBER(SEARCH(BR40,$AJ$4:$BP$4))))</f>
        <v/>
      </c>
      <c r="BV40" s="151"/>
      <c r="BW40" s="151"/>
      <c r="BX40" s="151"/>
      <c r="BY40" s="151" t="str" cm="1">
        <f t="array" ref="BY40">IF(BU40="","",IF(AND(MID(BU40,1,1)=MID(BU40:BX40,1,1)),"TRUE","FALSE"))</f>
        <v/>
      </c>
      <c r="CE40" t="str">
        <v/>
      </c>
    </row>
    <row r="41" spans="1:83" ht="15" customHeight="1">
      <c r="A41" s="17">
        <v>34</v>
      </c>
      <c r="B41" s="127" t="s">
        <v>324</v>
      </c>
      <c r="C41" s="128"/>
      <c r="D41" s="98" t="s">
        <v>199</v>
      </c>
      <c r="E41" s="99"/>
      <c r="F41" s="128" t="s">
        <v>45</v>
      </c>
      <c r="G41" s="143">
        <v>9.9390000000000001</v>
      </c>
      <c r="H41" s="143">
        <v>0.03</v>
      </c>
      <c r="I41" s="143">
        <v>-0.03</v>
      </c>
      <c r="J41" s="128" t="s">
        <v>12</v>
      </c>
      <c r="K41" s="130" t="s">
        <v>293</v>
      </c>
      <c r="L41" s="131">
        <f t="shared" si="11"/>
        <v>9.9689999999999994</v>
      </c>
      <c r="M41" s="137">
        <f t="shared" si="12"/>
        <v>9.9090000000000007</v>
      </c>
      <c r="N41" s="27"/>
      <c r="O41" s="3" t="str">
        <f t="shared" si="13"/>
        <v/>
      </c>
      <c r="P41" s="3" t="str">
        <f t="shared" si="14"/>
        <v/>
      </c>
      <c r="Q41" s="3" t="str">
        <f t="shared" si="15"/>
        <v/>
      </c>
      <c r="R41" s="4" t="str">
        <f t="shared" si="16"/>
        <v/>
      </c>
      <c r="S41" s="5" t="str">
        <f t="shared" si="0"/>
        <v/>
      </c>
      <c r="T41" s="75" t="str">
        <f t="shared" si="1"/>
        <v/>
      </c>
      <c r="U41" s="75" t="str">
        <f t="shared" si="17"/>
        <v/>
      </c>
      <c r="V41" s="5" t="str">
        <f t="shared" si="2"/>
        <v/>
      </c>
      <c r="W41" s="5" t="str">
        <f t="shared" si="3"/>
        <v/>
      </c>
      <c r="X41" s="5" t="str">
        <f t="shared" si="4"/>
        <v/>
      </c>
      <c r="Y41" s="139" t="str">
        <f t="shared" si="5"/>
        <v/>
      </c>
      <c r="Z41" s="31" t="str">
        <f t="shared" si="18"/>
        <v/>
      </c>
      <c r="AA41" s="31" t="str">
        <f t="shared" si="19"/>
        <v/>
      </c>
      <c r="AB41" s="31" t="str">
        <f t="shared" si="20"/>
        <v/>
      </c>
      <c r="AC41" s="31" t="str">
        <f t="shared" si="6"/>
        <v/>
      </c>
      <c r="AD41" s="132"/>
      <c r="AE41" s="133" t="str">
        <f t="shared" si="21"/>
        <v/>
      </c>
      <c r="AF41" s="134"/>
      <c r="AG41" s="135"/>
      <c r="AH41" s="135"/>
      <c r="AI41" s="136"/>
      <c r="AJ41" s="19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t="str">
        <v/>
      </c>
      <c r="BS41" t="str">
        <v/>
      </c>
      <c r="CE41" t="str">
        <v/>
      </c>
    </row>
    <row r="42" spans="1:83" ht="15" customHeight="1">
      <c r="A42" s="17">
        <v>35</v>
      </c>
      <c r="B42" s="127" t="s">
        <v>325</v>
      </c>
      <c r="C42" s="128"/>
      <c r="D42" s="98" t="s">
        <v>199</v>
      </c>
      <c r="E42" s="99"/>
      <c r="F42" s="128" t="s">
        <v>45</v>
      </c>
      <c r="G42" s="143">
        <v>9.9390000000000001</v>
      </c>
      <c r="H42" s="143">
        <v>0.03</v>
      </c>
      <c r="I42" s="143">
        <v>-0.03</v>
      </c>
      <c r="J42" s="128" t="s">
        <v>12</v>
      </c>
      <c r="K42" s="130" t="s">
        <v>293</v>
      </c>
      <c r="L42" s="131">
        <f t="shared" si="11"/>
        <v>9.9689999999999994</v>
      </c>
      <c r="M42" s="137">
        <f t="shared" si="12"/>
        <v>9.9090000000000007</v>
      </c>
      <c r="N42" s="27"/>
      <c r="O42" s="3" t="str">
        <f t="shared" si="13"/>
        <v/>
      </c>
      <c r="P42" s="3" t="str">
        <f t="shared" si="14"/>
        <v/>
      </c>
      <c r="Q42" s="3" t="str">
        <f t="shared" si="15"/>
        <v/>
      </c>
      <c r="R42" s="4" t="str">
        <f t="shared" si="16"/>
        <v/>
      </c>
      <c r="S42" s="5" t="str">
        <f t="shared" si="0"/>
        <v/>
      </c>
      <c r="T42" s="75" t="str">
        <f t="shared" si="1"/>
        <v/>
      </c>
      <c r="U42" s="75" t="str">
        <f t="shared" si="17"/>
        <v/>
      </c>
      <c r="V42" s="5" t="str">
        <f t="shared" si="2"/>
        <v/>
      </c>
      <c r="W42" s="5" t="str">
        <f t="shared" si="3"/>
        <v/>
      </c>
      <c r="X42" s="5" t="str">
        <f t="shared" si="4"/>
        <v/>
      </c>
      <c r="Y42" s="139" t="str">
        <f t="shared" si="5"/>
        <v/>
      </c>
      <c r="Z42" s="31" t="str">
        <f t="shared" si="18"/>
        <v/>
      </c>
      <c r="AA42" s="31" t="str">
        <f t="shared" si="19"/>
        <v/>
      </c>
      <c r="AB42" s="31" t="str">
        <f t="shared" si="20"/>
        <v/>
      </c>
      <c r="AC42" s="31" t="str">
        <f t="shared" si="6"/>
        <v/>
      </c>
      <c r="AD42" s="132"/>
      <c r="AE42" s="133" t="str">
        <f t="shared" si="21"/>
        <v/>
      </c>
      <c r="AF42" s="134"/>
      <c r="AG42" s="135"/>
      <c r="AH42" s="135"/>
      <c r="AI42" s="136"/>
      <c r="AJ42" s="19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CE42" t="str">
        <v/>
      </c>
    </row>
    <row r="43" spans="1:83" ht="15" customHeight="1">
      <c r="A43" s="140">
        <v>36</v>
      </c>
      <c r="B43" s="127" t="s">
        <v>326</v>
      </c>
      <c r="C43" s="128"/>
      <c r="D43" s="98" t="s">
        <v>199</v>
      </c>
      <c r="E43" s="99"/>
      <c r="F43" s="128" t="s">
        <v>45</v>
      </c>
      <c r="G43" s="143">
        <v>0.57499999999999996</v>
      </c>
      <c r="H43" s="143">
        <v>0.03</v>
      </c>
      <c r="I43" s="143">
        <v>-0.03</v>
      </c>
      <c r="J43" s="128" t="s">
        <v>12</v>
      </c>
      <c r="K43" s="130" t="s">
        <v>293</v>
      </c>
      <c r="L43" s="131">
        <f t="shared" si="11"/>
        <v>0.60499999999999998</v>
      </c>
      <c r="M43" s="137">
        <f t="shared" si="12"/>
        <v>0.54499999999999993</v>
      </c>
      <c r="N43" s="141"/>
      <c r="O43" s="3" t="str">
        <f t="shared" si="13"/>
        <v/>
      </c>
      <c r="P43" s="3" t="str">
        <f t="shared" si="14"/>
        <v/>
      </c>
      <c r="Q43" s="3" t="str">
        <f t="shared" si="15"/>
        <v/>
      </c>
      <c r="R43" s="4" t="str">
        <f t="shared" si="16"/>
        <v/>
      </c>
      <c r="S43" s="5" t="str">
        <f t="shared" si="0"/>
        <v/>
      </c>
      <c r="T43" s="75" t="str">
        <f t="shared" si="1"/>
        <v/>
      </c>
      <c r="U43" s="75" t="str">
        <f t="shared" si="17"/>
        <v/>
      </c>
      <c r="V43" s="5" t="str">
        <f t="shared" si="2"/>
        <v/>
      </c>
      <c r="W43" s="5" t="str">
        <f t="shared" si="3"/>
        <v/>
      </c>
      <c r="X43" s="5" t="str">
        <f t="shared" si="4"/>
        <v/>
      </c>
      <c r="Y43" s="139" t="str">
        <f t="shared" si="5"/>
        <v/>
      </c>
      <c r="Z43" s="31" t="str">
        <f t="shared" si="18"/>
        <v/>
      </c>
      <c r="AA43" s="31" t="str">
        <f t="shared" si="19"/>
        <v/>
      </c>
      <c r="AB43" s="31" t="str">
        <f t="shared" si="20"/>
        <v/>
      </c>
      <c r="AC43" s="31" t="str">
        <f t="shared" si="6"/>
        <v/>
      </c>
      <c r="AD43" s="132"/>
      <c r="AE43" s="133" t="str">
        <f t="shared" si="21"/>
        <v/>
      </c>
      <c r="AF43" s="134"/>
      <c r="AG43" s="135"/>
      <c r="AH43" s="135"/>
      <c r="AI43" s="136"/>
      <c r="AJ43" s="19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CE43" t="str">
        <v/>
      </c>
    </row>
    <row r="44" spans="1:83" ht="15" customHeight="1">
      <c r="A44" s="17">
        <v>37</v>
      </c>
      <c r="B44" s="127" t="s">
        <v>327</v>
      </c>
      <c r="C44" s="128"/>
      <c r="D44" s="98" t="s">
        <v>199</v>
      </c>
      <c r="E44" s="99"/>
      <c r="F44" s="128" t="s">
        <v>45</v>
      </c>
      <c r="G44" s="143">
        <v>0.57499999999999996</v>
      </c>
      <c r="H44" s="143">
        <v>0.03</v>
      </c>
      <c r="I44" s="143">
        <v>-0.03</v>
      </c>
      <c r="J44" s="128" t="s">
        <v>12</v>
      </c>
      <c r="K44" s="130" t="s">
        <v>293</v>
      </c>
      <c r="L44" s="131">
        <f t="shared" si="11"/>
        <v>0.60499999999999998</v>
      </c>
      <c r="M44" s="137">
        <f t="shared" si="12"/>
        <v>0.54499999999999993</v>
      </c>
      <c r="N44" s="27"/>
      <c r="O44" s="3" t="str">
        <f t="shared" si="13"/>
        <v/>
      </c>
      <c r="P44" s="3" t="str">
        <f t="shared" si="14"/>
        <v/>
      </c>
      <c r="Q44" s="3" t="str">
        <f t="shared" si="15"/>
        <v/>
      </c>
      <c r="R44" s="4" t="str">
        <f t="shared" si="16"/>
        <v/>
      </c>
      <c r="S44" s="5" t="str">
        <f t="shared" si="0"/>
        <v/>
      </c>
      <c r="T44" s="75" t="str">
        <f t="shared" si="1"/>
        <v/>
      </c>
      <c r="U44" s="75" t="str">
        <f t="shared" si="17"/>
        <v/>
      </c>
      <c r="V44" s="5" t="str">
        <f t="shared" si="2"/>
        <v/>
      </c>
      <c r="W44" s="5" t="str">
        <f t="shared" si="3"/>
        <v/>
      </c>
      <c r="X44" s="5" t="str">
        <f t="shared" si="4"/>
        <v/>
      </c>
      <c r="Y44" s="139" t="str">
        <f t="shared" si="5"/>
        <v/>
      </c>
      <c r="Z44" s="31" t="str">
        <f t="shared" si="18"/>
        <v/>
      </c>
      <c r="AA44" s="31" t="str">
        <f t="shared" si="19"/>
        <v/>
      </c>
      <c r="AB44" s="31" t="str">
        <f t="shared" si="20"/>
        <v/>
      </c>
      <c r="AC44" s="31" t="str">
        <f t="shared" si="6"/>
        <v/>
      </c>
      <c r="AD44" s="132"/>
      <c r="AE44" s="133" t="str">
        <f t="shared" si="21"/>
        <v/>
      </c>
      <c r="AF44" s="134"/>
      <c r="AG44" s="135"/>
      <c r="AH44" s="135"/>
      <c r="AI44" s="136"/>
      <c r="AJ44" s="19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CE44" t="str">
        <v/>
      </c>
    </row>
    <row r="45" spans="1:83" ht="15" customHeight="1">
      <c r="A45" s="17">
        <v>38</v>
      </c>
      <c r="B45" s="127" t="s">
        <v>328</v>
      </c>
      <c r="C45" s="128"/>
      <c r="D45" s="98" t="s">
        <v>199</v>
      </c>
      <c r="E45" s="99"/>
      <c r="F45" s="128" t="s">
        <v>45</v>
      </c>
      <c r="G45" s="143">
        <v>1.125</v>
      </c>
      <c r="H45" s="143">
        <v>0.03</v>
      </c>
      <c r="I45" s="143">
        <v>-0.03</v>
      </c>
      <c r="J45" s="128" t="s">
        <v>12</v>
      </c>
      <c r="K45" s="130" t="s">
        <v>293</v>
      </c>
      <c r="L45" s="131">
        <f t="shared" si="11"/>
        <v>1.155</v>
      </c>
      <c r="M45" s="137">
        <f t="shared" si="12"/>
        <v>1.095</v>
      </c>
      <c r="N45" s="27"/>
      <c r="O45" s="3" t="str">
        <f t="shared" si="13"/>
        <v/>
      </c>
      <c r="P45" s="3" t="str">
        <f t="shared" si="14"/>
        <v/>
      </c>
      <c r="Q45" s="3" t="str">
        <f t="shared" si="15"/>
        <v/>
      </c>
      <c r="R45" s="4" t="str">
        <f t="shared" si="16"/>
        <v/>
      </c>
      <c r="S45" s="5" t="str">
        <f t="shared" si="0"/>
        <v/>
      </c>
      <c r="T45" s="75" t="str">
        <f t="shared" si="1"/>
        <v/>
      </c>
      <c r="U45" s="75" t="str">
        <f t="shared" si="17"/>
        <v/>
      </c>
      <c r="V45" s="5" t="str">
        <f t="shared" si="2"/>
        <v/>
      </c>
      <c r="W45" s="5" t="str">
        <f t="shared" si="3"/>
        <v/>
      </c>
      <c r="X45" s="5" t="str">
        <f t="shared" si="4"/>
        <v/>
      </c>
      <c r="Y45" s="139" t="str">
        <f t="shared" si="5"/>
        <v/>
      </c>
      <c r="Z45" s="31" t="str">
        <f t="shared" si="18"/>
        <v/>
      </c>
      <c r="AA45" s="31" t="str">
        <f t="shared" si="19"/>
        <v/>
      </c>
      <c r="AB45" s="31" t="str">
        <f t="shared" si="20"/>
        <v/>
      </c>
      <c r="AC45" s="31" t="str">
        <f t="shared" si="6"/>
        <v/>
      </c>
      <c r="AD45" s="132"/>
      <c r="AE45" s="133" t="str">
        <f t="shared" si="21"/>
        <v/>
      </c>
      <c r="AF45" s="134"/>
      <c r="AG45" s="135"/>
      <c r="AH45" s="135"/>
      <c r="AI45" s="136"/>
      <c r="AJ45" s="19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CE45" t="str">
        <v/>
      </c>
    </row>
    <row r="46" spans="1:83" ht="15" customHeight="1">
      <c r="A46" s="17">
        <v>39</v>
      </c>
      <c r="B46" s="127" t="s">
        <v>329</v>
      </c>
      <c r="C46" s="128"/>
      <c r="D46" s="98" t="s">
        <v>199</v>
      </c>
      <c r="E46" s="99"/>
      <c r="F46" s="128" t="s">
        <v>45</v>
      </c>
      <c r="G46" s="143">
        <v>3.899</v>
      </c>
      <c r="H46" s="143">
        <v>0.03</v>
      </c>
      <c r="I46" s="143">
        <v>-0.03</v>
      </c>
      <c r="J46" s="128" t="s">
        <v>12</v>
      </c>
      <c r="K46" s="130" t="s">
        <v>293</v>
      </c>
      <c r="L46" s="131">
        <f t="shared" si="11"/>
        <v>3.9289999999999998</v>
      </c>
      <c r="M46" s="137">
        <f t="shared" si="12"/>
        <v>3.8690000000000002</v>
      </c>
      <c r="N46" s="27"/>
      <c r="O46" s="3" t="str">
        <f t="shared" si="13"/>
        <v/>
      </c>
      <c r="P46" s="3" t="str">
        <f t="shared" si="14"/>
        <v/>
      </c>
      <c r="Q46" s="3" t="str">
        <f t="shared" si="15"/>
        <v/>
      </c>
      <c r="R46" s="4" t="str">
        <f t="shared" si="16"/>
        <v/>
      </c>
      <c r="S46" s="5" t="str">
        <f t="shared" si="0"/>
        <v/>
      </c>
      <c r="T46" s="75" t="str">
        <f t="shared" si="1"/>
        <v/>
      </c>
      <c r="U46" s="75" t="str">
        <f t="shared" si="17"/>
        <v/>
      </c>
      <c r="V46" s="5" t="str">
        <f t="shared" si="2"/>
        <v/>
      </c>
      <c r="W46" s="5" t="str">
        <f t="shared" si="3"/>
        <v/>
      </c>
      <c r="X46" s="5" t="str">
        <f t="shared" si="4"/>
        <v/>
      </c>
      <c r="Y46" s="139" t="str">
        <f t="shared" si="5"/>
        <v/>
      </c>
      <c r="Z46" s="31" t="str">
        <f t="shared" si="18"/>
        <v/>
      </c>
      <c r="AA46" s="31" t="str">
        <f t="shared" si="19"/>
        <v/>
      </c>
      <c r="AB46" s="31" t="str">
        <f t="shared" si="20"/>
        <v/>
      </c>
      <c r="AC46" s="31" t="str">
        <f t="shared" si="6"/>
        <v/>
      </c>
      <c r="AD46" s="132"/>
      <c r="AE46" s="133" t="str">
        <f t="shared" si="21"/>
        <v/>
      </c>
      <c r="AF46" s="134"/>
      <c r="AG46" s="135"/>
      <c r="AH46" s="135"/>
      <c r="AI46" s="136"/>
      <c r="AJ46" s="19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CE46" t="str">
        <v/>
      </c>
    </row>
    <row r="47" spans="1:83" ht="15" customHeight="1">
      <c r="A47" s="17">
        <v>40</v>
      </c>
      <c r="B47" s="127" t="s">
        <v>330</v>
      </c>
      <c r="C47" s="128"/>
      <c r="D47" s="98" t="s">
        <v>199</v>
      </c>
      <c r="E47" s="99"/>
      <c r="F47" s="128" t="s">
        <v>45</v>
      </c>
      <c r="G47" s="143">
        <v>3.899</v>
      </c>
      <c r="H47" s="143">
        <v>0.03</v>
      </c>
      <c r="I47" s="143">
        <v>-0.03</v>
      </c>
      <c r="J47" s="128" t="s">
        <v>12</v>
      </c>
      <c r="K47" s="130" t="s">
        <v>293</v>
      </c>
      <c r="L47" s="131">
        <f t="shared" si="11"/>
        <v>3.9289999999999998</v>
      </c>
      <c r="M47" s="137">
        <f t="shared" si="12"/>
        <v>3.8690000000000002</v>
      </c>
      <c r="N47" s="27"/>
      <c r="O47" s="3" t="str">
        <f t="shared" si="13"/>
        <v/>
      </c>
      <c r="P47" s="3" t="str">
        <f t="shared" si="14"/>
        <v/>
      </c>
      <c r="Q47" s="3" t="str">
        <f t="shared" si="15"/>
        <v/>
      </c>
      <c r="R47" s="4" t="str">
        <f t="shared" si="16"/>
        <v/>
      </c>
      <c r="S47" s="5" t="str">
        <f t="shared" si="0"/>
        <v/>
      </c>
      <c r="T47" s="75" t="str">
        <f t="shared" si="1"/>
        <v/>
      </c>
      <c r="U47" s="75" t="str">
        <f t="shared" si="17"/>
        <v/>
      </c>
      <c r="V47" s="5" t="str">
        <f t="shared" si="2"/>
        <v/>
      </c>
      <c r="W47" s="5" t="str">
        <f t="shared" si="3"/>
        <v/>
      </c>
      <c r="X47" s="5" t="str">
        <f t="shared" si="4"/>
        <v/>
      </c>
      <c r="Y47" s="139" t="str">
        <f t="shared" si="5"/>
        <v/>
      </c>
      <c r="Z47" s="31" t="str">
        <f t="shared" si="18"/>
        <v/>
      </c>
      <c r="AA47" s="31" t="str">
        <f t="shared" si="19"/>
        <v/>
      </c>
      <c r="AB47" s="31" t="str">
        <f t="shared" si="20"/>
        <v/>
      </c>
      <c r="AC47" s="31" t="str">
        <f t="shared" si="6"/>
        <v/>
      </c>
      <c r="AD47" s="132"/>
      <c r="AE47" s="133" t="str">
        <f t="shared" si="21"/>
        <v/>
      </c>
      <c r="AF47" s="134"/>
      <c r="AG47" s="135"/>
      <c r="AH47" s="135"/>
      <c r="AI47" s="136"/>
      <c r="AJ47" s="19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CE47" t="str">
        <v/>
      </c>
    </row>
    <row r="48" spans="1:83" ht="15" customHeight="1">
      <c r="A48" s="17">
        <v>41</v>
      </c>
      <c r="B48" s="127" t="s">
        <v>331</v>
      </c>
      <c r="C48" s="128"/>
      <c r="D48" s="98" t="s">
        <v>199</v>
      </c>
      <c r="E48" s="99"/>
      <c r="F48" s="128" t="s">
        <v>45</v>
      </c>
      <c r="G48" s="143">
        <v>4.6340000000000003</v>
      </c>
      <c r="H48" s="143">
        <v>0.03</v>
      </c>
      <c r="I48" s="143">
        <v>-0.03</v>
      </c>
      <c r="J48" s="128" t="s">
        <v>12</v>
      </c>
      <c r="K48" s="130" t="s">
        <v>293</v>
      </c>
      <c r="L48" s="131">
        <f t="shared" si="11"/>
        <v>4.6640000000000006</v>
      </c>
      <c r="M48" s="137">
        <f t="shared" si="12"/>
        <v>4.6040000000000001</v>
      </c>
      <c r="N48" s="27"/>
      <c r="O48" s="3" t="str">
        <f t="shared" si="13"/>
        <v/>
      </c>
      <c r="P48" s="3" t="str">
        <f t="shared" si="14"/>
        <v/>
      </c>
      <c r="Q48" s="3" t="str">
        <f t="shared" si="15"/>
        <v/>
      </c>
      <c r="R48" s="4" t="str">
        <f t="shared" si="16"/>
        <v/>
      </c>
      <c r="S48" s="5" t="str">
        <f t="shared" si="0"/>
        <v/>
      </c>
      <c r="T48" s="75" t="str">
        <f t="shared" si="1"/>
        <v/>
      </c>
      <c r="U48" s="75" t="str">
        <f t="shared" si="17"/>
        <v/>
      </c>
      <c r="V48" s="5" t="str">
        <f t="shared" si="2"/>
        <v/>
      </c>
      <c r="W48" s="5" t="str">
        <f t="shared" si="3"/>
        <v/>
      </c>
      <c r="X48" s="5" t="str">
        <f t="shared" si="4"/>
        <v/>
      </c>
      <c r="Y48" s="139" t="str">
        <f t="shared" si="5"/>
        <v/>
      </c>
      <c r="Z48" s="31" t="str">
        <f t="shared" si="18"/>
        <v/>
      </c>
      <c r="AA48" s="31" t="str">
        <f t="shared" si="19"/>
        <v/>
      </c>
      <c r="AB48" s="31" t="str">
        <f t="shared" si="20"/>
        <v/>
      </c>
      <c r="AC48" s="31" t="str">
        <f t="shared" si="6"/>
        <v/>
      </c>
      <c r="AD48" s="132"/>
      <c r="AE48" s="133" t="str">
        <f t="shared" si="21"/>
        <v/>
      </c>
      <c r="AF48" s="134"/>
      <c r="AG48" s="135"/>
      <c r="AH48" s="135"/>
      <c r="AI48" s="136"/>
      <c r="AJ48" s="19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CE48" t="str">
        <v/>
      </c>
    </row>
    <row r="49" spans="1:83" ht="15" customHeight="1">
      <c r="A49" s="17">
        <v>42</v>
      </c>
      <c r="B49" s="127" t="s">
        <v>332</v>
      </c>
      <c r="C49" s="128"/>
      <c r="D49" s="98" t="s">
        <v>199</v>
      </c>
      <c r="E49" s="99"/>
      <c r="F49" s="128" t="s">
        <v>45</v>
      </c>
      <c r="G49" s="143">
        <v>1.01</v>
      </c>
      <c r="H49" s="143">
        <v>0.03</v>
      </c>
      <c r="I49" s="143">
        <v>-0.03</v>
      </c>
      <c r="J49" s="128" t="s">
        <v>12</v>
      </c>
      <c r="K49" s="130" t="s">
        <v>293</v>
      </c>
      <c r="L49" s="131">
        <f t="shared" si="11"/>
        <v>1.04</v>
      </c>
      <c r="M49" s="137">
        <f t="shared" si="12"/>
        <v>0.98</v>
      </c>
      <c r="N49" s="27"/>
      <c r="O49" s="3" t="str">
        <f t="shared" si="13"/>
        <v/>
      </c>
      <c r="P49" s="3" t="str">
        <f t="shared" si="14"/>
        <v/>
      </c>
      <c r="Q49" s="3" t="str">
        <f t="shared" si="15"/>
        <v/>
      </c>
      <c r="R49" s="4" t="str">
        <f t="shared" si="16"/>
        <v/>
      </c>
      <c r="S49" s="5" t="str">
        <f t="shared" si="0"/>
        <v/>
      </c>
      <c r="T49" s="75" t="str">
        <f t="shared" si="1"/>
        <v/>
      </c>
      <c r="U49" s="75" t="str">
        <f t="shared" si="17"/>
        <v/>
      </c>
      <c r="V49" s="5" t="str">
        <f t="shared" si="2"/>
        <v/>
      </c>
      <c r="W49" s="5" t="str">
        <f t="shared" si="3"/>
        <v/>
      </c>
      <c r="X49" s="5" t="str">
        <f t="shared" si="4"/>
        <v/>
      </c>
      <c r="Y49" s="139" t="str">
        <f t="shared" si="5"/>
        <v/>
      </c>
      <c r="Z49" s="31" t="str">
        <f t="shared" si="18"/>
        <v/>
      </c>
      <c r="AA49" s="31" t="str">
        <f t="shared" si="19"/>
        <v/>
      </c>
      <c r="AB49" s="31" t="str">
        <f t="shared" si="20"/>
        <v/>
      </c>
      <c r="AC49" s="31" t="str">
        <f t="shared" si="6"/>
        <v/>
      </c>
      <c r="AD49" s="132"/>
      <c r="AE49" s="133" t="str">
        <f t="shared" si="21"/>
        <v/>
      </c>
      <c r="AF49" s="134"/>
      <c r="AG49" s="135"/>
      <c r="AH49" s="135"/>
      <c r="AI49" s="136"/>
      <c r="AJ49" s="19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CE49" t="str">
        <v/>
      </c>
    </row>
    <row r="50" spans="1:83" ht="15" customHeight="1">
      <c r="A50" s="17">
        <v>43</v>
      </c>
      <c r="B50" s="127" t="s">
        <v>333</v>
      </c>
      <c r="C50" s="128"/>
      <c r="D50" s="98" t="s">
        <v>199</v>
      </c>
      <c r="E50" s="99"/>
      <c r="F50" s="128" t="s">
        <v>45</v>
      </c>
      <c r="G50" s="129">
        <v>11.074</v>
      </c>
      <c r="H50" s="143">
        <v>0.03</v>
      </c>
      <c r="I50" s="143">
        <v>-0.03</v>
      </c>
      <c r="J50" s="128" t="s">
        <v>12</v>
      </c>
      <c r="K50" s="130" t="s">
        <v>293</v>
      </c>
      <c r="L50" s="131">
        <f t="shared" si="11"/>
        <v>11.103999999999999</v>
      </c>
      <c r="M50" s="137">
        <f t="shared" si="12"/>
        <v>11.044</v>
      </c>
      <c r="N50" s="27"/>
      <c r="O50" s="3" t="str">
        <f t="shared" si="13"/>
        <v/>
      </c>
      <c r="P50" s="3" t="str">
        <f t="shared" si="14"/>
        <v/>
      </c>
      <c r="Q50" s="3" t="str">
        <f t="shared" si="15"/>
        <v/>
      </c>
      <c r="R50" s="4" t="str">
        <f t="shared" si="16"/>
        <v/>
      </c>
      <c r="S50" s="5" t="str">
        <f t="shared" si="0"/>
        <v/>
      </c>
      <c r="T50" s="75" t="str">
        <f t="shared" si="1"/>
        <v/>
      </c>
      <c r="U50" s="75" t="str">
        <f t="shared" si="17"/>
        <v/>
      </c>
      <c r="V50" s="5" t="str">
        <f t="shared" si="2"/>
        <v/>
      </c>
      <c r="W50" s="5" t="str">
        <f t="shared" si="3"/>
        <v/>
      </c>
      <c r="X50" s="5" t="str">
        <f t="shared" si="4"/>
        <v/>
      </c>
      <c r="Y50" s="139" t="str">
        <f t="shared" si="5"/>
        <v/>
      </c>
      <c r="Z50" s="31" t="str">
        <f t="shared" si="18"/>
        <v/>
      </c>
      <c r="AA50" s="31" t="str">
        <f t="shared" si="19"/>
        <v/>
      </c>
      <c r="AB50" s="31" t="str">
        <f t="shared" si="20"/>
        <v/>
      </c>
      <c r="AC50" s="31" t="str">
        <f t="shared" si="6"/>
        <v/>
      </c>
      <c r="AD50" s="132"/>
      <c r="AE50" s="133" t="str">
        <f t="shared" si="21"/>
        <v/>
      </c>
      <c r="AF50" s="134"/>
      <c r="AG50" s="135"/>
      <c r="AH50" s="135"/>
      <c r="AI50" s="136"/>
      <c r="AJ50" s="19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CE50" t="str">
        <v/>
      </c>
    </row>
    <row r="51" spans="1:83" ht="15" customHeight="1">
      <c r="A51" s="17">
        <v>44</v>
      </c>
      <c r="B51" s="127" t="s">
        <v>334</v>
      </c>
      <c r="C51" s="128"/>
      <c r="D51" s="98" t="s">
        <v>199</v>
      </c>
      <c r="E51" s="99"/>
      <c r="F51" s="128" t="s">
        <v>45</v>
      </c>
      <c r="G51" s="143">
        <v>14.792999999999999</v>
      </c>
      <c r="H51" s="143">
        <v>0.03</v>
      </c>
      <c r="I51" s="143">
        <v>-0.03</v>
      </c>
      <c r="J51" s="128" t="s">
        <v>12</v>
      </c>
      <c r="K51" s="130" t="s">
        <v>293</v>
      </c>
      <c r="L51" s="131">
        <f t="shared" si="11"/>
        <v>14.822999999999999</v>
      </c>
      <c r="M51" s="137">
        <f t="shared" si="12"/>
        <v>14.763</v>
      </c>
      <c r="N51" s="27"/>
      <c r="O51" s="3" t="str">
        <f t="shared" si="13"/>
        <v/>
      </c>
      <c r="P51" s="3" t="str">
        <f t="shared" si="14"/>
        <v/>
      </c>
      <c r="Q51" s="3" t="str">
        <f t="shared" si="15"/>
        <v/>
      </c>
      <c r="R51" s="4" t="str">
        <f t="shared" si="16"/>
        <v/>
      </c>
      <c r="S51" s="5" t="str">
        <f t="shared" si="0"/>
        <v/>
      </c>
      <c r="T51" s="75" t="str">
        <f t="shared" si="1"/>
        <v/>
      </c>
      <c r="U51" s="75" t="str">
        <f t="shared" si="17"/>
        <v/>
      </c>
      <c r="V51" s="5" t="str">
        <f t="shared" si="2"/>
        <v/>
      </c>
      <c r="W51" s="5" t="str">
        <f t="shared" si="3"/>
        <v/>
      </c>
      <c r="X51" s="5" t="str">
        <f t="shared" si="4"/>
        <v/>
      </c>
      <c r="Y51" s="139" t="str">
        <f t="shared" si="5"/>
        <v/>
      </c>
      <c r="Z51" s="31" t="str">
        <f t="shared" si="18"/>
        <v/>
      </c>
      <c r="AA51" s="31" t="str">
        <f t="shared" si="19"/>
        <v/>
      </c>
      <c r="AB51" s="31" t="str">
        <f t="shared" si="20"/>
        <v/>
      </c>
      <c r="AC51" s="31" t="str">
        <f t="shared" si="6"/>
        <v/>
      </c>
      <c r="AD51" s="132"/>
      <c r="AE51" s="133" t="str">
        <f t="shared" si="21"/>
        <v/>
      </c>
      <c r="AF51" s="134"/>
      <c r="AG51" s="135"/>
      <c r="AH51" s="135"/>
      <c r="AI51" s="136"/>
      <c r="AJ51" s="19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CE51" t="str">
        <v/>
      </c>
    </row>
    <row r="52" spans="1:83" ht="15" customHeight="1">
      <c r="A52" s="17">
        <v>45</v>
      </c>
      <c r="B52" s="127" t="s">
        <v>335</v>
      </c>
      <c r="C52" s="128" t="s">
        <v>119</v>
      </c>
      <c r="D52" s="98" t="s">
        <v>375</v>
      </c>
      <c r="E52" s="99">
        <v>1.33</v>
      </c>
      <c r="F52" s="128" t="s">
        <v>45</v>
      </c>
      <c r="G52" s="143">
        <v>0.13500000000000001</v>
      </c>
      <c r="H52" s="143">
        <v>5.0000000000000001E-3</v>
      </c>
      <c r="I52" s="143">
        <v>-5.0000000000000001E-3</v>
      </c>
      <c r="J52" s="128" t="s">
        <v>31</v>
      </c>
      <c r="K52" s="130" t="s">
        <v>293</v>
      </c>
      <c r="L52" s="131">
        <f t="shared" si="11"/>
        <v>0.14000000000000001</v>
      </c>
      <c r="M52" s="137">
        <f t="shared" si="12"/>
        <v>0.13</v>
      </c>
      <c r="N52" s="27"/>
      <c r="O52" s="3" t="str">
        <f t="shared" si="13"/>
        <v/>
      </c>
      <c r="P52" s="3" t="str">
        <f t="shared" si="14"/>
        <v/>
      </c>
      <c r="Q52" s="3" t="str">
        <f t="shared" si="15"/>
        <v/>
      </c>
      <c r="R52" s="4" t="str">
        <f t="shared" si="16"/>
        <v/>
      </c>
      <c r="S52" s="5" t="str">
        <f t="shared" si="0"/>
        <v/>
      </c>
      <c r="T52" s="75" t="str">
        <f t="shared" si="1"/>
        <v/>
      </c>
      <c r="U52" s="75" t="str">
        <f t="shared" si="17"/>
        <v/>
      </c>
      <c r="V52" s="5" t="str">
        <f t="shared" si="2"/>
        <v/>
      </c>
      <c r="W52" s="5" t="str">
        <f t="shared" si="3"/>
        <v/>
      </c>
      <c r="X52" s="5" t="str">
        <f t="shared" si="4"/>
        <v/>
      </c>
      <c r="Y52" s="139" t="str">
        <f t="shared" si="5"/>
        <v/>
      </c>
      <c r="Z52" s="31" t="str">
        <f t="shared" si="18"/>
        <v/>
      </c>
      <c r="AA52" s="31" t="str">
        <f t="shared" si="19"/>
        <v/>
      </c>
      <c r="AB52" s="31" t="str">
        <f t="shared" si="20"/>
        <v/>
      </c>
      <c r="AC52" s="31" t="str">
        <f t="shared" si="6"/>
        <v/>
      </c>
      <c r="AD52" s="132"/>
      <c r="AE52" s="133" t="str">
        <f t="shared" si="21"/>
        <v/>
      </c>
      <c r="AF52" s="134"/>
      <c r="AG52" s="135"/>
      <c r="AH52" s="135"/>
      <c r="AI52" s="136"/>
      <c r="AJ52" s="19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CE52" t="str">
        <v/>
      </c>
    </row>
    <row r="53" spans="1:83" ht="15" customHeight="1">
      <c r="A53" s="17">
        <v>46</v>
      </c>
      <c r="B53" s="127" t="s">
        <v>336</v>
      </c>
      <c r="C53" s="128"/>
      <c r="D53" s="98" t="s">
        <v>199</v>
      </c>
      <c r="E53" s="99"/>
      <c r="F53" s="128" t="s">
        <v>45</v>
      </c>
      <c r="G53" s="143">
        <v>2.17</v>
      </c>
      <c r="H53" s="143">
        <v>0.03</v>
      </c>
      <c r="I53" s="143">
        <v>-0.03</v>
      </c>
      <c r="J53" s="128" t="s">
        <v>12</v>
      </c>
      <c r="K53" s="130" t="s">
        <v>293</v>
      </c>
      <c r="L53" s="131">
        <f t="shared" si="11"/>
        <v>2.1999999999999997</v>
      </c>
      <c r="M53" s="137">
        <f t="shared" si="12"/>
        <v>2.14</v>
      </c>
      <c r="N53" s="27"/>
      <c r="O53" s="3" t="str">
        <f t="shared" si="13"/>
        <v/>
      </c>
      <c r="P53" s="3" t="str">
        <f t="shared" si="14"/>
        <v/>
      </c>
      <c r="Q53" s="3" t="str">
        <f t="shared" si="15"/>
        <v/>
      </c>
      <c r="R53" s="4" t="str">
        <f t="shared" si="16"/>
        <v/>
      </c>
      <c r="S53" s="5" t="str">
        <f t="shared" si="0"/>
        <v/>
      </c>
      <c r="T53" s="75" t="str">
        <f t="shared" si="1"/>
        <v/>
      </c>
      <c r="U53" s="75" t="str">
        <f t="shared" si="17"/>
        <v/>
      </c>
      <c r="V53" s="5" t="str">
        <f t="shared" si="2"/>
        <v/>
      </c>
      <c r="W53" s="5" t="str">
        <f t="shared" si="3"/>
        <v/>
      </c>
      <c r="X53" s="5" t="str">
        <f t="shared" si="4"/>
        <v/>
      </c>
      <c r="Y53" s="139" t="str">
        <f t="shared" si="5"/>
        <v/>
      </c>
      <c r="Z53" s="31" t="str">
        <f t="shared" si="18"/>
        <v/>
      </c>
      <c r="AA53" s="31" t="str">
        <f t="shared" si="19"/>
        <v/>
      </c>
      <c r="AB53" s="31" t="str">
        <f t="shared" si="20"/>
        <v/>
      </c>
      <c r="AC53" s="31" t="str">
        <f t="shared" si="6"/>
        <v/>
      </c>
      <c r="AD53" s="132"/>
      <c r="AE53" s="133" t="str">
        <f t="shared" si="21"/>
        <v/>
      </c>
      <c r="AF53" s="134"/>
      <c r="AG53" s="135"/>
      <c r="AH53" s="135"/>
      <c r="AI53" s="136"/>
      <c r="AJ53" s="19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CE53" t="str">
        <v/>
      </c>
    </row>
    <row r="54" spans="1:83" ht="15" customHeight="1">
      <c r="A54" s="17">
        <v>47</v>
      </c>
      <c r="B54" s="127" t="s">
        <v>337</v>
      </c>
      <c r="C54" s="128"/>
      <c r="D54" s="98" t="s">
        <v>199</v>
      </c>
      <c r="E54" s="99"/>
      <c r="F54" s="128" t="s">
        <v>45</v>
      </c>
      <c r="G54" s="143">
        <v>2.17</v>
      </c>
      <c r="H54" s="143">
        <v>0.03</v>
      </c>
      <c r="I54" s="143">
        <v>-0.03</v>
      </c>
      <c r="J54" s="128" t="s">
        <v>12</v>
      </c>
      <c r="K54" s="130" t="s">
        <v>293</v>
      </c>
      <c r="L54" s="131">
        <f t="shared" si="11"/>
        <v>2.1999999999999997</v>
      </c>
      <c r="M54" s="137">
        <f t="shared" si="12"/>
        <v>2.14</v>
      </c>
      <c r="N54" s="27"/>
      <c r="O54" s="3" t="str">
        <f t="shared" si="13"/>
        <v/>
      </c>
      <c r="P54" s="3" t="str">
        <f t="shared" si="14"/>
        <v/>
      </c>
      <c r="Q54" s="3" t="str">
        <f t="shared" si="15"/>
        <v/>
      </c>
      <c r="R54" s="4" t="str">
        <f t="shared" si="16"/>
        <v/>
      </c>
      <c r="S54" s="5" t="str">
        <f t="shared" si="0"/>
        <v/>
      </c>
      <c r="T54" s="75" t="str">
        <f t="shared" si="1"/>
        <v/>
      </c>
      <c r="U54" s="75" t="str">
        <f t="shared" si="17"/>
        <v/>
      </c>
      <c r="V54" s="5" t="str">
        <f t="shared" si="2"/>
        <v/>
      </c>
      <c r="W54" s="5" t="str">
        <f t="shared" si="3"/>
        <v/>
      </c>
      <c r="X54" s="5" t="str">
        <f t="shared" si="4"/>
        <v/>
      </c>
      <c r="Y54" s="139" t="str">
        <f t="shared" si="5"/>
        <v/>
      </c>
      <c r="Z54" s="31" t="str">
        <f t="shared" si="18"/>
        <v/>
      </c>
      <c r="AA54" s="31" t="str">
        <f t="shared" si="19"/>
        <v/>
      </c>
      <c r="AB54" s="31" t="str">
        <f t="shared" si="20"/>
        <v/>
      </c>
      <c r="AC54" s="31" t="str">
        <f t="shared" si="6"/>
        <v/>
      </c>
      <c r="AD54" s="132"/>
      <c r="AE54" s="133" t="str">
        <f t="shared" si="21"/>
        <v/>
      </c>
      <c r="AF54" s="134"/>
      <c r="AG54" s="135"/>
      <c r="AH54" s="135"/>
      <c r="AI54" s="136"/>
      <c r="AJ54" s="19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CE54" t="str">
        <v/>
      </c>
    </row>
    <row r="55" spans="1:83" ht="15" customHeight="1">
      <c r="A55" s="17">
        <v>48</v>
      </c>
      <c r="B55" s="127" t="s">
        <v>338</v>
      </c>
      <c r="C55" s="128"/>
      <c r="D55" s="98" t="s">
        <v>199</v>
      </c>
      <c r="E55" s="99"/>
      <c r="F55" s="128" t="s">
        <v>45</v>
      </c>
      <c r="G55" s="143">
        <v>14.343999999999999</v>
      </c>
      <c r="H55" s="143">
        <v>0.03</v>
      </c>
      <c r="I55" s="143">
        <v>-0.03</v>
      </c>
      <c r="J55" s="128" t="s">
        <v>12</v>
      </c>
      <c r="K55" s="130" t="s">
        <v>293</v>
      </c>
      <c r="L55" s="131">
        <f t="shared" si="11"/>
        <v>14.373999999999999</v>
      </c>
      <c r="M55" s="137">
        <f t="shared" si="12"/>
        <v>14.314</v>
      </c>
      <c r="N55" s="27"/>
      <c r="O55" s="3" t="str">
        <f t="shared" si="13"/>
        <v/>
      </c>
      <c r="P55" s="3" t="str">
        <f t="shared" si="14"/>
        <v/>
      </c>
      <c r="Q55" s="3" t="str">
        <f t="shared" si="15"/>
        <v/>
      </c>
      <c r="R55" s="4" t="str">
        <f t="shared" si="16"/>
        <v/>
      </c>
      <c r="S55" s="5" t="str">
        <f t="shared" si="0"/>
        <v/>
      </c>
      <c r="T55" s="75" t="str">
        <f t="shared" si="1"/>
        <v/>
      </c>
      <c r="U55" s="75" t="str">
        <f t="shared" si="17"/>
        <v/>
      </c>
      <c r="V55" s="5" t="str">
        <f t="shared" si="2"/>
        <v/>
      </c>
      <c r="W55" s="5" t="str">
        <f t="shared" si="3"/>
        <v/>
      </c>
      <c r="X55" s="5" t="str">
        <f t="shared" si="4"/>
        <v/>
      </c>
      <c r="Y55" s="139" t="str">
        <f t="shared" si="5"/>
        <v/>
      </c>
      <c r="Z55" s="31" t="str">
        <f t="shared" si="18"/>
        <v/>
      </c>
      <c r="AA55" s="31" t="str">
        <f t="shared" si="19"/>
        <v/>
      </c>
      <c r="AB55" s="31" t="str">
        <f t="shared" si="20"/>
        <v/>
      </c>
      <c r="AC55" s="31" t="str">
        <f t="shared" si="6"/>
        <v/>
      </c>
      <c r="AD55" s="132"/>
      <c r="AE55" s="133" t="str">
        <f t="shared" si="21"/>
        <v/>
      </c>
      <c r="AF55" s="134"/>
      <c r="AG55" s="135"/>
      <c r="AH55" s="135"/>
      <c r="AI55" s="136"/>
      <c r="AJ55" s="19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CE55" t="str">
        <v/>
      </c>
    </row>
    <row r="56" spans="1:83" ht="15" customHeight="1">
      <c r="A56" s="17">
        <v>49</v>
      </c>
      <c r="B56" s="127" t="s">
        <v>339</v>
      </c>
      <c r="C56" s="128"/>
      <c r="D56" s="98" t="s">
        <v>199</v>
      </c>
      <c r="E56" s="99"/>
      <c r="F56" s="128" t="s">
        <v>45</v>
      </c>
      <c r="G56" s="143">
        <v>14.343999999999999</v>
      </c>
      <c r="H56" s="143">
        <v>0.03</v>
      </c>
      <c r="I56" s="143">
        <v>-0.03</v>
      </c>
      <c r="J56" s="128" t="s">
        <v>12</v>
      </c>
      <c r="K56" s="130" t="s">
        <v>293</v>
      </c>
      <c r="L56" s="131">
        <f t="shared" si="11"/>
        <v>14.373999999999999</v>
      </c>
      <c r="M56" s="137">
        <f t="shared" si="12"/>
        <v>14.314</v>
      </c>
      <c r="N56" s="26"/>
      <c r="O56" s="3" t="str">
        <f t="shared" si="13"/>
        <v/>
      </c>
      <c r="P56" s="3" t="str">
        <f t="shared" si="14"/>
        <v/>
      </c>
      <c r="Q56" s="3" t="str">
        <f t="shared" si="15"/>
        <v/>
      </c>
      <c r="R56" s="4" t="str">
        <f t="shared" si="16"/>
        <v/>
      </c>
      <c r="S56" s="5" t="str">
        <f t="shared" si="0"/>
        <v/>
      </c>
      <c r="T56" s="75" t="str">
        <f t="shared" si="1"/>
        <v/>
      </c>
      <c r="U56" s="75" t="str">
        <f t="shared" si="17"/>
        <v/>
      </c>
      <c r="V56" s="5" t="str">
        <f t="shared" si="2"/>
        <v/>
      </c>
      <c r="W56" s="5" t="str">
        <f t="shared" si="3"/>
        <v/>
      </c>
      <c r="X56" s="5" t="str">
        <f t="shared" si="4"/>
        <v/>
      </c>
      <c r="Y56" s="71" t="str">
        <f t="shared" si="5"/>
        <v/>
      </c>
      <c r="Z56" s="31" t="str">
        <f t="shared" si="18"/>
        <v/>
      </c>
      <c r="AA56" s="31" t="str">
        <f t="shared" si="19"/>
        <v/>
      </c>
      <c r="AB56" s="31" t="str">
        <f t="shared" si="20"/>
        <v/>
      </c>
      <c r="AC56" s="31" t="str">
        <f t="shared" si="6"/>
        <v/>
      </c>
      <c r="AD56" s="132"/>
      <c r="AE56" s="133" t="str">
        <f t="shared" si="21"/>
        <v/>
      </c>
      <c r="AF56" s="134"/>
      <c r="AG56" s="135"/>
      <c r="AH56" s="135"/>
      <c r="AI56" s="136"/>
      <c r="AJ56" s="21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CE56" t="str">
        <v/>
      </c>
    </row>
    <row r="57" spans="1:83" ht="15" customHeight="1">
      <c r="A57" s="17">
        <v>50</v>
      </c>
      <c r="B57" s="127" t="s">
        <v>340</v>
      </c>
      <c r="C57" s="128"/>
      <c r="D57" s="98" t="s">
        <v>199</v>
      </c>
      <c r="E57" s="99"/>
      <c r="F57" s="128" t="s">
        <v>45</v>
      </c>
      <c r="G57" s="143">
        <v>0.2</v>
      </c>
      <c r="H57" s="143">
        <v>0.04</v>
      </c>
      <c r="I57" s="143">
        <v>-7.0000000000000007E-2</v>
      </c>
      <c r="J57" s="128" t="s">
        <v>12</v>
      </c>
      <c r="K57" s="130" t="s">
        <v>293</v>
      </c>
      <c r="L57" s="131">
        <f t="shared" si="11"/>
        <v>0.24000000000000002</v>
      </c>
      <c r="M57" s="137">
        <f t="shared" si="12"/>
        <v>0.13</v>
      </c>
      <c r="N57" s="26"/>
      <c r="O57" s="3" t="str">
        <f t="shared" si="13"/>
        <v/>
      </c>
      <c r="P57" s="3" t="str">
        <f t="shared" si="14"/>
        <v/>
      </c>
      <c r="Q57" s="3" t="str">
        <f t="shared" si="15"/>
        <v/>
      </c>
      <c r="R57" s="4" t="str">
        <f t="shared" si="16"/>
        <v/>
      </c>
      <c r="S57" s="5" t="str">
        <f t="shared" si="0"/>
        <v/>
      </c>
      <c r="T57" s="75" t="str">
        <f t="shared" si="1"/>
        <v/>
      </c>
      <c r="U57" s="75" t="str">
        <f t="shared" si="17"/>
        <v/>
      </c>
      <c r="V57" s="5" t="str">
        <f t="shared" si="2"/>
        <v/>
      </c>
      <c r="W57" s="5" t="str">
        <f t="shared" si="3"/>
        <v/>
      </c>
      <c r="X57" s="5" t="str">
        <f t="shared" si="4"/>
        <v/>
      </c>
      <c r="Y57" s="71" t="str">
        <f t="shared" si="5"/>
        <v/>
      </c>
      <c r="Z57" s="31" t="str">
        <f t="shared" si="18"/>
        <v/>
      </c>
      <c r="AA57" s="31" t="str">
        <f t="shared" si="19"/>
        <v/>
      </c>
      <c r="AB57" s="31" t="str">
        <f t="shared" si="20"/>
        <v/>
      </c>
      <c r="AC57" s="31" t="str">
        <f t="shared" si="6"/>
        <v/>
      </c>
      <c r="AD57" s="132"/>
      <c r="AE57" s="133" t="str">
        <f t="shared" si="21"/>
        <v/>
      </c>
      <c r="AF57" s="134"/>
      <c r="AG57" s="135"/>
      <c r="AH57" s="135"/>
      <c r="AI57" s="136"/>
      <c r="AJ57" s="21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CE57" t="str">
        <v/>
      </c>
    </row>
    <row r="58" spans="1:83" ht="15" customHeight="1">
      <c r="A58" s="17">
        <v>51</v>
      </c>
      <c r="B58" s="127" t="s">
        <v>341</v>
      </c>
      <c r="C58" s="128"/>
      <c r="D58" s="98" t="s">
        <v>199</v>
      </c>
      <c r="E58" s="99"/>
      <c r="F58" s="128" t="s">
        <v>45</v>
      </c>
      <c r="G58" s="143">
        <v>0.2</v>
      </c>
      <c r="H58" s="143">
        <v>0.04</v>
      </c>
      <c r="I58" s="143">
        <v>-7.0000000000000007E-2</v>
      </c>
      <c r="J58" s="128" t="s">
        <v>12</v>
      </c>
      <c r="K58" s="130" t="s">
        <v>293</v>
      </c>
      <c r="L58" s="131">
        <f t="shared" si="11"/>
        <v>0.24000000000000002</v>
      </c>
      <c r="M58" s="137">
        <f t="shared" si="12"/>
        <v>0.13</v>
      </c>
      <c r="N58" s="27"/>
      <c r="O58" s="3" t="str">
        <f t="shared" si="13"/>
        <v/>
      </c>
      <c r="P58" s="3" t="str">
        <f t="shared" si="14"/>
        <v/>
      </c>
      <c r="Q58" s="3" t="str">
        <f t="shared" si="15"/>
        <v/>
      </c>
      <c r="R58" s="4" t="str">
        <f t="shared" si="16"/>
        <v/>
      </c>
      <c r="S58" s="5" t="str">
        <f t="shared" si="0"/>
        <v/>
      </c>
      <c r="T58" s="75" t="str">
        <f t="shared" si="1"/>
        <v/>
      </c>
      <c r="U58" s="75" t="str">
        <f t="shared" si="17"/>
        <v/>
      </c>
      <c r="V58" s="5" t="str">
        <f t="shared" si="2"/>
        <v/>
      </c>
      <c r="W58" s="5" t="str">
        <f t="shared" si="3"/>
        <v/>
      </c>
      <c r="X58" s="5" t="str">
        <f t="shared" si="4"/>
        <v/>
      </c>
      <c r="Y58" s="71" t="str">
        <f t="shared" si="5"/>
        <v/>
      </c>
      <c r="Z58" s="31" t="str">
        <f t="shared" si="18"/>
        <v/>
      </c>
      <c r="AA58" s="31" t="str">
        <f t="shared" si="19"/>
        <v/>
      </c>
      <c r="AB58" s="31" t="str">
        <f t="shared" si="20"/>
        <v/>
      </c>
      <c r="AC58" s="31" t="str">
        <f t="shared" si="6"/>
        <v/>
      </c>
      <c r="AD58" s="132"/>
      <c r="AE58" s="133" t="str">
        <f t="shared" si="21"/>
        <v/>
      </c>
      <c r="AF58" s="134"/>
      <c r="AG58" s="135"/>
      <c r="AH58" s="135"/>
      <c r="AI58" s="136"/>
      <c r="AJ58" s="19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CE58" t="str">
        <v/>
      </c>
    </row>
    <row r="59" spans="1:83" ht="15" customHeight="1">
      <c r="A59" s="17">
        <v>52</v>
      </c>
      <c r="B59" s="127" t="s">
        <v>342</v>
      </c>
      <c r="C59" s="128"/>
      <c r="D59" s="98" t="s">
        <v>199</v>
      </c>
      <c r="E59" s="99"/>
      <c r="F59" s="128" t="s">
        <v>45</v>
      </c>
      <c r="G59" s="143">
        <v>1.0900000000000001</v>
      </c>
      <c r="H59" s="143">
        <v>0.03</v>
      </c>
      <c r="I59" s="143">
        <v>-0.03</v>
      </c>
      <c r="J59" s="128" t="s">
        <v>12</v>
      </c>
      <c r="K59" s="130" t="s">
        <v>293</v>
      </c>
      <c r="L59" s="131">
        <f t="shared" si="11"/>
        <v>1.1200000000000001</v>
      </c>
      <c r="M59" s="137">
        <f t="shared" si="12"/>
        <v>1.06</v>
      </c>
      <c r="N59" s="27"/>
      <c r="O59" s="3" t="str">
        <f t="shared" si="13"/>
        <v/>
      </c>
      <c r="P59" s="3" t="str">
        <f t="shared" si="14"/>
        <v/>
      </c>
      <c r="Q59" s="3" t="str">
        <f t="shared" si="15"/>
        <v/>
      </c>
      <c r="R59" s="4" t="str">
        <f t="shared" si="16"/>
        <v/>
      </c>
      <c r="S59" s="5" t="str">
        <f t="shared" si="0"/>
        <v/>
      </c>
      <c r="T59" s="75" t="str">
        <f t="shared" si="1"/>
        <v/>
      </c>
      <c r="U59" s="75" t="str">
        <f t="shared" si="17"/>
        <v/>
      </c>
      <c r="V59" s="5" t="str">
        <f t="shared" si="2"/>
        <v/>
      </c>
      <c r="W59" s="5" t="str">
        <f t="shared" si="3"/>
        <v/>
      </c>
      <c r="X59" s="5" t="str">
        <f t="shared" si="4"/>
        <v/>
      </c>
      <c r="Y59" s="71" t="str">
        <f t="shared" si="5"/>
        <v/>
      </c>
      <c r="Z59" s="31" t="str">
        <f t="shared" si="18"/>
        <v/>
      </c>
      <c r="AA59" s="31" t="str">
        <f t="shared" si="19"/>
        <v/>
      </c>
      <c r="AB59" s="31" t="str">
        <f t="shared" si="20"/>
        <v/>
      </c>
      <c r="AC59" s="31" t="str">
        <f t="shared" si="6"/>
        <v/>
      </c>
      <c r="AD59" s="132"/>
      <c r="AE59" s="133" t="str">
        <f t="shared" si="21"/>
        <v/>
      </c>
      <c r="AF59" s="134"/>
      <c r="AG59" s="135"/>
      <c r="AH59" s="135"/>
      <c r="AI59" s="136"/>
      <c r="AJ59" s="19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CE59" t="str">
        <v/>
      </c>
    </row>
    <row r="60" spans="1:83" ht="15" customHeight="1">
      <c r="A60" s="17">
        <v>53</v>
      </c>
      <c r="B60" s="127" t="s">
        <v>343</v>
      </c>
      <c r="C60" s="128"/>
      <c r="D60" s="98" t="s">
        <v>199</v>
      </c>
      <c r="E60" s="99"/>
      <c r="F60" s="128" t="s">
        <v>45</v>
      </c>
      <c r="G60" s="143">
        <v>14.917999999999999</v>
      </c>
      <c r="H60" s="143">
        <v>0.03</v>
      </c>
      <c r="I60" s="143">
        <v>-0.03</v>
      </c>
      <c r="J60" s="128" t="s">
        <v>12</v>
      </c>
      <c r="K60" s="130" t="s">
        <v>293</v>
      </c>
      <c r="L60" s="131">
        <f t="shared" si="11"/>
        <v>14.947999999999999</v>
      </c>
      <c r="M60" s="137">
        <f t="shared" si="12"/>
        <v>14.888</v>
      </c>
      <c r="N60" s="26"/>
      <c r="O60" s="3" t="str">
        <f t="shared" si="13"/>
        <v/>
      </c>
      <c r="P60" s="3" t="str">
        <f t="shared" si="14"/>
        <v/>
      </c>
      <c r="Q60" s="3" t="str">
        <f t="shared" si="15"/>
        <v/>
      </c>
      <c r="R60" s="4" t="str">
        <f t="shared" si="16"/>
        <v/>
      </c>
      <c r="S60" s="5" t="str">
        <f t="shared" si="0"/>
        <v/>
      </c>
      <c r="T60" s="75" t="str">
        <f t="shared" si="1"/>
        <v/>
      </c>
      <c r="U60" s="75" t="str">
        <f t="shared" si="17"/>
        <v/>
      </c>
      <c r="V60" s="5" t="str">
        <f t="shared" si="2"/>
        <v/>
      </c>
      <c r="W60" s="5" t="str">
        <f t="shared" si="3"/>
        <v/>
      </c>
      <c r="X60" s="5" t="str">
        <f t="shared" si="4"/>
        <v/>
      </c>
      <c r="Y60" s="71" t="str">
        <f t="shared" si="5"/>
        <v/>
      </c>
      <c r="Z60" s="31" t="str">
        <f t="shared" si="18"/>
        <v/>
      </c>
      <c r="AA60" s="31" t="str">
        <f t="shared" si="19"/>
        <v/>
      </c>
      <c r="AB60" s="31" t="str">
        <f t="shared" si="20"/>
        <v/>
      </c>
      <c r="AC60" s="31" t="str">
        <f t="shared" si="6"/>
        <v/>
      </c>
      <c r="AD60" s="132"/>
      <c r="AE60" s="133" t="str">
        <f t="shared" si="21"/>
        <v/>
      </c>
      <c r="AF60" s="134"/>
      <c r="AG60" s="135"/>
      <c r="AH60" s="135"/>
      <c r="AI60" s="136"/>
      <c r="AJ60" s="21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CE60" t="str">
        <v/>
      </c>
    </row>
    <row r="61" spans="1:83" ht="15" customHeight="1">
      <c r="A61" s="17">
        <v>54</v>
      </c>
      <c r="B61" s="127" t="s">
        <v>344</v>
      </c>
      <c r="C61" s="128"/>
      <c r="D61" s="98" t="s">
        <v>199</v>
      </c>
      <c r="E61" s="99"/>
      <c r="F61" s="128" t="s">
        <v>45</v>
      </c>
      <c r="G61" s="143">
        <v>1</v>
      </c>
      <c r="H61" s="143">
        <v>0.03</v>
      </c>
      <c r="I61" s="143">
        <v>-0.03</v>
      </c>
      <c r="J61" s="128" t="s">
        <v>12</v>
      </c>
      <c r="K61" s="130" t="s">
        <v>293</v>
      </c>
      <c r="L61" s="131">
        <f t="shared" si="11"/>
        <v>1.03</v>
      </c>
      <c r="M61" s="137">
        <f t="shared" si="12"/>
        <v>0.97</v>
      </c>
      <c r="N61" s="26"/>
      <c r="O61" s="3" t="str">
        <f t="shared" si="13"/>
        <v/>
      </c>
      <c r="P61" s="3" t="str">
        <f t="shared" si="14"/>
        <v/>
      </c>
      <c r="Q61" s="3" t="str">
        <f t="shared" si="15"/>
        <v/>
      </c>
      <c r="R61" s="4" t="str">
        <f t="shared" si="16"/>
        <v/>
      </c>
      <c r="S61" s="5" t="str">
        <f t="shared" si="0"/>
        <v/>
      </c>
      <c r="T61" s="75" t="str">
        <f t="shared" si="1"/>
        <v/>
      </c>
      <c r="U61" s="75" t="str">
        <f t="shared" si="17"/>
        <v/>
      </c>
      <c r="V61" s="5" t="str">
        <f t="shared" si="2"/>
        <v/>
      </c>
      <c r="W61" s="5" t="str">
        <f t="shared" si="3"/>
        <v/>
      </c>
      <c r="X61" s="5" t="str">
        <f t="shared" si="4"/>
        <v/>
      </c>
      <c r="Y61" s="71" t="str">
        <f t="shared" si="5"/>
        <v/>
      </c>
      <c r="Z61" s="31" t="str">
        <f t="shared" si="18"/>
        <v/>
      </c>
      <c r="AA61" s="31" t="str">
        <f t="shared" si="19"/>
        <v/>
      </c>
      <c r="AB61" s="31" t="str">
        <f t="shared" si="20"/>
        <v/>
      </c>
      <c r="AC61" s="31" t="str">
        <f t="shared" si="6"/>
        <v/>
      </c>
      <c r="AD61" s="132"/>
      <c r="AE61" s="133" t="str">
        <f t="shared" si="21"/>
        <v/>
      </c>
      <c r="AF61" s="134"/>
      <c r="AG61" s="135"/>
      <c r="AH61" s="135"/>
      <c r="AI61" s="136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CE61" t="str">
        <v/>
      </c>
    </row>
    <row r="62" spans="1:83" ht="15" customHeight="1">
      <c r="A62" s="17">
        <v>55</v>
      </c>
      <c r="B62" s="127" t="s">
        <v>345</v>
      </c>
      <c r="C62" s="128"/>
      <c r="D62" s="98" t="s">
        <v>199</v>
      </c>
      <c r="E62" s="99"/>
      <c r="F62" s="128" t="s">
        <v>45</v>
      </c>
      <c r="G62" s="143">
        <v>0.95</v>
      </c>
      <c r="H62" s="143">
        <v>0.03</v>
      </c>
      <c r="I62" s="143">
        <v>-0.03</v>
      </c>
      <c r="J62" s="128" t="s">
        <v>12</v>
      </c>
      <c r="K62" s="130" t="s">
        <v>293</v>
      </c>
      <c r="L62" s="131">
        <f t="shared" si="11"/>
        <v>0.98</v>
      </c>
      <c r="M62" s="137">
        <f t="shared" si="12"/>
        <v>0.91999999999999993</v>
      </c>
      <c r="N62" s="26"/>
      <c r="O62" s="3" t="str">
        <f t="shared" si="13"/>
        <v/>
      </c>
      <c r="P62" s="3" t="str">
        <f t="shared" si="14"/>
        <v/>
      </c>
      <c r="Q62" s="3" t="str">
        <f t="shared" si="15"/>
        <v/>
      </c>
      <c r="R62" s="4" t="str">
        <f t="shared" si="16"/>
        <v/>
      </c>
      <c r="S62" s="5" t="str">
        <f t="shared" si="0"/>
        <v/>
      </c>
      <c r="T62" s="75" t="str">
        <f t="shared" si="1"/>
        <v/>
      </c>
      <c r="U62" s="75" t="str">
        <f t="shared" si="17"/>
        <v/>
      </c>
      <c r="V62" s="5" t="str">
        <f t="shared" si="2"/>
        <v/>
      </c>
      <c r="W62" s="5" t="str">
        <f t="shared" si="3"/>
        <v/>
      </c>
      <c r="X62" s="5" t="str">
        <f t="shared" si="4"/>
        <v/>
      </c>
      <c r="Y62" s="71" t="str">
        <f t="shared" si="5"/>
        <v/>
      </c>
      <c r="Z62" s="31" t="str">
        <f t="shared" si="18"/>
        <v/>
      </c>
      <c r="AA62" s="31" t="str">
        <f t="shared" si="19"/>
        <v/>
      </c>
      <c r="AB62" s="31" t="str">
        <f t="shared" si="20"/>
        <v/>
      </c>
      <c r="AC62" s="31" t="str">
        <f t="shared" si="6"/>
        <v/>
      </c>
      <c r="AD62" s="132"/>
      <c r="AE62" s="133" t="str">
        <f t="shared" si="21"/>
        <v/>
      </c>
      <c r="AF62" s="134"/>
      <c r="AG62" s="135"/>
      <c r="AH62" s="135"/>
      <c r="AI62" s="136"/>
      <c r="AJ62" s="21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CE62" t="str">
        <v/>
      </c>
    </row>
    <row r="63" spans="1:83" ht="15" customHeight="1">
      <c r="A63" s="17">
        <v>56</v>
      </c>
      <c r="B63" s="127" t="s">
        <v>346</v>
      </c>
      <c r="C63" s="128"/>
      <c r="D63" s="98" t="s">
        <v>199</v>
      </c>
      <c r="E63" s="99"/>
      <c r="F63" s="128" t="s">
        <v>45</v>
      </c>
      <c r="G63" s="143">
        <v>2.17</v>
      </c>
      <c r="H63" s="143">
        <v>0.03</v>
      </c>
      <c r="I63" s="143">
        <v>-0.03</v>
      </c>
      <c r="J63" s="128" t="s">
        <v>12</v>
      </c>
      <c r="K63" s="130" t="s">
        <v>293</v>
      </c>
      <c r="L63" s="131">
        <f t="shared" si="11"/>
        <v>2.1999999999999997</v>
      </c>
      <c r="M63" s="137">
        <f t="shared" si="12"/>
        <v>2.14</v>
      </c>
      <c r="N63" s="27"/>
      <c r="O63" s="3" t="str">
        <f t="shared" si="13"/>
        <v/>
      </c>
      <c r="P63" s="3" t="str">
        <f t="shared" si="14"/>
        <v/>
      </c>
      <c r="Q63" s="3" t="str">
        <f t="shared" si="15"/>
        <v/>
      </c>
      <c r="R63" s="4" t="str">
        <f t="shared" si="16"/>
        <v/>
      </c>
      <c r="S63" s="5" t="str">
        <f t="shared" si="0"/>
        <v/>
      </c>
      <c r="T63" s="75" t="str">
        <f t="shared" si="1"/>
        <v/>
      </c>
      <c r="U63" s="75" t="str">
        <f t="shared" si="17"/>
        <v/>
      </c>
      <c r="V63" s="5" t="str">
        <f t="shared" si="2"/>
        <v/>
      </c>
      <c r="W63" s="5" t="str">
        <f t="shared" si="3"/>
        <v/>
      </c>
      <c r="X63" s="5" t="str">
        <f t="shared" si="4"/>
        <v/>
      </c>
      <c r="Y63" s="71" t="str">
        <f t="shared" si="5"/>
        <v/>
      </c>
      <c r="Z63" s="31" t="str">
        <f t="shared" si="18"/>
        <v/>
      </c>
      <c r="AA63" s="31" t="str">
        <f t="shared" si="19"/>
        <v/>
      </c>
      <c r="AB63" s="31" t="str">
        <f t="shared" si="20"/>
        <v/>
      </c>
      <c r="AC63" s="31" t="str">
        <f t="shared" si="6"/>
        <v/>
      </c>
      <c r="AD63" s="132"/>
      <c r="AE63" s="133" t="str">
        <f t="shared" si="21"/>
        <v/>
      </c>
      <c r="AF63" s="134"/>
      <c r="AG63" s="135"/>
      <c r="AH63" s="135"/>
      <c r="AI63" s="136"/>
      <c r="AJ63" s="19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CE63" t="str">
        <v/>
      </c>
    </row>
    <row r="64" spans="1:83" ht="15" customHeight="1">
      <c r="A64" s="17">
        <v>57</v>
      </c>
      <c r="B64" s="127" t="s">
        <v>347</v>
      </c>
      <c r="C64" s="128"/>
      <c r="D64" s="98" t="s">
        <v>199</v>
      </c>
      <c r="E64" s="99"/>
      <c r="F64" s="128" t="s">
        <v>45</v>
      </c>
      <c r="G64" s="143">
        <v>2.17</v>
      </c>
      <c r="H64" s="143">
        <v>0.03</v>
      </c>
      <c r="I64" s="143">
        <v>-0.03</v>
      </c>
      <c r="J64" s="128" t="s">
        <v>12</v>
      </c>
      <c r="K64" s="130" t="s">
        <v>293</v>
      </c>
      <c r="L64" s="131">
        <f t="shared" si="11"/>
        <v>2.1999999999999997</v>
      </c>
      <c r="M64" s="137">
        <f t="shared" si="12"/>
        <v>2.14</v>
      </c>
      <c r="N64" s="27"/>
      <c r="O64" s="3" t="str">
        <f t="shared" si="13"/>
        <v/>
      </c>
      <c r="P64" s="3" t="str">
        <f t="shared" si="14"/>
        <v/>
      </c>
      <c r="Q64" s="3" t="str">
        <f t="shared" si="15"/>
        <v/>
      </c>
      <c r="R64" s="4" t="str">
        <f t="shared" si="16"/>
        <v/>
      </c>
      <c r="S64" s="5" t="str">
        <f t="shared" si="0"/>
        <v/>
      </c>
      <c r="T64" s="75" t="str">
        <f t="shared" si="1"/>
        <v/>
      </c>
      <c r="U64" s="75" t="str">
        <f t="shared" si="17"/>
        <v/>
      </c>
      <c r="V64" s="5" t="str">
        <f t="shared" si="2"/>
        <v/>
      </c>
      <c r="W64" s="5" t="str">
        <f t="shared" si="3"/>
        <v/>
      </c>
      <c r="X64" s="5" t="str">
        <f t="shared" si="4"/>
        <v/>
      </c>
      <c r="Y64" s="71" t="str">
        <f t="shared" si="5"/>
        <v/>
      </c>
      <c r="Z64" s="31" t="str">
        <f t="shared" si="18"/>
        <v/>
      </c>
      <c r="AA64" s="31" t="str">
        <f t="shared" si="19"/>
        <v/>
      </c>
      <c r="AB64" s="31" t="str">
        <f t="shared" si="20"/>
        <v/>
      </c>
      <c r="AC64" s="31" t="str">
        <f t="shared" si="6"/>
        <v/>
      </c>
      <c r="AD64" s="132"/>
      <c r="AE64" s="133" t="str">
        <f t="shared" si="21"/>
        <v/>
      </c>
      <c r="AF64" s="134"/>
      <c r="AG64" s="135"/>
      <c r="AH64" s="135"/>
      <c r="AI64" s="136"/>
      <c r="AJ64" s="19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CE64" t="str">
        <v/>
      </c>
    </row>
    <row r="65" spans="1:83" ht="15" customHeight="1">
      <c r="A65" s="17">
        <v>58</v>
      </c>
      <c r="B65" s="127" t="s">
        <v>348</v>
      </c>
      <c r="C65" s="128"/>
      <c r="D65" s="98" t="s">
        <v>199</v>
      </c>
      <c r="E65" s="99"/>
      <c r="F65" s="128" t="s">
        <v>45</v>
      </c>
      <c r="G65" s="143">
        <v>12.545999999999999</v>
      </c>
      <c r="H65" s="143">
        <v>0.03</v>
      </c>
      <c r="I65" s="143">
        <v>-0.03</v>
      </c>
      <c r="J65" s="128" t="s">
        <v>12</v>
      </c>
      <c r="K65" s="130" t="s">
        <v>293</v>
      </c>
      <c r="L65" s="131">
        <f t="shared" si="11"/>
        <v>12.575999999999999</v>
      </c>
      <c r="M65" s="137">
        <f t="shared" si="12"/>
        <v>12.516</v>
      </c>
      <c r="N65" s="27"/>
      <c r="O65" s="3" t="str">
        <f t="shared" si="13"/>
        <v/>
      </c>
      <c r="P65" s="3" t="str">
        <f t="shared" si="14"/>
        <v/>
      </c>
      <c r="Q65" s="3" t="str">
        <f t="shared" si="15"/>
        <v/>
      </c>
      <c r="R65" s="4" t="str">
        <f t="shared" si="16"/>
        <v/>
      </c>
      <c r="S65" s="5" t="str">
        <f t="shared" si="0"/>
        <v/>
      </c>
      <c r="T65" s="75" t="str">
        <f t="shared" si="1"/>
        <v/>
      </c>
      <c r="U65" s="75" t="str">
        <f t="shared" si="17"/>
        <v/>
      </c>
      <c r="V65" s="5" t="str">
        <f t="shared" si="2"/>
        <v/>
      </c>
      <c r="W65" s="5" t="str">
        <f t="shared" si="3"/>
        <v/>
      </c>
      <c r="X65" s="5" t="str">
        <f t="shared" si="4"/>
        <v/>
      </c>
      <c r="Y65" s="71" t="str">
        <f t="shared" si="5"/>
        <v/>
      </c>
      <c r="Z65" s="31" t="str">
        <f t="shared" si="18"/>
        <v/>
      </c>
      <c r="AA65" s="31" t="str">
        <f t="shared" si="19"/>
        <v/>
      </c>
      <c r="AB65" s="31" t="str">
        <f t="shared" si="20"/>
        <v/>
      </c>
      <c r="AC65" s="31" t="str">
        <f t="shared" si="6"/>
        <v/>
      </c>
      <c r="AD65" s="132"/>
      <c r="AE65" s="133" t="str">
        <f t="shared" si="21"/>
        <v/>
      </c>
      <c r="AF65" s="134"/>
      <c r="AG65" s="135"/>
      <c r="AH65" s="135"/>
      <c r="AI65" s="136"/>
      <c r="AJ65" s="19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CE65" t="str">
        <v/>
      </c>
    </row>
    <row r="66" spans="1:83" ht="15" customHeight="1">
      <c r="A66" s="17">
        <v>59</v>
      </c>
      <c r="B66" s="127" t="s">
        <v>349</v>
      </c>
      <c r="C66" s="128"/>
      <c r="D66" s="98" t="s">
        <v>199</v>
      </c>
      <c r="E66" s="99"/>
      <c r="F66" s="128" t="s">
        <v>45</v>
      </c>
      <c r="G66" s="143">
        <v>1.2</v>
      </c>
      <c r="H66" s="143">
        <v>0.03</v>
      </c>
      <c r="I66" s="143">
        <v>-0.03</v>
      </c>
      <c r="J66" s="128" t="s">
        <v>12</v>
      </c>
      <c r="K66" s="130" t="s">
        <v>293</v>
      </c>
      <c r="L66" s="131">
        <f t="shared" si="11"/>
        <v>1.23</v>
      </c>
      <c r="M66" s="137">
        <f t="shared" si="12"/>
        <v>1.17</v>
      </c>
      <c r="N66" s="27"/>
      <c r="O66" s="3" t="str">
        <f t="shared" si="13"/>
        <v/>
      </c>
      <c r="P66" s="3" t="str">
        <f t="shared" si="14"/>
        <v/>
      </c>
      <c r="Q66" s="3" t="str">
        <f t="shared" si="15"/>
        <v/>
      </c>
      <c r="R66" s="4" t="str">
        <f t="shared" si="16"/>
        <v/>
      </c>
      <c r="S66" s="5" t="str">
        <f t="shared" si="0"/>
        <v/>
      </c>
      <c r="T66" s="75" t="str">
        <f t="shared" si="1"/>
        <v/>
      </c>
      <c r="U66" s="75" t="str">
        <f t="shared" si="17"/>
        <v/>
      </c>
      <c r="V66" s="5" t="str">
        <f t="shared" si="2"/>
        <v/>
      </c>
      <c r="W66" s="5" t="str">
        <f t="shared" si="3"/>
        <v/>
      </c>
      <c r="X66" s="5" t="str">
        <f t="shared" si="4"/>
        <v/>
      </c>
      <c r="Y66" s="71" t="str">
        <f t="shared" si="5"/>
        <v/>
      </c>
      <c r="Z66" s="31" t="str">
        <f t="shared" si="18"/>
        <v/>
      </c>
      <c r="AA66" s="31" t="str">
        <f t="shared" si="19"/>
        <v/>
      </c>
      <c r="AB66" s="31" t="str">
        <f t="shared" si="20"/>
        <v/>
      </c>
      <c r="AC66" s="31" t="str">
        <f t="shared" si="6"/>
        <v/>
      </c>
      <c r="AD66" s="132"/>
      <c r="AE66" s="133" t="str">
        <f t="shared" si="21"/>
        <v/>
      </c>
      <c r="AF66" s="134"/>
      <c r="AG66" s="135"/>
      <c r="AH66" s="135"/>
      <c r="AI66" s="136"/>
      <c r="AJ66" s="19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CE66" t="str">
        <v/>
      </c>
    </row>
    <row r="67" spans="1:83" ht="15" customHeight="1">
      <c r="A67" s="17">
        <v>60</v>
      </c>
      <c r="B67" s="127" t="s">
        <v>350</v>
      </c>
      <c r="C67" s="128"/>
      <c r="D67" s="98" t="s">
        <v>199</v>
      </c>
      <c r="E67" s="99"/>
      <c r="F67" s="128" t="s">
        <v>45</v>
      </c>
      <c r="G67" s="143">
        <v>0.99</v>
      </c>
      <c r="H67" s="143">
        <v>0.03</v>
      </c>
      <c r="I67" s="143">
        <v>-0.03</v>
      </c>
      <c r="J67" s="128" t="s">
        <v>12</v>
      </c>
      <c r="K67" s="130" t="s">
        <v>293</v>
      </c>
      <c r="L67" s="131">
        <f t="shared" si="11"/>
        <v>1.02</v>
      </c>
      <c r="M67" s="137">
        <f t="shared" si="12"/>
        <v>0.96</v>
      </c>
      <c r="N67" s="27"/>
      <c r="O67" s="3" t="str">
        <f t="shared" si="13"/>
        <v/>
      </c>
      <c r="P67" s="3" t="str">
        <f t="shared" si="14"/>
        <v/>
      </c>
      <c r="Q67" s="3" t="str">
        <f t="shared" si="15"/>
        <v/>
      </c>
      <c r="R67" s="4" t="str">
        <f t="shared" si="16"/>
        <v/>
      </c>
      <c r="S67" s="5" t="str">
        <f t="shared" si="0"/>
        <v/>
      </c>
      <c r="T67" s="75" t="str">
        <f t="shared" si="1"/>
        <v/>
      </c>
      <c r="U67" s="75" t="str">
        <f t="shared" si="17"/>
        <v/>
      </c>
      <c r="V67" s="5" t="str">
        <f t="shared" si="2"/>
        <v/>
      </c>
      <c r="W67" s="5" t="str">
        <f t="shared" si="3"/>
        <v/>
      </c>
      <c r="X67" s="5" t="str">
        <f t="shared" si="4"/>
        <v/>
      </c>
      <c r="Y67" s="71" t="str">
        <f t="shared" si="5"/>
        <v/>
      </c>
      <c r="Z67" s="31" t="str">
        <f t="shared" si="18"/>
        <v/>
      </c>
      <c r="AA67" s="31" t="str">
        <f t="shared" si="19"/>
        <v/>
      </c>
      <c r="AB67" s="31" t="str">
        <f t="shared" si="20"/>
        <v/>
      </c>
      <c r="AC67" s="31" t="str">
        <f t="shared" si="6"/>
        <v/>
      </c>
      <c r="AD67" s="132"/>
      <c r="AE67" s="133" t="str">
        <f t="shared" si="21"/>
        <v/>
      </c>
      <c r="AF67" s="134"/>
      <c r="AG67" s="135"/>
      <c r="AH67" s="135"/>
      <c r="AI67" s="136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CE67" t="str">
        <v/>
      </c>
    </row>
    <row r="68" spans="1:83" ht="15" customHeight="1">
      <c r="A68" s="17">
        <v>61</v>
      </c>
      <c r="B68" s="127" t="s">
        <v>351</v>
      </c>
      <c r="C68" s="128"/>
      <c r="D68" s="98" t="s">
        <v>199</v>
      </c>
      <c r="E68" s="99"/>
      <c r="F68" s="128" t="s">
        <v>45</v>
      </c>
      <c r="G68" s="143">
        <v>15.042999999999999</v>
      </c>
      <c r="H68" s="143">
        <v>0.03</v>
      </c>
      <c r="I68" s="143">
        <v>-0.04</v>
      </c>
      <c r="J68" s="128" t="s">
        <v>12</v>
      </c>
      <c r="K68" s="130" t="s">
        <v>293</v>
      </c>
      <c r="L68" s="131">
        <f t="shared" si="11"/>
        <v>15.072999999999999</v>
      </c>
      <c r="M68" s="137">
        <f t="shared" si="12"/>
        <v>15.003</v>
      </c>
      <c r="N68" s="27"/>
      <c r="O68" s="3" t="str">
        <f t="shared" si="13"/>
        <v/>
      </c>
      <c r="P68" s="3" t="str">
        <f t="shared" si="14"/>
        <v/>
      </c>
      <c r="Q68" s="3" t="str">
        <f t="shared" si="15"/>
        <v/>
      </c>
      <c r="R68" s="4" t="str">
        <f t="shared" si="16"/>
        <v/>
      </c>
      <c r="S68" s="5" t="str">
        <f t="shared" si="0"/>
        <v/>
      </c>
      <c r="T68" s="75" t="str">
        <f t="shared" si="1"/>
        <v/>
      </c>
      <c r="U68" s="75" t="str">
        <f t="shared" si="17"/>
        <v/>
      </c>
      <c r="V68" s="5" t="str">
        <f t="shared" si="2"/>
        <v/>
      </c>
      <c r="W68" s="5" t="str">
        <f t="shared" si="3"/>
        <v/>
      </c>
      <c r="X68" s="5" t="str">
        <f t="shared" si="4"/>
        <v/>
      </c>
      <c r="Y68" s="71" t="str">
        <f t="shared" si="5"/>
        <v/>
      </c>
      <c r="Z68" s="31" t="str">
        <f t="shared" si="18"/>
        <v/>
      </c>
      <c r="AA68" s="31" t="str">
        <f t="shared" si="19"/>
        <v/>
      </c>
      <c r="AB68" s="31" t="str">
        <f t="shared" si="20"/>
        <v/>
      </c>
      <c r="AC68" s="31" t="str">
        <f t="shared" si="6"/>
        <v/>
      </c>
      <c r="AD68" s="132"/>
      <c r="AE68" s="133" t="str">
        <f t="shared" si="21"/>
        <v/>
      </c>
      <c r="AF68" s="134"/>
      <c r="AG68" s="135"/>
      <c r="AH68" s="135"/>
      <c r="AI68" s="136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CE68" t="str">
        <v/>
      </c>
    </row>
    <row r="69" spans="1:83" ht="15" customHeight="1">
      <c r="A69" s="17">
        <v>62</v>
      </c>
      <c r="B69" s="127" t="s">
        <v>352</v>
      </c>
      <c r="C69" s="128"/>
      <c r="D69" s="98" t="s">
        <v>199</v>
      </c>
      <c r="E69" s="99"/>
      <c r="F69" s="128" t="s">
        <v>45</v>
      </c>
      <c r="G69" s="143">
        <v>16.117999999999999</v>
      </c>
      <c r="H69" s="143">
        <v>0.03</v>
      </c>
      <c r="I69" s="143">
        <v>-0.03</v>
      </c>
      <c r="J69" s="128" t="s">
        <v>12</v>
      </c>
      <c r="K69" s="130" t="s">
        <v>293</v>
      </c>
      <c r="L69" s="131">
        <f t="shared" si="11"/>
        <v>16.148</v>
      </c>
      <c r="M69" s="137">
        <f t="shared" si="12"/>
        <v>16.087999999999997</v>
      </c>
      <c r="N69" s="27"/>
      <c r="O69" s="3" t="str">
        <f t="shared" si="13"/>
        <v/>
      </c>
      <c r="P69" s="3" t="str">
        <f t="shared" si="14"/>
        <v/>
      </c>
      <c r="Q69" s="3" t="str">
        <f t="shared" si="15"/>
        <v/>
      </c>
      <c r="R69" s="4" t="str">
        <f t="shared" si="16"/>
        <v/>
      </c>
      <c r="S69" s="5" t="str">
        <f t="shared" si="0"/>
        <v/>
      </c>
      <c r="T69" s="75" t="str">
        <f t="shared" si="1"/>
        <v/>
      </c>
      <c r="U69" s="75" t="str">
        <f t="shared" si="17"/>
        <v/>
      </c>
      <c r="V69" s="5" t="str">
        <f t="shared" si="2"/>
        <v/>
      </c>
      <c r="W69" s="5" t="str">
        <f t="shared" si="3"/>
        <v/>
      </c>
      <c r="X69" s="5" t="str">
        <f t="shared" si="4"/>
        <v/>
      </c>
      <c r="Y69" s="71" t="str">
        <f t="shared" si="5"/>
        <v/>
      </c>
      <c r="Z69" s="31" t="str">
        <f t="shared" si="18"/>
        <v/>
      </c>
      <c r="AA69" s="31" t="str">
        <f t="shared" si="19"/>
        <v/>
      </c>
      <c r="AB69" s="31" t="str">
        <f t="shared" si="20"/>
        <v/>
      </c>
      <c r="AC69" s="31" t="str">
        <f t="shared" si="6"/>
        <v/>
      </c>
      <c r="AD69" s="132"/>
      <c r="AE69" s="133" t="str">
        <f t="shared" si="21"/>
        <v/>
      </c>
      <c r="AF69" s="134"/>
      <c r="AG69" s="135"/>
      <c r="AH69" s="135"/>
      <c r="AI69" s="136"/>
      <c r="AJ69" s="19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CE69" t="str">
        <v/>
      </c>
    </row>
    <row r="70" spans="1:83" ht="15" customHeight="1">
      <c r="A70" s="17">
        <v>63</v>
      </c>
      <c r="B70" s="127" t="s">
        <v>353</v>
      </c>
      <c r="C70" s="128"/>
      <c r="D70" s="98" t="s">
        <v>199</v>
      </c>
      <c r="E70" s="99"/>
      <c r="F70" s="128" t="s">
        <v>45</v>
      </c>
      <c r="G70" s="143">
        <v>16.117999999999999</v>
      </c>
      <c r="H70" s="143">
        <v>0.03</v>
      </c>
      <c r="I70" s="143">
        <v>-0.03</v>
      </c>
      <c r="J70" s="128" t="s">
        <v>12</v>
      </c>
      <c r="K70" s="130" t="s">
        <v>293</v>
      </c>
      <c r="L70" s="131">
        <f t="shared" si="11"/>
        <v>16.148</v>
      </c>
      <c r="M70" s="137">
        <f t="shared" si="12"/>
        <v>16.087999999999997</v>
      </c>
      <c r="N70" s="27"/>
      <c r="O70" s="3" t="str">
        <f t="shared" si="13"/>
        <v/>
      </c>
      <c r="P70" s="3" t="str">
        <f t="shared" si="14"/>
        <v/>
      </c>
      <c r="Q70" s="3" t="str">
        <f t="shared" si="15"/>
        <v/>
      </c>
      <c r="R70" s="4" t="str">
        <f t="shared" si="16"/>
        <v/>
      </c>
      <c r="S70" s="5" t="str">
        <f t="shared" si="0"/>
        <v/>
      </c>
      <c r="T70" s="75" t="str">
        <f t="shared" si="1"/>
        <v/>
      </c>
      <c r="U70" s="75" t="str">
        <f t="shared" si="17"/>
        <v/>
      </c>
      <c r="V70" s="5" t="str">
        <f t="shared" si="2"/>
        <v/>
      </c>
      <c r="W70" s="5" t="str">
        <f t="shared" si="3"/>
        <v/>
      </c>
      <c r="X70" s="5" t="str">
        <f t="shared" si="4"/>
        <v/>
      </c>
      <c r="Y70" s="71" t="str">
        <f t="shared" si="5"/>
        <v/>
      </c>
      <c r="Z70" s="31" t="str">
        <f t="shared" si="18"/>
        <v/>
      </c>
      <c r="AA70" s="31" t="str">
        <f t="shared" si="19"/>
        <v/>
      </c>
      <c r="AB70" s="31" t="str">
        <f t="shared" si="20"/>
        <v/>
      </c>
      <c r="AC70" s="31" t="str">
        <f t="shared" si="6"/>
        <v/>
      </c>
      <c r="AD70" s="132"/>
      <c r="AE70" s="133" t="str">
        <f t="shared" si="21"/>
        <v/>
      </c>
      <c r="AF70" s="134"/>
      <c r="AG70" s="135"/>
      <c r="AH70" s="135"/>
      <c r="AI70" s="136"/>
      <c r="AJ70" s="19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CE70" t="str">
        <v/>
      </c>
    </row>
    <row r="71" spans="1:83" ht="15" customHeight="1">
      <c r="A71" s="17">
        <v>64</v>
      </c>
      <c r="B71" s="127" t="s">
        <v>354</v>
      </c>
      <c r="C71" s="128" t="s">
        <v>241</v>
      </c>
      <c r="D71" s="98" t="s">
        <v>201</v>
      </c>
      <c r="E71" s="99">
        <v>1.33</v>
      </c>
      <c r="F71" s="128" t="s">
        <v>45</v>
      </c>
      <c r="G71" s="143">
        <v>7.0000000000000007E-2</v>
      </c>
      <c r="H71" s="143">
        <v>0.03</v>
      </c>
      <c r="I71" s="143">
        <v>-0.03</v>
      </c>
      <c r="J71" s="128" t="s">
        <v>12</v>
      </c>
      <c r="K71" s="130" t="s">
        <v>293</v>
      </c>
      <c r="L71" s="131">
        <f t="shared" si="11"/>
        <v>0.1</v>
      </c>
      <c r="M71" s="137">
        <f t="shared" si="12"/>
        <v>4.0000000000000008E-2</v>
      </c>
      <c r="N71" s="27"/>
      <c r="O71" s="3" t="str">
        <f t="shared" si="13"/>
        <v/>
      </c>
      <c r="P71" s="3" t="str">
        <f t="shared" si="14"/>
        <v/>
      </c>
      <c r="Q71" s="3" t="str">
        <f t="shared" si="15"/>
        <v/>
      </c>
      <c r="R71" s="4" t="str">
        <f t="shared" si="16"/>
        <v/>
      </c>
      <c r="S71" s="5" t="str">
        <f t="shared" si="0"/>
        <v/>
      </c>
      <c r="T71" s="75" t="str">
        <f t="shared" si="1"/>
        <v/>
      </c>
      <c r="U71" s="75" t="str">
        <f t="shared" si="17"/>
        <v/>
      </c>
      <c r="V71" s="5" t="str">
        <f t="shared" si="2"/>
        <v/>
      </c>
      <c r="W71" s="5" t="str">
        <f t="shared" si="3"/>
        <v/>
      </c>
      <c r="X71" s="5" t="str">
        <f t="shared" si="4"/>
        <v/>
      </c>
      <c r="Y71" s="71" t="str">
        <f t="shared" si="5"/>
        <v/>
      </c>
      <c r="Z71" s="31" t="str">
        <f t="shared" si="18"/>
        <v/>
      </c>
      <c r="AA71" s="31" t="str">
        <f t="shared" si="19"/>
        <v/>
      </c>
      <c r="AB71" s="31" t="str">
        <f t="shared" si="20"/>
        <v/>
      </c>
      <c r="AC71" s="31" t="str">
        <f t="shared" si="6"/>
        <v/>
      </c>
      <c r="AD71" s="132"/>
      <c r="AE71" s="133" t="str">
        <f t="shared" si="21"/>
        <v/>
      </c>
      <c r="AF71" s="134"/>
      <c r="AG71" s="135"/>
      <c r="AH71" s="135"/>
      <c r="AI71" s="136"/>
      <c r="AJ71" s="19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CE71" t="str">
        <v/>
      </c>
    </row>
    <row r="72" spans="1:83" ht="15" customHeight="1">
      <c r="A72" s="17">
        <v>65</v>
      </c>
      <c r="B72" s="127" t="s">
        <v>355</v>
      </c>
      <c r="C72" s="128" t="s">
        <v>241</v>
      </c>
      <c r="D72" s="98" t="s">
        <v>201</v>
      </c>
      <c r="E72" s="99">
        <v>1.33</v>
      </c>
      <c r="F72" s="128" t="s">
        <v>45</v>
      </c>
      <c r="G72" s="143">
        <v>7.0000000000000007E-2</v>
      </c>
      <c r="H72" s="143">
        <v>0.03</v>
      </c>
      <c r="I72" s="143">
        <v>-0.03</v>
      </c>
      <c r="J72" s="128" t="s">
        <v>12</v>
      </c>
      <c r="K72" s="130" t="s">
        <v>293</v>
      </c>
      <c r="L72" s="131">
        <f t="shared" si="11"/>
        <v>0.1</v>
      </c>
      <c r="M72" s="137">
        <f t="shared" si="12"/>
        <v>4.0000000000000008E-2</v>
      </c>
      <c r="N72" s="27"/>
      <c r="O72" s="3" t="str">
        <f t="shared" si="13"/>
        <v/>
      </c>
      <c r="P72" s="3" t="str">
        <f t="shared" si="14"/>
        <v/>
      </c>
      <c r="Q72" s="3" t="str">
        <f t="shared" si="15"/>
        <v/>
      </c>
      <c r="R72" s="4" t="str">
        <f t="shared" si="16"/>
        <v/>
      </c>
      <c r="S72" s="5" t="str">
        <f t="shared" si="0"/>
        <v/>
      </c>
      <c r="T72" s="75" t="str">
        <f t="shared" si="1"/>
        <v/>
      </c>
      <c r="U72" s="75" t="str">
        <f t="shared" si="17"/>
        <v/>
      </c>
      <c r="V72" s="5" t="str">
        <f t="shared" si="2"/>
        <v/>
      </c>
      <c r="W72" s="5" t="str">
        <f t="shared" si="3"/>
        <v/>
      </c>
      <c r="X72" s="5" t="str">
        <f t="shared" si="4"/>
        <v/>
      </c>
      <c r="Y72" s="139" t="str">
        <f t="shared" si="5"/>
        <v/>
      </c>
      <c r="Z72" s="31" t="str">
        <f t="shared" si="18"/>
        <v/>
      </c>
      <c r="AA72" s="31" t="str">
        <f t="shared" si="19"/>
        <v/>
      </c>
      <c r="AB72" s="31" t="str">
        <f t="shared" si="20"/>
        <v/>
      </c>
      <c r="AC72" s="31" t="str">
        <f t="shared" si="6"/>
        <v/>
      </c>
      <c r="AD72" s="132"/>
      <c r="AE72" s="133" t="str">
        <f t="shared" si="21"/>
        <v/>
      </c>
      <c r="AF72" s="134"/>
      <c r="AG72" s="135"/>
      <c r="AH72" s="135"/>
      <c r="AI72" s="136"/>
      <c r="AJ72" s="19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CE72" t="str">
        <v/>
      </c>
    </row>
    <row r="73" spans="1:83" ht="15" customHeight="1">
      <c r="A73" s="17">
        <v>66</v>
      </c>
      <c r="B73" s="127" t="s">
        <v>356</v>
      </c>
      <c r="C73" s="128" t="s">
        <v>240</v>
      </c>
      <c r="D73" s="98" t="s">
        <v>201</v>
      </c>
      <c r="E73" s="99">
        <v>1.33</v>
      </c>
      <c r="F73" s="128" t="s">
        <v>45</v>
      </c>
      <c r="G73" s="143">
        <v>7.0000000000000007E-2</v>
      </c>
      <c r="H73" s="143">
        <v>0.03</v>
      </c>
      <c r="I73" s="143">
        <v>-0.03</v>
      </c>
      <c r="J73" s="128" t="s">
        <v>12</v>
      </c>
      <c r="K73" s="130" t="s">
        <v>293</v>
      </c>
      <c r="L73" s="131">
        <f t="shared" si="11"/>
        <v>0.1</v>
      </c>
      <c r="M73" s="137">
        <f t="shared" si="12"/>
        <v>4.0000000000000008E-2</v>
      </c>
      <c r="N73" s="27"/>
      <c r="O73" s="3" t="str">
        <f t="shared" si="13"/>
        <v/>
      </c>
      <c r="P73" s="3" t="str">
        <f t="shared" si="14"/>
        <v/>
      </c>
      <c r="Q73" s="3" t="str">
        <f t="shared" si="15"/>
        <v/>
      </c>
      <c r="R73" s="4" t="str">
        <f t="shared" si="16"/>
        <v/>
      </c>
      <c r="S73" s="5" t="str">
        <f t="shared" si="0"/>
        <v/>
      </c>
      <c r="T73" s="75" t="str">
        <f t="shared" si="1"/>
        <v/>
      </c>
      <c r="U73" s="75" t="str">
        <f t="shared" si="17"/>
        <v/>
      </c>
      <c r="V73" s="5" t="str">
        <f t="shared" si="2"/>
        <v/>
      </c>
      <c r="W73" s="5" t="str">
        <f t="shared" si="3"/>
        <v/>
      </c>
      <c r="X73" s="5" t="str">
        <f t="shared" si="4"/>
        <v/>
      </c>
      <c r="Y73" s="139" t="str">
        <f t="shared" si="5"/>
        <v/>
      </c>
      <c r="Z73" s="31" t="str">
        <f t="shared" si="18"/>
        <v/>
      </c>
      <c r="AA73" s="31" t="str">
        <f t="shared" si="19"/>
        <v/>
      </c>
      <c r="AB73" s="31" t="str">
        <f t="shared" si="20"/>
        <v/>
      </c>
      <c r="AC73" s="31" t="str">
        <f t="shared" si="6"/>
        <v/>
      </c>
      <c r="AD73" s="132"/>
      <c r="AE73" s="133" t="str">
        <f t="shared" si="21"/>
        <v/>
      </c>
      <c r="AF73" s="134"/>
      <c r="AG73" s="135"/>
      <c r="AH73" s="135"/>
      <c r="AI73" s="136"/>
      <c r="AJ73" s="19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CE73" t="str">
        <v/>
      </c>
    </row>
    <row r="74" spans="1:83" ht="15" customHeight="1">
      <c r="A74" s="17">
        <v>67</v>
      </c>
      <c r="B74" s="127" t="s">
        <v>357</v>
      </c>
      <c r="C74" s="128" t="s">
        <v>240</v>
      </c>
      <c r="D74" s="98" t="s">
        <v>201</v>
      </c>
      <c r="E74" s="99">
        <v>1.33</v>
      </c>
      <c r="F74" s="128" t="s">
        <v>45</v>
      </c>
      <c r="G74" s="143">
        <v>7.0000000000000007E-2</v>
      </c>
      <c r="H74" s="143">
        <v>0.03</v>
      </c>
      <c r="I74" s="143">
        <v>-0.03</v>
      </c>
      <c r="J74" s="128" t="s">
        <v>12</v>
      </c>
      <c r="K74" s="130" t="s">
        <v>293</v>
      </c>
      <c r="L74" s="131">
        <f t="shared" si="11"/>
        <v>0.1</v>
      </c>
      <c r="M74" s="137">
        <f t="shared" si="12"/>
        <v>4.0000000000000008E-2</v>
      </c>
      <c r="N74" s="27"/>
      <c r="O74" s="3" t="str">
        <f t="shared" si="13"/>
        <v/>
      </c>
      <c r="P74" s="3" t="str">
        <f t="shared" si="14"/>
        <v/>
      </c>
      <c r="Q74" s="3" t="str">
        <f t="shared" si="15"/>
        <v/>
      </c>
      <c r="R74" s="4" t="str">
        <f t="shared" si="16"/>
        <v/>
      </c>
      <c r="S74" s="5" t="str">
        <f t="shared" si="0"/>
        <v/>
      </c>
      <c r="T74" s="75" t="str">
        <f t="shared" si="1"/>
        <v/>
      </c>
      <c r="U74" s="75" t="str">
        <f t="shared" si="17"/>
        <v/>
      </c>
      <c r="V74" s="5" t="str">
        <f t="shared" si="2"/>
        <v/>
      </c>
      <c r="W74" s="5" t="str">
        <f t="shared" si="3"/>
        <v/>
      </c>
      <c r="X74" s="5" t="str">
        <f t="shared" si="4"/>
        <v/>
      </c>
      <c r="Y74" s="139" t="str">
        <f t="shared" si="5"/>
        <v/>
      </c>
      <c r="Z74" s="31" t="str">
        <f t="shared" si="18"/>
        <v/>
      </c>
      <c r="AA74" s="31" t="str">
        <f t="shared" si="19"/>
        <v/>
      </c>
      <c r="AB74" s="31" t="str">
        <f t="shared" si="20"/>
        <v/>
      </c>
      <c r="AC74" s="31" t="str">
        <f t="shared" si="6"/>
        <v/>
      </c>
      <c r="AD74" s="132"/>
      <c r="AE74" s="133" t="str">
        <f t="shared" si="21"/>
        <v/>
      </c>
      <c r="AF74" s="134"/>
      <c r="AG74" s="135"/>
      <c r="AH74" s="135"/>
      <c r="AI74" s="136"/>
      <c r="AJ74" s="19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CE74" t="str">
        <v/>
      </c>
    </row>
    <row r="75" spans="1:83" ht="15" customHeight="1">
      <c r="A75" s="17">
        <v>68</v>
      </c>
      <c r="B75" s="127" t="s">
        <v>358</v>
      </c>
      <c r="C75" s="128" t="s">
        <v>242</v>
      </c>
      <c r="D75" s="98" t="s">
        <v>201</v>
      </c>
      <c r="E75" s="99">
        <v>1.33</v>
      </c>
      <c r="F75" s="128" t="s">
        <v>45</v>
      </c>
      <c r="G75" s="143">
        <v>7.0000000000000007E-2</v>
      </c>
      <c r="H75" s="143">
        <v>0.03</v>
      </c>
      <c r="I75" s="143">
        <v>-0.03</v>
      </c>
      <c r="J75" s="128" t="s">
        <v>12</v>
      </c>
      <c r="K75" s="130" t="s">
        <v>293</v>
      </c>
      <c r="L75" s="131">
        <f t="shared" si="11"/>
        <v>0.1</v>
      </c>
      <c r="M75" s="137">
        <f t="shared" si="12"/>
        <v>4.0000000000000008E-2</v>
      </c>
      <c r="N75" s="27"/>
      <c r="O75" s="3" t="str">
        <f t="shared" si="13"/>
        <v/>
      </c>
      <c r="P75" s="3" t="str">
        <f t="shared" si="14"/>
        <v/>
      </c>
      <c r="Q75" s="3" t="str">
        <f t="shared" si="15"/>
        <v/>
      </c>
      <c r="R75" s="4" t="str">
        <f t="shared" si="16"/>
        <v/>
      </c>
      <c r="S75" s="5" t="str">
        <f t="shared" ref="S75:S88" si="22">IF(OR($AK75="",ISNUMBER($AK75)=FALSE),"",IF(AND(G75=0,I75=0),V75,IF(AND(G75="",H75=""),W75,(H75+ABS(I75))/(6*R75))))</f>
        <v/>
      </c>
      <c r="T75" s="75" t="str">
        <f t="shared" ref="T75:T88" si="23">IF(OR($AK75="",ISNUMBER($AK75)=FALSE),"",IF(AND($F75="Tolerance",$G75&lt;&gt;""),($Q75-$G75)/(($L75-$M75)/2),IF(AND($F75="GD&amp;T",$H75&lt;&gt;""),$Q75/$H75,"")))</f>
        <v/>
      </c>
      <c r="U75" s="75" t="str">
        <f t="shared" si="17"/>
        <v/>
      </c>
      <c r="V75" s="5" t="str">
        <f t="shared" ref="V75:V88" si="24">IF(OR($AK75="",ISNUMBER($AK75)=FALSE),"",IF(H75="","",(L75-Q75)/(3*R75)))</f>
        <v/>
      </c>
      <c r="W75" s="5" t="str">
        <f t="shared" ref="W75:W88" si="25">IF(OR($AK75="",ISNUMBER($AK75)=FALSE),"",IF(I75="","",(Q75-M75)/(3*R75)))</f>
        <v/>
      </c>
      <c r="X75" s="5" t="str">
        <f t="shared" ref="X75:X88" si="26">IF(OR($AK75="",ISNUMBER($AK75)=FALSE),"",IF(AND(G75=0,I75=0),((H75)-(Q75))/(3*R75),MIN(V75:W75)))</f>
        <v/>
      </c>
      <c r="Y75" s="139" t="str">
        <f t="shared" ref="Y75:Y88" si="27">IF(OR($AK75="",ISNUMBER($AK75)=FALSE),"",IF(AND(G75=0,I75=0),NORMSDIST(3*X75),NORMSDIST(3*X75)+NORMSDIST(6*S75-3*X75)-1))</f>
        <v/>
      </c>
      <c r="Z75" s="31" t="str">
        <f t="shared" si="18"/>
        <v/>
      </c>
      <c r="AA75" s="31" t="str">
        <f t="shared" si="19"/>
        <v/>
      </c>
      <c r="AB75" s="31" t="str">
        <f t="shared" si="20"/>
        <v/>
      </c>
      <c r="AC75" s="31" t="str">
        <f t="shared" ref="AC75:AC88" si="28">IF(OR($S75&gt;$AC$9,$R75=""),"",$AC$9*6*$R75)</f>
        <v/>
      </c>
      <c r="AD75" s="132"/>
      <c r="AE75" s="133" t="str">
        <f t="shared" si="21"/>
        <v/>
      </c>
      <c r="AF75" s="134"/>
      <c r="AG75" s="135"/>
      <c r="AH75" s="135"/>
      <c r="AI75" s="136"/>
      <c r="AJ75" s="19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CE75" t="str">
        <v/>
      </c>
    </row>
    <row r="76" spans="1:83" ht="15" customHeight="1">
      <c r="A76" s="17">
        <v>69</v>
      </c>
      <c r="B76" s="127" t="s">
        <v>359</v>
      </c>
      <c r="C76" s="128" t="s">
        <v>242</v>
      </c>
      <c r="D76" s="98" t="s">
        <v>201</v>
      </c>
      <c r="E76" s="99">
        <v>1.33</v>
      </c>
      <c r="F76" s="128" t="s">
        <v>45</v>
      </c>
      <c r="G76" s="143">
        <v>7.0000000000000007E-2</v>
      </c>
      <c r="H76" s="143">
        <v>0.03</v>
      </c>
      <c r="I76" s="143">
        <v>-0.03</v>
      </c>
      <c r="J76" s="128" t="s">
        <v>12</v>
      </c>
      <c r="K76" s="130" t="s">
        <v>293</v>
      </c>
      <c r="L76" s="131">
        <f t="shared" ref="L76:L88" si="29">IF(AND(G76="",H76=""),"",IF(G76="",H76,G76+H76))</f>
        <v>0.1</v>
      </c>
      <c r="M76" s="137">
        <f t="shared" ref="M76:M88" si="30">IF(AND(G76="",I76=""),"",IF(G76="",I76,G76+I76))</f>
        <v>4.0000000000000008E-2</v>
      </c>
      <c r="N76" s="27"/>
      <c r="O76" s="3" t="str">
        <f t="shared" ref="O76:O88" si="31">IF(OR($AK76="",ISNUMBER($AK76)=FALSE),"",MAX(AK76:BP76))</f>
        <v/>
      </c>
      <c r="P76" s="3" t="str">
        <f t="shared" ref="P76:P88" si="32">IF(OR($AK76="",ISNUMBER($AK76)=FALSE),"",MIN(AK76:BP76))</f>
        <v/>
      </c>
      <c r="Q76" s="3" t="str">
        <f t="shared" ref="Q76:Q88" si="33">IF(OR($AK76="",ISNUMBER($AK76)=FALSE),"",AVERAGE(AK76:BP76))</f>
        <v/>
      </c>
      <c r="R76" s="4" t="str">
        <f t="shared" ref="R76:R88" si="34">IF(OR($AK76="",ISNUMBER($AK76)=FALSE),"",STDEV(AK76:BP76))</f>
        <v/>
      </c>
      <c r="S76" s="5" t="str">
        <f t="shared" si="22"/>
        <v/>
      </c>
      <c r="T76" s="75" t="str">
        <f t="shared" si="23"/>
        <v/>
      </c>
      <c r="U76" s="75" t="str">
        <f t="shared" ref="U76:U88" si="35">IF($T76="","",IF(ABS($T76)&lt;=0.125, "Level A",IF(AND(ABS($T76)&gt;0.125,ABS($T76)&lt;=0.25), "Level B",IF(AND(ABS($T76)&gt;0.25,ABS($T76)&lt;=0.5), "Level C", IF(ABS($T76)&gt;0.5, "Level D")))))</f>
        <v/>
      </c>
      <c r="V76" s="5" t="str">
        <f t="shared" si="24"/>
        <v/>
      </c>
      <c r="W76" s="5" t="str">
        <f t="shared" si="25"/>
        <v/>
      </c>
      <c r="X76" s="5" t="str">
        <f t="shared" si="26"/>
        <v/>
      </c>
      <c r="Y76" s="139" t="str">
        <f t="shared" si="27"/>
        <v/>
      </c>
      <c r="Z76" s="31" t="str">
        <f t="shared" ref="Z76:Z88" si="36">IF($Q76="","",IF(F76="Tolerance",IF(($E76*3*R76+Q76)-G76&lt;H76,"",($E76*3*R76+Q76)-G76),IF(OR(F76="GD&amp;T",F76="MAX"),IF(($E76*3*R76+Q76)&lt;H76,"",($E76*3*R76+Q76)),"")))</f>
        <v/>
      </c>
      <c r="AA76" s="31" t="str">
        <f t="shared" ref="AA76:AA88" si="37">IF(Q76="","",IF(F76="Tolerance",IF(-(($E76*3*R76)-Q76)-G76&gt;I76,"",-(($E76*3*R76)-Q76)-G76),IF(F76="MIN",IF(-(($E76*3*R76)-Q76)&gt;I76,"",-(($E76*3*R76)-Q76)),"")))</f>
        <v/>
      </c>
      <c r="AB76" s="31" t="str">
        <f t="shared" ref="AB76:AB88" si="38">IF(OR(G76="",Q76=""),"",(L76+M76)/2-Q76)</f>
        <v/>
      </c>
      <c r="AC76" s="31" t="str">
        <f t="shared" si="28"/>
        <v/>
      </c>
      <c r="AD76" s="132"/>
      <c r="AE76" s="133" t="str">
        <f t="shared" ref="AE76:AE88" si="39">IF(AD76="","",IF(AD76&gt;=0.966,"Normal","Not Normal"))</f>
        <v/>
      </c>
      <c r="AF76" s="134"/>
      <c r="AG76" s="135"/>
      <c r="AH76" s="135"/>
      <c r="AI76" s="136"/>
      <c r="AJ76" s="19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CE76" t="str">
        <v/>
      </c>
    </row>
    <row r="77" spans="1:83" ht="15" customHeight="1">
      <c r="A77" s="17">
        <v>70</v>
      </c>
      <c r="B77" s="127" t="s">
        <v>360</v>
      </c>
      <c r="C77" s="128"/>
      <c r="D77" s="98" t="s">
        <v>197</v>
      </c>
      <c r="E77" s="99"/>
      <c r="F77" s="128" t="s">
        <v>45</v>
      </c>
      <c r="G77" s="143">
        <v>0.1</v>
      </c>
      <c r="H77" s="143">
        <v>0.01</v>
      </c>
      <c r="I77" s="143">
        <v>-0.04</v>
      </c>
      <c r="J77" s="128" t="s">
        <v>12</v>
      </c>
      <c r="K77" s="130" t="s">
        <v>293</v>
      </c>
      <c r="L77" s="131">
        <f t="shared" si="29"/>
        <v>0.11</v>
      </c>
      <c r="M77" s="137">
        <f t="shared" si="30"/>
        <v>6.0000000000000005E-2</v>
      </c>
      <c r="N77" s="27"/>
      <c r="O77" s="3" t="str">
        <f t="shared" si="31"/>
        <v/>
      </c>
      <c r="P77" s="3" t="str">
        <f t="shared" si="32"/>
        <v/>
      </c>
      <c r="Q77" s="3" t="str">
        <f t="shared" si="33"/>
        <v/>
      </c>
      <c r="R77" s="4" t="str">
        <f t="shared" si="34"/>
        <v/>
      </c>
      <c r="S77" s="5" t="str">
        <f t="shared" si="22"/>
        <v/>
      </c>
      <c r="T77" s="75" t="str">
        <f t="shared" si="23"/>
        <v/>
      </c>
      <c r="U77" s="75" t="str">
        <f t="shared" si="35"/>
        <v/>
      </c>
      <c r="V77" s="5" t="str">
        <f t="shared" si="24"/>
        <v/>
      </c>
      <c r="W77" s="5" t="str">
        <f t="shared" si="25"/>
        <v/>
      </c>
      <c r="X77" s="5" t="str">
        <f t="shared" si="26"/>
        <v/>
      </c>
      <c r="Y77" s="139" t="str">
        <f t="shared" si="27"/>
        <v/>
      </c>
      <c r="Z77" s="31" t="str">
        <f t="shared" si="36"/>
        <v/>
      </c>
      <c r="AA77" s="31" t="str">
        <f t="shared" si="37"/>
        <v/>
      </c>
      <c r="AB77" s="31" t="str">
        <f t="shared" si="38"/>
        <v/>
      </c>
      <c r="AC77" s="31" t="str">
        <f t="shared" si="28"/>
        <v/>
      </c>
      <c r="AD77" s="132"/>
      <c r="AE77" s="133" t="str">
        <f t="shared" si="39"/>
        <v/>
      </c>
      <c r="AF77" s="134"/>
      <c r="AG77" s="135"/>
      <c r="AH77" s="135"/>
      <c r="AI77" s="136"/>
      <c r="AJ77" s="19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CE77" t="str">
        <v/>
      </c>
    </row>
    <row r="78" spans="1:83" ht="15" customHeight="1">
      <c r="A78" s="17">
        <v>71</v>
      </c>
      <c r="B78" s="127" t="s">
        <v>361</v>
      </c>
      <c r="C78" s="128"/>
      <c r="D78" s="98" t="s">
        <v>197</v>
      </c>
      <c r="E78" s="99"/>
      <c r="F78" s="128" t="s">
        <v>45</v>
      </c>
      <c r="G78" s="143">
        <v>0.1</v>
      </c>
      <c r="H78" s="143">
        <v>0.01</v>
      </c>
      <c r="I78" s="143">
        <v>-0.04</v>
      </c>
      <c r="J78" s="128" t="s">
        <v>12</v>
      </c>
      <c r="K78" s="130" t="s">
        <v>293</v>
      </c>
      <c r="L78" s="131">
        <f t="shared" si="29"/>
        <v>0.11</v>
      </c>
      <c r="M78" s="137">
        <f t="shared" si="30"/>
        <v>6.0000000000000005E-2</v>
      </c>
      <c r="N78" s="27"/>
      <c r="O78" s="3" t="str">
        <f t="shared" si="31"/>
        <v/>
      </c>
      <c r="P78" s="3" t="str">
        <f t="shared" si="32"/>
        <v/>
      </c>
      <c r="Q78" s="3" t="str">
        <f t="shared" si="33"/>
        <v/>
      </c>
      <c r="R78" s="4" t="str">
        <f t="shared" si="34"/>
        <v/>
      </c>
      <c r="S78" s="5" t="str">
        <f t="shared" si="22"/>
        <v/>
      </c>
      <c r="T78" s="75" t="str">
        <f t="shared" si="23"/>
        <v/>
      </c>
      <c r="U78" s="75" t="str">
        <f t="shared" si="35"/>
        <v/>
      </c>
      <c r="V78" s="5" t="str">
        <f t="shared" si="24"/>
        <v/>
      </c>
      <c r="W78" s="5" t="str">
        <f t="shared" si="25"/>
        <v/>
      </c>
      <c r="X78" s="5" t="str">
        <f t="shared" si="26"/>
        <v/>
      </c>
      <c r="Y78" s="139" t="str">
        <f t="shared" si="27"/>
        <v/>
      </c>
      <c r="Z78" s="31" t="str">
        <f t="shared" si="36"/>
        <v/>
      </c>
      <c r="AA78" s="31" t="str">
        <f t="shared" si="37"/>
        <v/>
      </c>
      <c r="AB78" s="31" t="str">
        <f t="shared" si="38"/>
        <v/>
      </c>
      <c r="AC78" s="31" t="str">
        <f t="shared" si="28"/>
        <v/>
      </c>
      <c r="AD78" s="132"/>
      <c r="AE78" s="133" t="str">
        <f t="shared" si="39"/>
        <v/>
      </c>
      <c r="AF78" s="134"/>
      <c r="AG78" s="135"/>
      <c r="AH78" s="135"/>
      <c r="AI78" s="136"/>
      <c r="AJ78" s="19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CE78" t="str">
        <v/>
      </c>
    </row>
    <row r="79" spans="1:83" ht="15" customHeight="1">
      <c r="A79" s="17">
        <v>72</v>
      </c>
      <c r="B79" s="127" t="s">
        <v>362</v>
      </c>
      <c r="C79" s="128"/>
      <c r="D79" s="98" t="s">
        <v>197</v>
      </c>
      <c r="E79" s="99"/>
      <c r="F79" s="128" t="s">
        <v>45</v>
      </c>
      <c r="G79" s="143">
        <v>0.1</v>
      </c>
      <c r="H79" s="143">
        <v>0.01</v>
      </c>
      <c r="I79" s="143">
        <v>-0.04</v>
      </c>
      <c r="J79" s="128" t="s">
        <v>12</v>
      </c>
      <c r="K79" s="130" t="s">
        <v>293</v>
      </c>
      <c r="L79" s="131">
        <f t="shared" si="29"/>
        <v>0.11</v>
      </c>
      <c r="M79" s="137">
        <f t="shared" si="30"/>
        <v>6.0000000000000005E-2</v>
      </c>
      <c r="N79" s="27"/>
      <c r="O79" s="3" t="str">
        <f t="shared" si="31"/>
        <v/>
      </c>
      <c r="P79" s="3" t="str">
        <f t="shared" si="32"/>
        <v/>
      </c>
      <c r="Q79" s="3" t="str">
        <f t="shared" si="33"/>
        <v/>
      </c>
      <c r="R79" s="4" t="str">
        <f t="shared" si="34"/>
        <v/>
      </c>
      <c r="S79" s="5" t="str">
        <f t="shared" si="22"/>
        <v/>
      </c>
      <c r="T79" s="75" t="str">
        <f t="shared" si="23"/>
        <v/>
      </c>
      <c r="U79" s="75" t="str">
        <f t="shared" si="35"/>
        <v/>
      </c>
      <c r="V79" s="5" t="str">
        <f t="shared" si="24"/>
        <v/>
      </c>
      <c r="W79" s="5" t="str">
        <f t="shared" si="25"/>
        <v/>
      </c>
      <c r="X79" s="5" t="str">
        <f t="shared" si="26"/>
        <v/>
      </c>
      <c r="Y79" s="139" t="str">
        <f t="shared" si="27"/>
        <v/>
      </c>
      <c r="Z79" s="31" t="str">
        <f t="shared" si="36"/>
        <v/>
      </c>
      <c r="AA79" s="31" t="str">
        <f t="shared" si="37"/>
        <v/>
      </c>
      <c r="AB79" s="31" t="str">
        <f t="shared" si="38"/>
        <v/>
      </c>
      <c r="AC79" s="31" t="str">
        <f t="shared" si="28"/>
        <v/>
      </c>
      <c r="AD79" s="132"/>
      <c r="AE79" s="133" t="str">
        <f t="shared" si="39"/>
        <v/>
      </c>
      <c r="AF79" s="134"/>
      <c r="AG79" s="135"/>
      <c r="AH79" s="135"/>
      <c r="AI79" s="136"/>
      <c r="AJ79" s="19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CE79" t="str">
        <v/>
      </c>
    </row>
    <row r="80" spans="1:83" ht="15" customHeight="1">
      <c r="A80" s="17">
        <v>73</v>
      </c>
      <c r="B80" s="127" t="s">
        <v>363</v>
      </c>
      <c r="C80" s="128"/>
      <c r="D80" s="98" t="s">
        <v>197</v>
      </c>
      <c r="E80" s="99"/>
      <c r="F80" s="128" t="s">
        <v>45</v>
      </c>
      <c r="G80" s="143">
        <v>0.1</v>
      </c>
      <c r="H80" s="143">
        <v>0.01</v>
      </c>
      <c r="I80" s="143">
        <v>-0.04</v>
      </c>
      <c r="J80" s="128" t="s">
        <v>12</v>
      </c>
      <c r="K80" s="130" t="s">
        <v>293</v>
      </c>
      <c r="L80" s="131">
        <f t="shared" si="29"/>
        <v>0.11</v>
      </c>
      <c r="M80" s="137">
        <f t="shared" si="30"/>
        <v>6.0000000000000005E-2</v>
      </c>
      <c r="N80" s="27"/>
      <c r="O80" s="3" t="str">
        <f t="shared" si="31"/>
        <v/>
      </c>
      <c r="P80" s="3" t="str">
        <f t="shared" si="32"/>
        <v/>
      </c>
      <c r="Q80" s="3" t="str">
        <f t="shared" si="33"/>
        <v/>
      </c>
      <c r="R80" s="4" t="str">
        <f t="shared" si="34"/>
        <v/>
      </c>
      <c r="S80" s="5" t="str">
        <f t="shared" si="22"/>
        <v/>
      </c>
      <c r="T80" s="75" t="str">
        <f t="shared" si="23"/>
        <v/>
      </c>
      <c r="U80" s="75" t="str">
        <f t="shared" si="35"/>
        <v/>
      </c>
      <c r="V80" s="5" t="str">
        <f t="shared" si="24"/>
        <v/>
      </c>
      <c r="W80" s="5" t="str">
        <f t="shared" si="25"/>
        <v/>
      </c>
      <c r="X80" s="5" t="str">
        <f t="shared" si="26"/>
        <v/>
      </c>
      <c r="Y80" s="139" t="str">
        <f t="shared" si="27"/>
        <v/>
      </c>
      <c r="Z80" s="31" t="str">
        <f t="shared" si="36"/>
        <v/>
      </c>
      <c r="AA80" s="31" t="str">
        <f t="shared" si="37"/>
        <v/>
      </c>
      <c r="AB80" s="31" t="str">
        <f t="shared" si="38"/>
        <v/>
      </c>
      <c r="AC80" s="31" t="str">
        <f t="shared" si="28"/>
        <v/>
      </c>
      <c r="AD80" s="132"/>
      <c r="AE80" s="133" t="str">
        <f t="shared" si="39"/>
        <v/>
      </c>
      <c r="AF80" s="134"/>
      <c r="AG80" s="135"/>
      <c r="AH80" s="135"/>
      <c r="AI80" s="136"/>
      <c r="AJ80" s="19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CE80" t="str">
        <v/>
      </c>
    </row>
    <row r="81" spans="1:83" ht="15" customHeight="1">
      <c r="A81" s="17">
        <v>74</v>
      </c>
      <c r="B81" s="142" t="s">
        <v>364</v>
      </c>
      <c r="C81" s="128" t="s">
        <v>276</v>
      </c>
      <c r="D81" s="98" t="s">
        <v>199</v>
      </c>
      <c r="E81" s="99">
        <v>1.33</v>
      </c>
      <c r="F81" s="128" t="s">
        <v>45</v>
      </c>
      <c r="G81" s="143">
        <v>0.13500000000000001</v>
      </c>
      <c r="H81" s="143">
        <v>5.0000000000000001E-3</v>
      </c>
      <c r="I81" s="143">
        <v>-5.0000000000000001E-3</v>
      </c>
      <c r="J81" s="128" t="s">
        <v>31</v>
      </c>
      <c r="K81" s="130" t="s">
        <v>293</v>
      </c>
      <c r="L81" s="131">
        <f t="shared" si="29"/>
        <v>0.14000000000000001</v>
      </c>
      <c r="M81" s="137">
        <f t="shared" si="30"/>
        <v>0.13</v>
      </c>
      <c r="N81" s="27"/>
      <c r="O81" s="3" t="str">
        <f t="shared" si="31"/>
        <v/>
      </c>
      <c r="P81" s="3" t="str">
        <f t="shared" si="32"/>
        <v/>
      </c>
      <c r="Q81" s="3" t="str">
        <f t="shared" si="33"/>
        <v/>
      </c>
      <c r="R81" s="4" t="str">
        <f t="shared" si="34"/>
        <v/>
      </c>
      <c r="S81" s="5" t="str">
        <f t="shared" si="22"/>
        <v/>
      </c>
      <c r="T81" s="75" t="str">
        <f t="shared" si="23"/>
        <v/>
      </c>
      <c r="U81" s="75" t="str">
        <f t="shared" si="35"/>
        <v/>
      </c>
      <c r="V81" s="5" t="str">
        <f t="shared" si="24"/>
        <v/>
      </c>
      <c r="W81" s="5" t="str">
        <f t="shared" si="25"/>
        <v/>
      </c>
      <c r="X81" s="5" t="str">
        <f t="shared" si="26"/>
        <v/>
      </c>
      <c r="Y81" s="139" t="str">
        <f t="shared" si="27"/>
        <v/>
      </c>
      <c r="Z81" s="31" t="str">
        <f t="shared" si="36"/>
        <v/>
      </c>
      <c r="AA81" s="31" t="str">
        <f t="shared" si="37"/>
        <v/>
      </c>
      <c r="AB81" s="31" t="str">
        <f t="shared" si="38"/>
        <v/>
      </c>
      <c r="AC81" s="31" t="str">
        <f t="shared" si="28"/>
        <v/>
      </c>
      <c r="AD81" s="132"/>
      <c r="AE81" s="133" t="str">
        <f t="shared" si="39"/>
        <v/>
      </c>
      <c r="AF81" s="134"/>
      <c r="AG81" s="135"/>
      <c r="AH81" s="135"/>
      <c r="AI81" s="136"/>
      <c r="AJ81" s="19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CE81" t="str">
        <v/>
      </c>
    </row>
    <row r="82" spans="1:83" ht="15" customHeight="1">
      <c r="A82" s="17">
        <v>75</v>
      </c>
      <c r="B82" s="142" t="s">
        <v>365</v>
      </c>
      <c r="C82" s="128" t="s">
        <v>276</v>
      </c>
      <c r="D82" s="98" t="s">
        <v>199</v>
      </c>
      <c r="E82" s="99">
        <v>1.33</v>
      </c>
      <c r="F82" s="128" t="s">
        <v>45</v>
      </c>
      <c r="G82" s="143">
        <v>0.13500000000000001</v>
      </c>
      <c r="H82" s="143">
        <v>5.0000000000000001E-3</v>
      </c>
      <c r="I82" s="143">
        <v>-5.0000000000000001E-3</v>
      </c>
      <c r="J82" s="128" t="s">
        <v>31</v>
      </c>
      <c r="K82" s="130" t="s">
        <v>293</v>
      </c>
      <c r="L82" s="131">
        <f t="shared" si="29"/>
        <v>0.14000000000000001</v>
      </c>
      <c r="M82" s="137">
        <f t="shared" si="30"/>
        <v>0.13</v>
      </c>
      <c r="N82" s="141"/>
      <c r="O82" s="3" t="str">
        <f t="shared" si="31"/>
        <v/>
      </c>
      <c r="P82" s="3" t="str">
        <f t="shared" si="32"/>
        <v/>
      </c>
      <c r="Q82" s="3" t="str">
        <f t="shared" si="33"/>
        <v/>
      </c>
      <c r="R82" s="4" t="str">
        <f t="shared" si="34"/>
        <v/>
      </c>
      <c r="S82" s="5" t="str">
        <f t="shared" si="22"/>
        <v/>
      </c>
      <c r="T82" s="75" t="str">
        <f t="shared" si="23"/>
        <v/>
      </c>
      <c r="U82" s="75" t="str">
        <f t="shared" si="35"/>
        <v/>
      </c>
      <c r="V82" s="5" t="str">
        <f t="shared" si="24"/>
        <v/>
      </c>
      <c r="W82" s="5" t="str">
        <f t="shared" si="25"/>
        <v/>
      </c>
      <c r="X82" s="5" t="str">
        <f t="shared" si="26"/>
        <v/>
      </c>
      <c r="Y82" s="139" t="str">
        <f t="shared" si="27"/>
        <v/>
      </c>
      <c r="Z82" s="31" t="str">
        <f t="shared" si="36"/>
        <v/>
      </c>
      <c r="AA82" s="31" t="str">
        <f t="shared" si="37"/>
        <v/>
      </c>
      <c r="AB82" s="31" t="str">
        <f t="shared" si="38"/>
        <v/>
      </c>
      <c r="AC82" s="31" t="str">
        <f t="shared" si="28"/>
        <v/>
      </c>
      <c r="AD82" s="132"/>
      <c r="AE82" s="133" t="str">
        <f t="shared" si="39"/>
        <v/>
      </c>
      <c r="AF82" s="134"/>
      <c r="AG82" s="135"/>
      <c r="AH82" s="135"/>
      <c r="AI82" s="136"/>
      <c r="AJ82" s="19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CE82" t="str">
        <v/>
      </c>
    </row>
    <row r="83" spans="1:83" ht="15" customHeight="1">
      <c r="A83" s="17">
        <v>76</v>
      </c>
      <c r="B83" s="142" t="s">
        <v>366</v>
      </c>
      <c r="C83" s="128" t="s">
        <v>38</v>
      </c>
      <c r="D83" s="98" t="s">
        <v>199</v>
      </c>
      <c r="E83" s="99">
        <v>1.33</v>
      </c>
      <c r="F83" s="128" t="s">
        <v>45</v>
      </c>
      <c r="G83" s="143">
        <v>0.13500000000000001</v>
      </c>
      <c r="H83" s="143">
        <v>5.0000000000000001E-3</v>
      </c>
      <c r="I83" s="143">
        <v>-5.0000000000000001E-3</v>
      </c>
      <c r="J83" s="128" t="s">
        <v>31</v>
      </c>
      <c r="K83" s="130" t="s">
        <v>293</v>
      </c>
      <c r="L83" s="131">
        <f t="shared" si="29"/>
        <v>0.14000000000000001</v>
      </c>
      <c r="M83" s="137">
        <f t="shared" si="30"/>
        <v>0.13</v>
      </c>
      <c r="N83" s="27"/>
      <c r="O83" s="3" t="str">
        <f t="shared" si="31"/>
        <v/>
      </c>
      <c r="P83" s="3" t="str">
        <f t="shared" si="32"/>
        <v/>
      </c>
      <c r="Q83" s="3" t="str">
        <f t="shared" si="33"/>
        <v/>
      </c>
      <c r="R83" s="4" t="str">
        <f t="shared" si="34"/>
        <v/>
      </c>
      <c r="S83" s="5" t="str">
        <f t="shared" si="22"/>
        <v/>
      </c>
      <c r="T83" s="75" t="str">
        <f t="shared" si="23"/>
        <v/>
      </c>
      <c r="U83" s="75" t="str">
        <f t="shared" si="35"/>
        <v/>
      </c>
      <c r="V83" s="5" t="str">
        <f t="shared" si="24"/>
        <v/>
      </c>
      <c r="W83" s="5" t="str">
        <f t="shared" si="25"/>
        <v/>
      </c>
      <c r="X83" s="5" t="str">
        <f t="shared" si="26"/>
        <v/>
      </c>
      <c r="Y83" s="139" t="str">
        <f t="shared" si="27"/>
        <v/>
      </c>
      <c r="Z83" s="31" t="str">
        <f t="shared" si="36"/>
        <v/>
      </c>
      <c r="AA83" s="31" t="str">
        <f t="shared" si="37"/>
        <v/>
      </c>
      <c r="AB83" s="31" t="str">
        <f t="shared" si="38"/>
        <v/>
      </c>
      <c r="AC83" s="31" t="str">
        <f t="shared" si="28"/>
        <v/>
      </c>
      <c r="AD83" s="132"/>
      <c r="AE83" s="133" t="str">
        <f t="shared" si="39"/>
        <v/>
      </c>
      <c r="AF83" s="134"/>
      <c r="AG83" s="135"/>
      <c r="AH83" s="135"/>
      <c r="AI83" s="136"/>
      <c r="AJ83" s="19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CE83" t="str">
        <v/>
      </c>
    </row>
    <row r="84" spans="1:83" ht="15" customHeight="1">
      <c r="A84" s="17">
        <v>77</v>
      </c>
      <c r="B84" s="142" t="s">
        <v>367</v>
      </c>
      <c r="C84" s="128" t="s">
        <v>38</v>
      </c>
      <c r="D84" s="98" t="s">
        <v>199</v>
      </c>
      <c r="E84" s="99">
        <v>1.33</v>
      </c>
      <c r="F84" s="128" t="s">
        <v>45</v>
      </c>
      <c r="G84" s="143">
        <v>0.13500000000000001</v>
      </c>
      <c r="H84" s="143">
        <v>5.0000000000000001E-3</v>
      </c>
      <c r="I84" s="143">
        <v>-5.0000000000000001E-3</v>
      </c>
      <c r="J84" s="128" t="s">
        <v>31</v>
      </c>
      <c r="K84" s="130" t="s">
        <v>293</v>
      </c>
      <c r="L84" s="131">
        <f t="shared" si="29"/>
        <v>0.14000000000000001</v>
      </c>
      <c r="M84" s="137">
        <f t="shared" si="30"/>
        <v>0.13</v>
      </c>
      <c r="N84" s="27"/>
      <c r="O84" s="3" t="str">
        <f t="shared" si="31"/>
        <v/>
      </c>
      <c r="P84" s="3" t="str">
        <f t="shared" si="32"/>
        <v/>
      </c>
      <c r="Q84" s="3" t="str">
        <f t="shared" si="33"/>
        <v/>
      </c>
      <c r="R84" s="4" t="str">
        <f t="shared" si="34"/>
        <v/>
      </c>
      <c r="S84" s="5" t="str">
        <f t="shared" si="22"/>
        <v/>
      </c>
      <c r="T84" s="75" t="str">
        <f t="shared" si="23"/>
        <v/>
      </c>
      <c r="U84" s="75" t="str">
        <f t="shared" si="35"/>
        <v/>
      </c>
      <c r="V84" s="5" t="str">
        <f t="shared" si="24"/>
        <v/>
      </c>
      <c r="W84" s="5" t="str">
        <f t="shared" si="25"/>
        <v/>
      </c>
      <c r="X84" s="5" t="str">
        <f t="shared" si="26"/>
        <v/>
      </c>
      <c r="Y84" s="139" t="str">
        <f t="shared" si="27"/>
        <v/>
      </c>
      <c r="Z84" s="31" t="str">
        <f t="shared" si="36"/>
        <v/>
      </c>
      <c r="AA84" s="31" t="str">
        <f t="shared" si="37"/>
        <v/>
      </c>
      <c r="AB84" s="31" t="str">
        <f t="shared" si="38"/>
        <v/>
      </c>
      <c r="AC84" s="31" t="str">
        <f t="shared" si="28"/>
        <v/>
      </c>
      <c r="AD84" s="132"/>
      <c r="AE84" s="133" t="str">
        <f t="shared" si="39"/>
        <v/>
      </c>
      <c r="AF84" s="134"/>
      <c r="AG84" s="135"/>
      <c r="AH84" s="135"/>
      <c r="AI84" s="136"/>
      <c r="AJ84" s="19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CE84" t="str">
        <v/>
      </c>
    </row>
    <row r="85" spans="1:83" ht="15" customHeight="1">
      <c r="A85" s="17">
        <v>79</v>
      </c>
      <c r="B85" s="127" t="s">
        <v>368</v>
      </c>
      <c r="C85" s="128"/>
      <c r="D85" s="98" t="s">
        <v>199</v>
      </c>
      <c r="E85" s="99"/>
      <c r="F85" s="128" t="s">
        <v>45</v>
      </c>
      <c r="G85" s="143">
        <v>1.2</v>
      </c>
      <c r="H85" s="143">
        <v>0.03</v>
      </c>
      <c r="I85" s="143">
        <v>-0.03</v>
      </c>
      <c r="J85" s="128" t="s">
        <v>31</v>
      </c>
      <c r="K85" s="130" t="s">
        <v>293</v>
      </c>
      <c r="L85" s="131">
        <f t="shared" si="29"/>
        <v>1.23</v>
      </c>
      <c r="M85" s="137">
        <f t="shared" si="30"/>
        <v>1.17</v>
      </c>
      <c r="N85" s="27"/>
      <c r="O85" s="3" t="str">
        <f t="shared" si="31"/>
        <v/>
      </c>
      <c r="P85" s="3" t="str">
        <f t="shared" si="32"/>
        <v/>
      </c>
      <c r="Q85" s="3" t="str">
        <f t="shared" si="33"/>
        <v/>
      </c>
      <c r="R85" s="4" t="str">
        <f t="shared" si="34"/>
        <v/>
      </c>
      <c r="S85" s="5" t="str">
        <f t="shared" si="22"/>
        <v/>
      </c>
      <c r="T85" s="75" t="str">
        <f t="shared" si="23"/>
        <v/>
      </c>
      <c r="U85" s="75" t="str">
        <f t="shared" si="35"/>
        <v/>
      </c>
      <c r="V85" s="5" t="str">
        <f t="shared" si="24"/>
        <v/>
      </c>
      <c r="W85" s="5" t="str">
        <f t="shared" si="25"/>
        <v/>
      </c>
      <c r="X85" s="5" t="str">
        <f t="shared" si="26"/>
        <v/>
      </c>
      <c r="Y85" s="139" t="str">
        <f t="shared" si="27"/>
        <v/>
      </c>
      <c r="Z85" s="31" t="str">
        <f t="shared" si="36"/>
        <v/>
      </c>
      <c r="AA85" s="31" t="str">
        <f t="shared" si="37"/>
        <v/>
      </c>
      <c r="AB85" s="31" t="str">
        <f t="shared" si="38"/>
        <v/>
      </c>
      <c r="AC85" s="31" t="str">
        <f t="shared" si="28"/>
        <v/>
      </c>
      <c r="AD85" s="132"/>
      <c r="AE85" s="133" t="str">
        <f t="shared" si="39"/>
        <v/>
      </c>
      <c r="AF85" s="134"/>
      <c r="AG85" s="135"/>
      <c r="AH85" s="135"/>
      <c r="AI85" s="136"/>
      <c r="AJ85" s="19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CE85" t="str">
        <v/>
      </c>
    </row>
    <row r="86" spans="1:83" ht="15" customHeight="1">
      <c r="A86" s="17">
        <v>80</v>
      </c>
      <c r="B86" s="142" t="s">
        <v>369</v>
      </c>
      <c r="C86" s="128"/>
      <c r="D86" s="98" t="s">
        <v>199</v>
      </c>
      <c r="E86" s="99"/>
      <c r="F86" s="128" t="s">
        <v>45</v>
      </c>
      <c r="G86" s="143">
        <v>15.414</v>
      </c>
      <c r="H86" s="143">
        <v>0.24399999999999999</v>
      </c>
      <c r="I86" s="143">
        <v>-0.24399999999999999</v>
      </c>
      <c r="J86" s="128" t="s">
        <v>12</v>
      </c>
      <c r="K86" s="130" t="s">
        <v>293</v>
      </c>
      <c r="L86" s="131">
        <f t="shared" si="29"/>
        <v>15.657999999999999</v>
      </c>
      <c r="M86" s="137">
        <f t="shared" si="30"/>
        <v>15.17</v>
      </c>
      <c r="N86" s="27"/>
      <c r="O86" s="3" t="str">
        <f t="shared" si="31"/>
        <v/>
      </c>
      <c r="P86" s="3" t="str">
        <f t="shared" si="32"/>
        <v/>
      </c>
      <c r="Q86" s="3" t="str">
        <f t="shared" si="33"/>
        <v/>
      </c>
      <c r="R86" s="4" t="str">
        <f t="shared" si="34"/>
        <v/>
      </c>
      <c r="S86" s="5" t="str">
        <f t="shared" si="22"/>
        <v/>
      </c>
      <c r="T86" s="75" t="str">
        <f t="shared" si="23"/>
        <v/>
      </c>
      <c r="U86" s="75" t="str">
        <f t="shared" si="35"/>
        <v/>
      </c>
      <c r="V86" s="5" t="str">
        <f t="shared" si="24"/>
        <v/>
      </c>
      <c r="W86" s="5" t="str">
        <f t="shared" si="25"/>
        <v/>
      </c>
      <c r="X86" s="5" t="str">
        <f t="shared" si="26"/>
        <v/>
      </c>
      <c r="Y86" s="139" t="str">
        <f t="shared" si="27"/>
        <v/>
      </c>
      <c r="Z86" s="31" t="str">
        <f t="shared" si="36"/>
        <v/>
      </c>
      <c r="AA86" s="31" t="str">
        <f t="shared" si="37"/>
        <v/>
      </c>
      <c r="AB86" s="31" t="str">
        <f t="shared" si="38"/>
        <v/>
      </c>
      <c r="AC86" s="31" t="str">
        <f t="shared" si="28"/>
        <v/>
      </c>
      <c r="AD86" s="132"/>
      <c r="AE86" s="133" t="str">
        <f t="shared" si="39"/>
        <v/>
      </c>
      <c r="AF86" s="134"/>
      <c r="AG86" s="135"/>
      <c r="AH86" s="135"/>
      <c r="AI86" s="136"/>
      <c r="AJ86" s="19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CE86" t="str">
        <v/>
      </c>
    </row>
    <row r="87" spans="1:83" ht="15" customHeight="1">
      <c r="A87" s="17">
        <v>81</v>
      </c>
      <c r="B87" s="142" t="s">
        <v>370</v>
      </c>
      <c r="C87" s="128"/>
      <c r="D87" s="98" t="s">
        <v>199</v>
      </c>
      <c r="E87" s="99"/>
      <c r="F87" s="128" t="s">
        <v>45</v>
      </c>
      <c r="G87" s="143">
        <v>6.9189999999999996</v>
      </c>
      <c r="H87" s="143">
        <v>0.3</v>
      </c>
      <c r="I87" s="143">
        <v>-0.3</v>
      </c>
      <c r="J87" s="128" t="s">
        <v>12</v>
      </c>
      <c r="K87" s="130" t="s">
        <v>293</v>
      </c>
      <c r="L87" s="131">
        <f t="shared" si="29"/>
        <v>7.2189999999999994</v>
      </c>
      <c r="M87" s="137">
        <f t="shared" si="30"/>
        <v>6.6189999999999998</v>
      </c>
      <c r="N87" s="27"/>
      <c r="O87" s="3" t="str">
        <f t="shared" si="31"/>
        <v/>
      </c>
      <c r="P87" s="3" t="str">
        <f t="shared" si="32"/>
        <v/>
      </c>
      <c r="Q87" s="3" t="str">
        <f t="shared" si="33"/>
        <v/>
      </c>
      <c r="R87" s="4" t="str">
        <f t="shared" si="34"/>
        <v/>
      </c>
      <c r="S87" s="5" t="str">
        <f t="shared" si="22"/>
        <v/>
      </c>
      <c r="T87" s="75" t="str">
        <f t="shared" si="23"/>
        <v/>
      </c>
      <c r="U87" s="75" t="str">
        <f t="shared" si="35"/>
        <v/>
      </c>
      <c r="V87" s="5" t="str">
        <f t="shared" si="24"/>
        <v/>
      </c>
      <c r="W87" s="5" t="str">
        <f t="shared" si="25"/>
        <v/>
      </c>
      <c r="X87" s="5" t="str">
        <f t="shared" si="26"/>
        <v/>
      </c>
      <c r="Y87" s="139" t="str">
        <f t="shared" si="27"/>
        <v/>
      </c>
      <c r="Z87" s="31" t="str">
        <f t="shared" si="36"/>
        <v/>
      </c>
      <c r="AA87" s="31" t="str">
        <f t="shared" si="37"/>
        <v/>
      </c>
      <c r="AB87" s="31" t="str">
        <f t="shared" si="38"/>
        <v/>
      </c>
      <c r="AC87" s="31" t="str">
        <f t="shared" si="28"/>
        <v/>
      </c>
      <c r="AD87" s="132"/>
      <c r="AE87" s="133" t="str">
        <f t="shared" si="39"/>
        <v/>
      </c>
      <c r="AF87" s="134"/>
      <c r="AG87" s="135"/>
      <c r="AH87" s="135"/>
      <c r="AI87" s="136"/>
      <c r="AJ87" s="19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CE87" t="str">
        <v/>
      </c>
    </row>
    <row r="88" spans="1:83" ht="15" customHeight="1">
      <c r="A88" s="17">
        <v>82</v>
      </c>
      <c r="B88" s="142" t="s">
        <v>371</v>
      </c>
      <c r="C88" s="128"/>
      <c r="D88" s="98" t="s">
        <v>199</v>
      </c>
      <c r="E88" s="99"/>
      <c r="F88" s="128" t="s">
        <v>45</v>
      </c>
      <c r="G88" s="143">
        <v>0</v>
      </c>
      <c r="H88" s="143">
        <v>3</v>
      </c>
      <c r="I88" s="143">
        <v>-3</v>
      </c>
      <c r="J88" s="128" t="s">
        <v>12</v>
      </c>
      <c r="K88" s="130" t="s">
        <v>293</v>
      </c>
      <c r="L88" s="131">
        <f t="shared" si="29"/>
        <v>3</v>
      </c>
      <c r="M88" s="137">
        <f t="shared" si="30"/>
        <v>-3</v>
      </c>
      <c r="N88" s="27"/>
      <c r="O88" s="3" t="str">
        <f t="shared" si="31"/>
        <v/>
      </c>
      <c r="P88" s="3" t="str">
        <f t="shared" si="32"/>
        <v/>
      </c>
      <c r="Q88" s="3" t="str">
        <f t="shared" si="33"/>
        <v/>
      </c>
      <c r="R88" s="4" t="str">
        <f t="shared" si="34"/>
        <v/>
      </c>
      <c r="S88" s="5" t="str">
        <f t="shared" si="22"/>
        <v/>
      </c>
      <c r="T88" s="75" t="str">
        <f t="shared" si="23"/>
        <v/>
      </c>
      <c r="U88" s="75" t="str">
        <f t="shared" si="35"/>
        <v/>
      </c>
      <c r="V88" s="5" t="str">
        <f t="shared" si="24"/>
        <v/>
      </c>
      <c r="W88" s="5" t="str">
        <f t="shared" si="25"/>
        <v/>
      </c>
      <c r="X88" s="5" t="str">
        <f t="shared" si="26"/>
        <v/>
      </c>
      <c r="Y88" s="139" t="str">
        <f t="shared" si="27"/>
        <v/>
      </c>
      <c r="Z88" s="31" t="str">
        <f t="shared" si="36"/>
        <v/>
      </c>
      <c r="AA88" s="31" t="str">
        <f t="shared" si="37"/>
        <v/>
      </c>
      <c r="AB88" s="31" t="str">
        <f t="shared" si="38"/>
        <v/>
      </c>
      <c r="AC88" s="31" t="str">
        <f t="shared" si="28"/>
        <v/>
      </c>
      <c r="AD88" s="132"/>
      <c r="AE88" s="133" t="str">
        <f t="shared" si="39"/>
        <v/>
      </c>
      <c r="AF88" s="134"/>
      <c r="AG88" s="135"/>
      <c r="AH88" s="135"/>
      <c r="AI88" s="136"/>
      <c r="AJ88" s="19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CE88" t="str">
        <v/>
      </c>
    </row>
    <row r="89" spans="1:83">
      <c r="CE89" t="str">
        <v/>
      </c>
    </row>
    <row r="90" spans="1:83">
      <c r="CE90" t="str">
        <v/>
      </c>
    </row>
    <row r="91" spans="1:83">
      <c r="CE91" t="str">
        <v/>
      </c>
    </row>
    <row r="92" spans="1:83">
      <c r="CE92" t="str">
        <v/>
      </c>
    </row>
    <row r="93" spans="1:83">
      <c r="CE93" t="str">
        <v/>
      </c>
    </row>
    <row r="94" spans="1:83">
      <c r="CE94" t="str">
        <v/>
      </c>
    </row>
    <row r="95" spans="1:83">
      <c r="CE95" t="str">
        <v/>
      </c>
    </row>
    <row r="96" spans="1:83">
      <c r="CE96" t="str">
        <v/>
      </c>
    </row>
    <row r="97" spans="83:83">
      <c r="CE97" t="str">
        <v/>
      </c>
    </row>
    <row r="98" spans="83:83">
      <c r="CE98" t="str">
        <v/>
      </c>
    </row>
    <row r="99" spans="83:83">
      <c r="CE99" t="str">
        <v/>
      </c>
    </row>
    <row r="100" spans="83:83">
      <c r="CE100" t="str">
        <v/>
      </c>
    </row>
    <row r="101" spans="83:83">
      <c r="CE101" t="str">
        <v/>
      </c>
    </row>
    <row r="102" spans="83:83">
      <c r="CE102" t="str">
        <v/>
      </c>
    </row>
    <row r="103" spans="83:83">
      <c r="CE103" t="str">
        <v/>
      </c>
    </row>
    <row r="104" spans="83:83">
      <c r="CE104" t="str">
        <v/>
      </c>
    </row>
    <row r="105" spans="83:83">
      <c r="CE105" t="str">
        <v/>
      </c>
    </row>
    <row r="106" spans="83:83">
      <c r="CE106" t="str">
        <v/>
      </c>
    </row>
    <row r="107" spans="83:83">
      <c r="CE107" t="str">
        <v/>
      </c>
    </row>
    <row r="108" spans="83:83">
      <c r="CE108" t="str">
        <v/>
      </c>
    </row>
    <row r="109" spans="83:83">
      <c r="CE109" t="str">
        <v/>
      </c>
    </row>
    <row r="110" spans="83:83">
      <c r="CE110" t="str">
        <v/>
      </c>
    </row>
    <row r="111" spans="83:83">
      <c r="CE111" t="str">
        <v/>
      </c>
    </row>
    <row r="112" spans="83:83">
      <c r="CE112" t="str">
        <v/>
      </c>
    </row>
    <row r="113" spans="83:83">
      <c r="CE113" t="str">
        <v/>
      </c>
    </row>
    <row r="114" spans="83:83">
      <c r="CE114" t="str">
        <v/>
      </c>
    </row>
    <row r="115" spans="83:83">
      <c r="CE115" t="str">
        <v/>
      </c>
    </row>
    <row r="116" spans="83:83">
      <c r="CE116" t="str">
        <v/>
      </c>
    </row>
    <row r="117" spans="83:83">
      <c r="CE117" t="str">
        <v/>
      </c>
    </row>
    <row r="118" spans="83:83">
      <c r="CE118" t="str">
        <v/>
      </c>
    </row>
    <row r="119" spans="83:83">
      <c r="CE119" t="str">
        <v/>
      </c>
    </row>
    <row r="120" spans="83:83">
      <c r="CE120" t="str">
        <v/>
      </c>
    </row>
    <row r="121" spans="83:83">
      <c r="CE121" t="str">
        <v/>
      </c>
    </row>
    <row r="122" spans="83:83">
      <c r="CE122" t="str">
        <v/>
      </c>
    </row>
    <row r="123" spans="83:83">
      <c r="CE123" t="str">
        <v/>
      </c>
    </row>
    <row r="124" spans="83:83">
      <c r="CE124" t="str">
        <v/>
      </c>
    </row>
    <row r="125" spans="83:83">
      <c r="CE125" t="str">
        <v/>
      </c>
    </row>
    <row r="126" spans="83:83">
      <c r="CE126" t="str">
        <v/>
      </c>
    </row>
    <row r="127" spans="83:83">
      <c r="CE127" t="str">
        <v/>
      </c>
    </row>
    <row r="128" spans="83:83">
      <c r="CE128" t="str">
        <v/>
      </c>
    </row>
    <row r="129" spans="83:83">
      <c r="CE129" t="str">
        <v/>
      </c>
    </row>
  </sheetData>
  <mergeCells count="24">
    <mergeCell ref="A1:AE1"/>
    <mergeCell ref="V2:W2"/>
    <mergeCell ref="B4:C4"/>
    <mergeCell ref="F4:G4"/>
    <mergeCell ref="H4:M4"/>
    <mergeCell ref="O4:Q4"/>
    <mergeCell ref="R4:W4"/>
    <mergeCell ref="H5:M5"/>
    <mergeCell ref="O5:Q5"/>
    <mergeCell ref="R5:W5"/>
    <mergeCell ref="B8:M8"/>
    <mergeCell ref="O8:AE8"/>
    <mergeCell ref="B6:C6"/>
    <mergeCell ref="F6:G6"/>
    <mergeCell ref="H6:M6"/>
    <mergeCell ref="O6:Q6"/>
    <mergeCell ref="R6:W6"/>
    <mergeCell ref="B5:C5"/>
    <mergeCell ref="F5:G5"/>
    <mergeCell ref="AG8:AI8"/>
    <mergeCell ref="AK8:BP8"/>
    <mergeCell ref="B9:B10"/>
    <mergeCell ref="C9:C10"/>
    <mergeCell ref="Z9:AA9"/>
  </mergeCells>
  <phoneticPr fontId="38" type="noConversion"/>
  <conditionalFormatting sqref="G11 G18:G21">
    <cfRule type="expression" dxfId="514" priority="52">
      <formula>AND($F11&lt;&gt;"Tolerance",$G11&lt;&gt;"")</formula>
    </cfRule>
    <cfRule type="expression" dxfId="513" priority="53">
      <formula>AND(OR($F11="GD&amp;T",$F11="MAX",$F11="MIN"),$G11="")</formula>
    </cfRule>
  </conditionalFormatting>
  <conditionalFormatting sqref="G11 I11">
    <cfRule type="containsBlanks" dxfId="512" priority="54">
      <formula>LEN(TRIM(G11))=0</formula>
    </cfRule>
  </conditionalFormatting>
  <conditionalFormatting sqref="G14:G15 G29 G50">
    <cfRule type="expression" dxfId="511" priority="47">
      <formula>AND($F14&lt;&gt;"Tolerance",$G14&lt;&gt;"")</formula>
    </cfRule>
    <cfRule type="expression" dxfId="510" priority="48">
      <formula>AND(OR($F14="GD&amp;T",$F14="MAX",$F14="MIN"),$G14="")</formula>
    </cfRule>
    <cfRule type="containsBlanks" dxfId="509" priority="49">
      <formula>LEN(TRIM(G14))=0</formula>
    </cfRule>
  </conditionalFormatting>
  <conditionalFormatting sqref="G18:G21 AK11:BP88">
    <cfRule type="containsBlanks" dxfId="508" priority="75">
      <formula>LEN(TRIM(G11))=0</formula>
    </cfRule>
  </conditionalFormatting>
  <conditionalFormatting sqref="I11">
    <cfRule type="expression" dxfId="507" priority="50">
      <formula>AND(OR($F11="GD&amp;T",$F11="MAX"),$I11&lt;&gt;"")</formula>
    </cfRule>
    <cfRule type="expression" dxfId="506" priority="51">
      <formula>AND(OR($F11="GD&amp;T",$F11="MAX"),$I11="")</formula>
    </cfRule>
  </conditionalFormatting>
  <conditionalFormatting sqref="O11:Q29 AK11:BP88">
    <cfRule type="expression" dxfId="505" priority="105">
      <formula>AND($L11&lt;&gt;"",$AK11&lt;&gt;"",O11&gt;$L11)</formula>
    </cfRule>
  </conditionalFormatting>
  <conditionalFormatting sqref="O30:Q88 AK85:BP88">
    <cfRule type="expression" dxfId="504" priority="341">
      <formula>AND($M30&lt;&gt;"",$AK30&lt;&gt;"",O30&lt;$M30)</formula>
    </cfRule>
  </conditionalFormatting>
  <conditionalFormatting sqref="O30:Q88">
    <cfRule type="expression" dxfId="503" priority="342">
      <formula>AND($L30&lt;&gt;"",$AK30&lt;&gt;"",O30&gt;$L30)</formula>
    </cfRule>
    <cfRule type="notContainsBlanks" dxfId="502" priority="343">
      <formula>LEN(TRIM(O30))&gt;0</formula>
    </cfRule>
  </conditionalFormatting>
  <conditionalFormatting sqref="O62:Q62">
    <cfRule type="expression" dxfId="501" priority="310">
      <formula>AND($M62&lt;&gt;"",$AK62&lt;&gt;"",O62&lt;$M62)</formula>
    </cfRule>
    <cfRule type="expression" dxfId="500" priority="311">
      <formula>AND($L62&lt;&gt;"",$AK62&lt;&gt;"",O62&gt;$L62)</formula>
    </cfRule>
    <cfRule type="notContainsBlanks" dxfId="499" priority="312">
      <formula>LEN(TRIM(O62))&gt;0</formula>
    </cfRule>
  </conditionalFormatting>
  <conditionalFormatting sqref="R11:R88">
    <cfRule type="expression" dxfId="498" priority="55">
      <formula>AND($R11&lt;&gt;"",$S11&lt;1.67)</formula>
    </cfRule>
    <cfRule type="notContainsBlanks" dxfId="497" priority="56">
      <formula>LEN(TRIM(R11))&gt;0</formula>
    </cfRule>
  </conditionalFormatting>
  <conditionalFormatting sqref="S11:S84">
    <cfRule type="expression" dxfId="496" priority="335">
      <formula>AND($AD11&lt;0.966,$AD11&lt;&gt;"")</formula>
    </cfRule>
  </conditionalFormatting>
  <conditionalFormatting sqref="S11:S88 V11:X88">
    <cfRule type="cellIs" dxfId="495" priority="339" operator="lessThan">
      <formula>$E11</formula>
    </cfRule>
    <cfRule type="notContainsBlanks" dxfId="494" priority="344">
      <formula>LEN(TRIM(S11))&gt;0</formula>
    </cfRule>
  </conditionalFormatting>
  <conditionalFormatting sqref="S11:S88 V58:Y88">
    <cfRule type="expression" dxfId="493" priority="68">
      <formula>$K11="Yes"</formula>
    </cfRule>
  </conditionalFormatting>
  <conditionalFormatting sqref="S23 V23:X23">
    <cfRule type="cellIs" dxfId="492" priority="327" operator="lessThan">
      <formula>1.33</formula>
    </cfRule>
    <cfRule type="notContainsBlanks" dxfId="491" priority="330">
      <formula>LEN(TRIM(S23))&gt;0</formula>
    </cfRule>
  </conditionalFormatting>
  <conditionalFormatting sqref="S23">
    <cfRule type="expression" dxfId="490" priority="323">
      <formula>AND($AD23&lt;0.966,$AD23&lt;&gt;"")</formula>
    </cfRule>
  </conditionalFormatting>
  <conditionalFormatting sqref="S58:S61 V58:X61 S63:S88 V63:X88">
    <cfRule type="notContainsBlanks" dxfId="489" priority="318">
      <formula>LEN(TRIM(S58))&gt;0</formula>
    </cfRule>
  </conditionalFormatting>
  <conditionalFormatting sqref="S62 V62:X62">
    <cfRule type="cellIs" dxfId="488" priority="307" operator="lessThan">
      <formula>1.33</formula>
    </cfRule>
    <cfRule type="notContainsBlanks" dxfId="487" priority="313">
      <formula>LEN(TRIM(S62))&gt;0</formula>
    </cfRule>
  </conditionalFormatting>
  <conditionalFormatting sqref="V11:X84 R62:S88 V62:Y88 V23:Y23">
    <cfRule type="expression" dxfId="486" priority="303">
      <formula>AND($AD11&lt;0.966,$AD11&lt;&gt;"")</formula>
    </cfRule>
  </conditionalFormatting>
  <conditionalFormatting sqref="V11:X84">
    <cfRule type="expression" dxfId="485" priority="319">
      <formula>$K11="Yes"</formula>
    </cfRule>
  </conditionalFormatting>
  <conditionalFormatting sqref="V58:X61 S63:S88 V63:X88 S58:S61">
    <cfRule type="cellIs" dxfId="484" priority="314" operator="lessThan">
      <formula>$E58</formula>
    </cfRule>
  </conditionalFormatting>
  <conditionalFormatting sqref="Y11:Y88">
    <cfRule type="containsBlanks" dxfId="483" priority="336">
      <formula>LEN(TRIM(Y11))=0</formula>
    </cfRule>
    <cfRule type="cellIs" dxfId="482" priority="337" operator="between">
      <formula>0.9</formula>
      <formula>0.998</formula>
    </cfRule>
    <cfRule type="cellIs" dxfId="481" priority="338" operator="greaterThanOrEqual">
      <formula>0.998</formula>
    </cfRule>
    <cfRule type="notContainsBlanks" dxfId="480" priority="340">
      <formula>LEN(TRIM(Y11))&gt;0</formula>
    </cfRule>
  </conditionalFormatting>
  <conditionalFormatting sqref="Y23 AB23:AC23">
    <cfRule type="containsBlanks" dxfId="479" priority="324">
      <formula>LEN(TRIM(Y23))=0</formula>
    </cfRule>
    <cfRule type="cellIs" dxfId="478" priority="325" operator="between">
      <formula>0.9</formula>
      <formula>0.998</formula>
    </cfRule>
    <cfRule type="cellIs" dxfId="477" priority="326" operator="greaterThanOrEqual">
      <formula>0.998</formula>
    </cfRule>
  </conditionalFormatting>
  <conditionalFormatting sqref="Y23">
    <cfRule type="notContainsBlanks" dxfId="476" priority="329">
      <formula>LEN(TRIM(Y23))&gt;0</formula>
    </cfRule>
  </conditionalFormatting>
  <conditionalFormatting sqref="Y56:Y88">
    <cfRule type="notContainsBlanks" dxfId="475" priority="309">
      <formula>LEN(TRIM(Y56))&gt;0</formula>
    </cfRule>
  </conditionalFormatting>
  <conditionalFormatting sqref="Y56:AC88">
    <cfRule type="containsBlanks" dxfId="474" priority="304">
      <formula>LEN(TRIM(Y56))=0</formula>
    </cfRule>
    <cfRule type="cellIs" dxfId="473" priority="305" operator="between">
      <formula>0.9</formula>
      <formula>0.998</formula>
    </cfRule>
    <cfRule type="cellIs" dxfId="472" priority="306" operator="greaterThanOrEqual">
      <formula>0.998</formula>
    </cfRule>
  </conditionalFormatting>
  <conditionalFormatting sqref="AD11:AE88">
    <cfRule type="expression" dxfId="471" priority="308">
      <formula>AND($AD11&lt;0.966,$AD11&lt;&gt;"")</formula>
    </cfRule>
  </conditionalFormatting>
  <conditionalFormatting sqref="AK11:BP84 O11:Q29">
    <cfRule type="expression" dxfId="470" priority="77">
      <formula>AND($M11&lt;&gt;"",$AK11&lt;&gt;"",O11&lt;$M11)</formula>
    </cfRule>
    <cfRule type="notContainsBlanks" dxfId="469" priority="230">
      <formula>LEN(TRIM(O11))&gt;0</formula>
    </cfRule>
  </conditionalFormatting>
  <conditionalFormatting sqref="AK19:BP19">
    <cfRule type="expression" dxfId="468" priority="134">
      <formula>AND($M19&lt;&gt;"",$AK19&lt;&gt;"",AK19&lt;$M19)</formula>
    </cfRule>
    <cfRule type="expression" dxfId="467" priority="135">
      <formula>AND($L19&lt;&gt;"",$AK19&lt;&gt;"",AK19&gt;$L19)</formula>
    </cfRule>
  </conditionalFormatting>
  <conditionalFormatting sqref="AK21:BP21">
    <cfRule type="expression" dxfId="466" priority="225">
      <formula>AND($M21&lt;&gt;"",AK21&lt;$M21)</formula>
    </cfRule>
    <cfRule type="expression" dxfId="465" priority="226">
      <formula>AND($L21&lt;&gt;"",AK21&gt;$L21)</formula>
    </cfRule>
  </conditionalFormatting>
  <conditionalFormatting sqref="AK22:BP24">
    <cfRule type="expression" dxfId="464" priority="132">
      <formula>AND($M22&lt;&gt;"",$AK22&lt;&gt;"",AK22&lt;$M22)</formula>
    </cfRule>
    <cfRule type="expression" dxfId="463" priority="133">
      <formula>AND($L22&lt;&gt;"",$AK22&lt;&gt;"",AK22&gt;$L22)</formula>
    </cfRule>
  </conditionalFormatting>
  <conditionalFormatting sqref="AK26:BP26">
    <cfRule type="expression" dxfId="462" priority="220">
      <formula>AND($M26&lt;&gt;"",AK26&lt;$M26)</formula>
    </cfRule>
    <cfRule type="expression" dxfId="461" priority="224">
      <formula>AND($L26&lt;&gt;"",AK26&gt;$L26)</formula>
    </cfRule>
  </conditionalFormatting>
  <conditionalFormatting sqref="AK27:BP29">
    <cfRule type="expression" dxfId="460" priority="130">
      <formula>AND($M27&lt;&gt;"",$AK27&lt;&gt;"",AK27&lt;$M27)</formula>
    </cfRule>
    <cfRule type="expression" dxfId="459" priority="131">
      <formula>AND($L27&lt;&gt;"",$AK27&lt;&gt;"",AK27&gt;$L27)</formula>
    </cfRule>
  </conditionalFormatting>
  <conditionalFormatting sqref="AK31:BP31">
    <cfRule type="expression" dxfId="458" priority="218">
      <formula>AND($M31&lt;&gt;"",AK31&lt;$M31)</formula>
    </cfRule>
    <cfRule type="expression" dxfId="457" priority="219">
      <formula>AND($L31&lt;&gt;"",AK31&gt;$L31)</formula>
    </cfRule>
  </conditionalFormatting>
  <conditionalFormatting sqref="AK32:BP34">
    <cfRule type="expression" dxfId="456" priority="128">
      <formula>AND($M32&lt;&gt;"",$AK32&lt;&gt;"",AK32&lt;$M32)</formula>
    </cfRule>
    <cfRule type="expression" dxfId="455" priority="129">
      <formula>AND($L32&lt;&gt;"",$AK32&lt;&gt;"",AK32&gt;$L32)</formula>
    </cfRule>
  </conditionalFormatting>
  <conditionalFormatting sqref="AK36:BP36">
    <cfRule type="expression" dxfId="454" priority="213">
      <formula>AND($M36&lt;&gt;"",AK36&lt;$M36)</formula>
    </cfRule>
    <cfRule type="expression" dxfId="453" priority="214">
      <formula>AND($L36&lt;&gt;"",AK36&gt;$L36)</formula>
    </cfRule>
  </conditionalFormatting>
  <conditionalFormatting sqref="AK37:BP39">
    <cfRule type="expression" dxfId="452" priority="126">
      <formula>AND($M37&lt;&gt;"",$AK37&lt;&gt;"",AK37&lt;$M37)</formula>
    </cfRule>
    <cfRule type="expression" dxfId="451" priority="127">
      <formula>AND($L37&lt;&gt;"",$AK37&lt;&gt;"",AK37&gt;$L37)</formula>
    </cfRule>
  </conditionalFormatting>
  <conditionalFormatting sqref="AK41:BP41">
    <cfRule type="expression" dxfId="450" priority="208">
      <formula>AND($M41&lt;&gt;"",AK41&lt;$M41)</formula>
    </cfRule>
    <cfRule type="expression" dxfId="449" priority="212">
      <formula>AND($L41&lt;&gt;"",AK41&gt;$L41)</formula>
    </cfRule>
  </conditionalFormatting>
  <conditionalFormatting sqref="AK42:BP44">
    <cfRule type="expression" dxfId="448" priority="124">
      <formula>AND($M42&lt;&gt;"",$AK42&lt;&gt;"",AK42&lt;$M42)</formula>
    </cfRule>
    <cfRule type="expression" dxfId="447" priority="125">
      <formula>AND($L42&lt;&gt;"",$AK42&lt;&gt;"",AK42&gt;$L42)</formula>
    </cfRule>
  </conditionalFormatting>
  <conditionalFormatting sqref="AK46:BP46">
    <cfRule type="expression" dxfId="446" priority="206">
      <formula>AND($M46&lt;&gt;"",AK46&lt;$M46)</formula>
    </cfRule>
    <cfRule type="expression" dxfId="445" priority="207">
      <formula>AND($L46&lt;&gt;"",AK46&gt;$L46)</formula>
    </cfRule>
  </conditionalFormatting>
  <conditionalFormatting sqref="AK47:BP49">
    <cfRule type="expression" dxfId="444" priority="122">
      <formula>AND($M47&lt;&gt;"",$AK47&lt;&gt;"",AK47&lt;$M47)</formula>
    </cfRule>
    <cfRule type="expression" dxfId="443" priority="123">
      <formula>AND($L47&lt;&gt;"",$AK47&lt;&gt;"",AK47&gt;$L47)</formula>
    </cfRule>
  </conditionalFormatting>
  <conditionalFormatting sqref="AK51:BP51">
    <cfRule type="expression" dxfId="442" priority="150">
      <formula>AND($M51&lt;&gt;"",AK51&lt;$M51)</formula>
    </cfRule>
    <cfRule type="expression" dxfId="441" priority="202">
      <formula>AND($L51&lt;&gt;"",AK51&gt;$L51)</formula>
    </cfRule>
  </conditionalFormatting>
  <conditionalFormatting sqref="AK52:BP54">
    <cfRule type="expression" dxfId="440" priority="120">
      <formula>AND($M52&lt;&gt;"",$AK52&lt;&gt;"",AK52&lt;$M52)</formula>
    </cfRule>
    <cfRule type="expression" dxfId="439" priority="121">
      <formula>AND($L52&lt;&gt;"",$AK52&lt;&gt;"",AK52&gt;$L52)</formula>
    </cfRule>
  </conditionalFormatting>
  <conditionalFormatting sqref="AK56:BP56">
    <cfRule type="expression" dxfId="438" priority="148">
      <formula>AND($M56&lt;&gt;"",AK56&lt;$M56)</formula>
    </cfRule>
    <cfRule type="expression" dxfId="437" priority="149">
      <formula>AND($L56&lt;&gt;"",AK56&gt;$L56)</formula>
    </cfRule>
  </conditionalFormatting>
  <conditionalFormatting sqref="AK57:BP59">
    <cfRule type="expression" dxfId="436" priority="118">
      <formula>AND($M57&lt;&gt;"",$AK57&lt;&gt;"",AK57&lt;$M57)</formula>
    </cfRule>
    <cfRule type="expression" dxfId="435" priority="119">
      <formula>AND($L57&lt;&gt;"",$AK57&lt;&gt;"",AK57&gt;$L57)</formula>
    </cfRule>
  </conditionalFormatting>
  <conditionalFormatting sqref="AK61:BP61">
    <cfRule type="expression" dxfId="434" priority="146">
      <formula>AND($M61&lt;&gt;"",AK61&lt;$M61)</formula>
    </cfRule>
    <cfRule type="expression" dxfId="433" priority="147">
      <formula>AND($L61&lt;&gt;"",AK61&gt;$L61)</formula>
    </cfRule>
  </conditionalFormatting>
  <conditionalFormatting sqref="AK62:BP64">
    <cfRule type="expression" dxfId="432" priority="116">
      <formula>AND($M62&lt;&gt;"",$AK62&lt;&gt;"",AK62&lt;$M62)</formula>
    </cfRule>
    <cfRule type="expression" dxfId="431" priority="117">
      <formula>AND($L62&lt;&gt;"",$AK62&lt;&gt;"",AK62&gt;$L62)</formula>
    </cfRule>
  </conditionalFormatting>
  <conditionalFormatting sqref="AK66:BP66">
    <cfRule type="expression" dxfId="430" priority="144">
      <formula>AND($M66&lt;&gt;"",AK66&lt;$M66)</formula>
    </cfRule>
    <cfRule type="expression" dxfId="429" priority="145">
      <formula>AND($L66&lt;&gt;"",AK66&gt;$L66)</formula>
    </cfRule>
  </conditionalFormatting>
  <conditionalFormatting sqref="AK67:BP69">
    <cfRule type="expression" dxfId="428" priority="114">
      <formula>AND($M67&lt;&gt;"",$AK67&lt;&gt;"",AK67&lt;$M67)</formula>
    </cfRule>
    <cfRule type="expression" dxfId="427" priority="115">
      <formula>AND($L67&lt;&gt;"",$AK67&lt;&gt;"",AK67&gt;$L67)</formula>
    </cfRule>
  </conditionalFormatting>
  <conditionalFormatting sqref="AK71:BP71">
    <cfRule type="expression" dxfId="426" priority="142">
      <formula>AND($M71&lt;&gt;"",AK71&lt;$M71)</formula>
    </cfRule>
    <cfRule type="expression" dxfId="425" priority="143">
      <formula>AND($L71&lt;&gt;"",AK71&gt;$L71)</formula>
    </cfRule>
  </conditionalFormatting>
  <conditionalFormatting sqref="AK72:BP74">
    <cfRule type="expression" dxfId="424" priority="112">
      <formula>AND($M72&lt;&gt;"",$AK72&lt;&gt;"",AK72&lt;$M72)</formula>
    </cfRule>
    <cfRule type="expression" dxfId="423" priority="113">
      <formula>AND($L72&lt;&gt;"",$AK72&lt;&gt;"",AK72&gt;$L72)</formula>
    </cfRule>
  </conditionalFormatting>
  <conditionalFormatting sqref="AK76:BP76">
    <cfRule type="expression" dxfId="422" priority="140">
      <formula>AND($M76&lt;&gt;"",AK76&lt;$M76)</formula>
    </cfRule>
    <cfRule type="expression" dxfId="421" priority="141">
      <formula>AND($L76&lt;&gt;"",AK76&gt;$L76)</formula>
    </cfRule>
  </conditionalFormatting>
  <conditionalFormatting sqref="AK77:BP79">
    <cfRule type="expression" dxfId="420" priority="110">
      <formula>AND($M77&lt;&gt;"",$AK77&lt;&gt;"",AK77&lt;$M77)</formula>
    </cfRule>
    <cfRule type="expression" dxfId="419" priority="111">
      <formula>AND($L77&lt;&gt;"",$AK77&lt;&gt;"",AK77&gt;$L77)</formula>
    </cfRule>
  </conditionalFormatting>
  <conditionalFormatting sqref="AK81:BP81">
    <cfRule type="expression" dxfId="418" priority="138">
      <formula>AND($M81&lt;&gt;"",AK81&lt;$M81)</formula>
    </cfRule>
    <cfRule type="expression" dxfId="417" priority="139">
      <formula>AND($L81&lt;&gt;"",AK81&gt;$L81)</formula>
    </cfRule>
  </conditionalFormatting>
  <conditionalFormatting sqref="AK82:BP84">
    <cfRule type="expression" dxfId="416" priority="108">
      <formula>AND($M82&lt;&gt;"",$AK82&lt;&gt;"",AK82&lt;$M82)</formula>
    </cfRule>
    <cfRule type="expression" dxfId="415" priority="109">
      <formula>AND($L82&lt;&gt;"",$AK82&lt;&gt;"",AK82&gt;$L82)</formula>
    </cfRule>
  </conditionalFormatting>
  <conditionalFormatting sqref="AK85:BP85">
    <cfRule type="expression" dxfId="414" priority="136">
      <formula>AND($M85&lt;&gt;"",AK85&lt;$M85)</formula>
    </cfRule>
    <cfRule type="expression" dxfId="413" priority="137">
      <formula>AND($L85&lt;&gt;"",AK85&gt;$L85)</formula>
    </cfRule>
  </conditionalFormatting>
  <conditionalFormatting sqref="AK85:BP88">
    <cfRule type="notContainsBlanks" dxfId="412" priority="201">
      <formula>LEN(TRIM(AK85))&gt;0</formula>
    </cfRule>
  </conditionalFormatting>
  <conditionalFormatting sqref="AK86:BP88">
    <cfRule type="expression" dxfId="411" priority="106">
      <formula>AND($M86&lt;&gt;"",$AK86&lt;&gt;"",AK86&lt;$M86)</formula>
    </cfRule>
    <cfRule type="expression" dxfId="410" priority="107">
      <formula>AND($L86&lt;&gt;"",$AK86&lt;&gt;"",AK86&gt;$L86)</formula>
    </cfRule>
  </conditionalFormatting>
  <conditionalFormatting sqref="AL5">
    <cfRule type="expression" dxfId="409" priority="17">
      <formula>BY11="TRUE"</formula>
    </cfRule>
  </conditionalFormatting>
  <conditionalFormatting sqref="AM5">
    <cfRule type="expression" dxfId="408" priority="16">
      <formula>BY12="TRUE"</formula>
    </cfRule>
  </conditionalFormatting>
  <conditionalFormatting sqref="AN5">
    <cfRule type="expression" dxfId="407" priority="15">
      <formula>BY13="TRUE"</formula>
    </cfRule>
  </conditionalFormatting>
  <conditionalFormatting sqref="AO5">
    <cfRule type="expression" dxfId="406" priority="14">
      <formula>BY14="TRUE"</formula>
    </cfRule>
  </conditionalFormatting>
  <conditionalFormatting sqref="AP5">
    <cfRule type="expression" dxfId="405" priority="13">
      <formula>BY15="TRUE"</formula>
    </cfRule>
  </conditionalFormatting>
  <conditionalFormatting sqref="AQ5">
    <cfRule type="expression" dxfId="404" priority="12">
      <formula>BY16="TRUE"</formula>
    </cfRule>
  </conditionalFormatting>
  <conditionalFormatting sqref="AR5">
    <cfRule type="expression" dxfId="403" priority="11">
      <formula>BY17="TRUE"</formula>
    </cfRule>
  </conditionalFormatting>
  <conditionalFormatting sqref="AS5">
    <cfRule type="expression" dxfId="402" priority="10">
      <formula>BY18="TRUE"</formula>
    </cfRule>
  </conditionalFormatting>
  <conditionalFormatting sqref="AT5">
    <cfRule type="expression" dxfId="401" priority="9">
      <formula>BY19="TRUE"</formula>
    </cfRule>
  </conditionalFormatting>
  <conditionalFormatting sqref="AU5">
    <cfRule type="expression" dxfId="400" priority="8">
      <formula>BY20="TRUE"</formula>
    </cfRule>
  </conditionalFormatting>
  <conditionalFormatting sqref="AV5">
    <cfRule type="expression" dxfId="399" priority="7">
      <formula>BY21="TRUE"</formula>
    </cfRule>
  </conditionalFormatting>
  <conditionalFormatting sqref="AW5">
    <cfRule type="expression" dxfId="398" priority="6">
      <formula>BY22="TRUE"</formula>
    </cfRule>
  </conditionalFormatting>
  <conditionalFormatting sqref="AX5">
    <cfRule type="expression" dxfId="397" priority="5">
      <formula>BY23="TRUE"</formula>
    </cfRule>
  </conditionalFormatting>
  <conditionalFormatting sqref="AY5">
    <cfRule type="expression" dxfId="396" priority="4">
      <formula>BY24="TRUE"</formula>
    </cfRule>
  </conditionalFormatting>
  <conditionalFormatting sqref="AZ5">
    <cfRule type="expression" dxfId="395" priority="3">
      <formula>BY25="TRUE"</formula>
    </cfRule>
  </conditionalFormatting>
  <conditionalFormatting sqref="BA5">
    <cfRule type="expression" dxfId="394" priority="2">
      <formula>BY26="TRUE"</formula>
    </cfRule>
  </conditionalFormatting>
  <conditionalFormatting sqref="AK5">
    <cfRule type="expression" dxfId="393" priority="1">
      <formula>BY10="TRUE"</formula>
    </cfRule>
  </conditionalFormatting>
  <dataValidations disablePrompts="1" count="3">
    <dataValidation type="list" allowBlank="1" showInputMessage="1" showErrorMessage="1" sqref="K11:K88" xr:uid="{71433A01-136C-4A15-BA11-1A04BB300D3D}">
      <formula1>gauging</formula1>
    </dataValidation>
    <dataValidation type="list" allowBlank="1" showInputMessage="1" showErrorMessage="1" sqref="F11:F88" xr:uid="{A87302F0-A4CF-4A8E-AAB1-4505A3D7C6B0}">
      <formula1>dim_type</formula1>
    </dataValidation>
    <dataValidation type="list" allowBlank="1" showInputMessage="1" showErrorMessage="1" sqref="J11:J88" xr:uid="{E17FD6D9-B85F-40DA-B12B-E415C6C60D11}">
      <formula1>insp_meth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EAW103"/>
  <sheetViews>
    <sheetView showGridLines="0" zoomScale="40" zoomScaleNormal="40" zoomScalePageLayoutView="125" workbookViewId="0">
      <pane xSplit="14" ySplit="10" topLeftCell="R75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70" max="70" width="11" bestFit="1" customWidth="1"/>
  </cols>
  <sheetData>
    <row r="1" spans="1:918 1243:1417 2251:3060 3390:3420" s="1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36"/>
      <c r="AG1" s="36"/>
      <c r="AH1" s="36"/>
      <c r="AI1" s="36"/>
      <c r="AJ1" s="11"/>
    </row>
    <row r="2" spans="1:918 1243:1417 2251:3060 3390:3420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87" t="s">
        <v>13</v>
      </c>
      <c r="W2" s="187"/>
      <c r="X2" s="7"/>
      <c r="AB2" s="8"/>
      <c r="AE2" s="8"/>
      <c r="AF2" s="8"/>
      <c r="AG2" s="8"/>
      <c r="AH2" s="8"/>
      <c r="AI2" s="8"/>
      <c r="AJ2" s="8"/>
    </row>
    <row r="3" spans="1:918 1243:1417 2251:3060 3390:3420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18 1243:1417 2251:3060 3390:3420" s="1" customFormat="1" ht="18.75" customHeight="1">
      <c r="B4" s="174" t="s">
        <v>14</v>
      </c>
      <c r="C4" s="176"/>
      <c r="D4" s="12" t="s">
        <v>227</v>
      </c>
      <c r="E4" s="34"/>
      <c r="F4" s="182" t="s">
        <v>15</v>
      </c>
      <c r="G4" s="183"/>
      <c r="H4" s="194" t="s">
        <v>139</v>
      </c>
      <c r="I4" s="195"/>
      <c r="J4" s="195"/>
      <c r="K4" s="195"/>
      <c r="L4" s="195"/>
      <c r="M4" s="196"/>
      <c r="N4" s="35"/>
      <c r="O4" s="174" t="s">
        <v>82</v>
      </c>
      <c r="P4" s="175"/>
      <c r="Q4" s="176"/>
      <c r="R4" s="189" t="s">
        <v>284</v>
      </c>
      <c r="S4" s="178"/>
      <c r="T4" s="178"/>
      <c r="U4" s="178"/>
      <c r="V4" s="178"/>
      <c r="W4" s="1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18 1243:1417 2251:3060 3390:3420" s="1" customFormat="1" ht="18.75" customHeight="1">
      <c r="B5" s="174" t="s">
        <v>16</v>
      </c>
      <c r="C5" s="176"/>
      <c r="D5" s="12" t="s">
        <v>136</v>
      </c>
      <c r="E5" s="34"/>
      <c r="F5" s="182" t="s">
        <v>17</v>
      </c>
      <c r="G5" s="183"/>
      <c r="H5" s="194"/>
      <c r="I5" s="195"/>
      <c r="J5" s="195"/>
      <c r="K5" s="195"/>
      <c r="L5" s="195"/>
      <c r="M5" s="196"/>
      <c r="N5" s="35"/>
      <c r="O5" s="174" t="s">
        <v>58</v>
      </c>
      <c r="P5" s="175"/>
      <c r="Q5" s="176"/>
      <c r="R5" s="177" t="s">
        <v>282</v>
      </c>
      <c r="S5" s="178"/>
      <c r="T5" s="178"/>
      <c r="U5" s="178"/>
      <c r="V5" s="178"/>
      <c r="W5" s="1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18 1243:1417 2251:3060 3390:3420" s="1" customFormat="1" ht="18.75" customHeight="1">
      <c r="B6" s="174" t="s">
        <v>18</v>
      </c>
      <c r="C6" s="176"/>
      <c r="D6" s="78" t="s">
        <v>228</v>
      </c>
      <c r="E6" s="34"/>
      <c r="F6" s="182" t="s">
        <v>46</v>
      </c>
      <c r="G6" s="183"/>
      <c r="H6" s="197" t="s">
        <v>285</v>
      </c>
      <c r="I6" s="198"/>
      <c r="J6" s="198"/>
      <c r="K6" s="198"/>
      <c r="L6" s="198"/>
      <c r="M6" s="199"/>
      <c r="N6" s="35"/>
      <c r="O6" s="174" t="s">
        <v>57</v>
      </c>
      <c r="P6" s="175"/>
      <c r="Q6" s="176"/>
      <c r="R6" s="177" t="s">
        <v>229</v>
      </c>
      <c r="S6" s="178"/>
      <c r="T6" s="178"/>
      <c r="U6" s="178"/>
      <c r="V6" s="178"/>
      <c r="W6" s="1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18 1243:1417 2251:3060 3390:3420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18 1243:1417 2251:3060 3390:3420" s="16" customFormat="1" ht="15" customHeight="1">
      <c r="A8" s="24"/>
      <c r="B8" s="179" t="s">
        <v>19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  <c r="N8" s="24"/>
      <c r="O8" s="179" t="s">
        <v>25</v>
      </c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  <c r="AG8" s="164" t="s">
        <v>69</v>
      </c>
      <c r="AH8" s="164"/>
      <c r="AI8" s="164"/>
      <c r="AJ8" s="24"/>
      <c r="AK8" s="190" t="s">
        <v>26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200"/>
      <c r="BS8" s="200"/>
      <c r="BT8" s="200"/>
      <c r="BU8" s="200"/>
      <c r="BV8" s="200"/>
      <c r="BW8" s="200"/>
      <c r="BX8" s="202" t="s">
        <v>278</v>
      </c>
    </row>
    <row r="9" spans="1:918 1243:1417 2251:3060 3390:3420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69" t="s">
        <v>77</v>
      </c>
      <c r="AA9" s="170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201"/>
      <c r="BS9" s="201"/>
      <c r="BT9" s="201"/>
      <c r="BU9" s="201"/>
      <c r="BV9" s="201"/>
      <c r="BW9" s="201"/>
      <c r="BX9" s="203"/>
    </row>
    <row r="10" spans="1:918 1243:1417 2251:3060 3390:3420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4"/>
    </row>
    <row r="11" spans="1:918 1243:1417 2251:3060 3390:3420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O11" s="77"/>
      <c r="QH11" s="77"/>
      <c r="RD11" s="77"/>
      <c r="AHB11" s="77"/>
      <c r="AIH11" s="77"/>
      <c r="AUU11" s="77"/>
      <c r="AVM11" s="77"/>
      <c r="AZQ11" s="77"/>
      <c r="BBM11" s="77"/>
      <c r="CHO11" s="77"/>
      <c r="CNP11" s="77"/>
      <c r="DHH11" s="77"/>
      <c r="DMR11" s="77"/>
      <c r="DZJ11" s="77"/>
      <c r="EAN11" s="77"/>
    </row>
    <row r="12" spans="1:918 1243:1417 2251:3060 3390:3420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O12" s="77"/>
      <c r="QH12" s="77"/>
      <c r="RD12" s="77"/>
      <c r="AHB12" s="77"/>
      <c r="AIH12" s="77"/>
      <c r="AUU12" s="77"/>
      <c r="AVM12" s="77"/>
      <c r="AZQ12" s="77"/>
      <c r="BBM12" s="77"/>
      <c r="CHO12" s="77"/>
      <c r="CNP12" s="77"/>
      <c r="DHH12" s="77"/>
      <c r="DMR12" s="77"/>
      <c r="DZJ12" s="77"/>
      <c r="EAN12" s="77"/>
    </row>
    <row r="13" spans="1:918 1243:1417 2251:3060 3390:3420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O13" s="77"/>
      <c r="QH13" s="77"/>
      <c r="RD13" s="77"/>
      <c r="AHB13" s="77"/>
      <c r="AIH13" s="77"/>
      <c r="AUU13" s="77"/>
      <c r="AVM13" s="77"/>
      <c r="AZQ13" s="77"/>
      <c r="BBM13" s="77"/>
      <c r="CHO13" s="77"/>
      <c r="CNP13" s="77"/>
      <c r="DHH13" s="77"/>
      <c r="DMR13" s="77"/>
      <c r="DZJ13" s="77"/>
      <c r="EAN13" s="77"/>
    </row>
    <row r="14" spans="1:918 1243:1417 2251:3060 3390:3420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O14" s="77"/>
      <c r="QH14" s="77"/>
      <c r="RD14" s="77"/>
      <c r="AHB14" s="77"/>
      <c r="AIH14" s="77"/>
      <c r="AUU14" s="77"/>
      <c r="AVM14" s="77"/>
      <c r="AZQ14" s="77"/>
      <c r="BBM14" s="77"/>
      <c r="CHO14" s="77"/>
      <c r="CNP14" s="77"/>
      <c r="DHH14" s="77"/>
      <c r="DMR14" s="77"/>
      <c r="DZJ14" s="77"/>
      <c r="EAN14" s="77"/>
    </row>
    <row r="15" spans="1:918 1243:1417 2251:3060 3390:3420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O15" s="77"/>
      <c r="QH15" s="77"/>
      <c r="RD15" s="77"/>
      <c r="AHB15" s="77"/>
      <c r="AIH15" s="77"/>
      <c r="AUU15" s="77"/>
      <c r="AVM15" s="77"/>
      <c r="AZQ15" s="77"/>
      <c r="BBM15" s="77"/>
      <c r="CHO15" s="77"/>
      <c r="CNP15" s="77"/>
      <c r="DHH15" s="77"/>
      <c r="DMR15" s="77"/>
      <c r="DZJ15" s="77"/>
      <c r="EAN15" s="77"/>
    </row>
    <row r="16" spans="1:918 1243:1417 2251:3060 3390:3420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O16" s="77"/>
      <c r="QH16" s="77"/>
      <c r="RD16" s="77"/>
      <c r="AHB16" s="77"/>
      <c r="AIH16" s="77"/>
      <c r="AUU16" s="77"/>
      <c r="AVM16" s="77"/>
      <c r="AZQ16" s="77"/>
      <c r="BBM16" s="77"/>
      <c r="CHO16" s="77"/>
      <c r="CNP16" s="77"/>
      <c r="DHH16" s="77"/>
      <c r="DMR16" s="77"/>
      <c r="DZJ16" s="77"/>
      <c r="EAN16" s="77"/>
    </row>
    <row r="17" spans="1:1019 1028:2046 2051:3071 3075:3428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O17" s="77"/>
      <c r="QH17" s="77"/>
      <c r="RD17" s="77"/>
      <c r="AHB17" s="77"/>
      <c r="AIH17" s="77"/>
      <c r="AUU17" s="77"/>
      <c r="AVM17" s="77"/>
      <c r="AZQ17" s="77"/>
      <c r="BBM17" s="77"/>
      <c r="CHO17" s="77"/>
      <c r="CNP17" s="77"/>
      <c r="DHH17" s="77"/>
      <c r="DMR17" s="77"/>
      <c r="DZJ17" s="77"/>
      <c r="EAN17" s="77"/>
    </row>
    <row r="18" spans="1:1019 1028:2046 2051:3071 3075:3428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O18" s="77"/>
      <c r="QH18" s="77"/>
      <c r="RD18" s="77"/>
      <c r="AHB18" s="77"/>
      <c r="AIH18" s="77"/>
      <c r="AUU18" s="77"/>
      <c r="AVM18" s="77"/>
      <c r="AZQ18" s="77"/>
      <c r="BBM18" s="77"/>
      <c r="CHO18" s="77"/>
      <c r="CNP18" s="77"/>
      <c r="DHH18" s="77"/>
      <c r="DMR18" s="77"/>
      <c r="DZJ18" s="77"/>
      <c r="EAN18" s="77"/>
    </row>
    <row r="19" spans="1:1019 1028:2046 2051:3071 3075:3428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O19" s="77"/>
      <c r="QH19" s="77"/>
      <c r="RD19" s="77"/>
      <c r="AHB19" s="77"/>
      <c r="AIH19" s="77"/>
      <c r="AUU19" s="77"/>
      <c r="AVM19" s="77"/>
      <c r="AZQ19" s="77"/>
      <c r="BBM19" s="77"/>
      <c r="CHO19" s="77"/>
      <c r="CNP19" s="77"/>
      <c r="DHH19" s="77"/>
      <c r="DMR19" s="77"/>
      <c r="DZJ19" s="77"/>
      <c r="EAN19" s="77"/>
    </row>
    <row r="20" spans="1:1019 1028:2046 2051:3071 3075:3428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O20" s="77"/>
      <c r="QH20" s="77"/>
      <c r="RD20" s="77"/>
      <c r="AHB20" s="77"/>
      <c r="AIH20" s="77"/>
      <c r="AUU20" s="77"/>
      <c r="AVM20" s="77"/>
      <c r="AZQ20" s="77"/>
      <c r="BBM20" s="77"/>
      <c r="CHO20" s="77"/>
      <c r="CNP20" s="77"/>
      <c r="DHH20" s="77"/>
      <c r="DMR20" s="77"/>
      <c r="DZJ20" s="77"/>
      <c r="EAN20" s="77"/>
    </row>
    <row r="21" spans="1:1019 1028:2046 2051:3071 3075:3428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G21" s="77"/>
      <c r="EO21" s="77"/>
      <c r="HI21" s="77"/>
      <c r="LC21" s="77"/>
      <c r="QH21" s="77"/>
      <c r="AIH21" s="77"/>
      <c r="AME21" s="77"/>
      <c r="AQF21" s="77"/>
      <c r="AVC21" s="77"/>
      <c r="BGR21" s="77"/>
      <c r="BJQ21" s="77"/>
      <c r="BMI21" s="77"/>
      <c r="BNQ21" s="77"/>
      <c r="BNS21" s="77"/>
      <c r="BRG21" s="77"/>
      <c r="BRN21" s="77"/>
      <c r="BSH21" s="77"/>
      <c r="BXS21" s="77"/>
      <c r="CLZ21" s="77"/>
      <c r="CMC21" s="77"/>
      <c r="CMF21" s="77"/>
      <c r="CSY21" s="77"/>
      <c r="CXA21" s="77"/>
      <c r="CXI21" s="77"/>
      <c r="DFJ21" s="77"/>
      <c r="DGQ21" s="77"/>
      <c r="DJR21" s="77"/>
      <c r="DQN21" s="77"/>
      <c r="DQR21" s="77"/>
      <c r="DRT21" s="77"/>
      <c r="DWD21" s="77"/>
      <c r="DYR21" s="77"/>
    </row>
    <row r="22" spans="1:1019 1028:2046 2051:3071 3075:3428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H22" s="77"/>
      <c r="HI22" s="77"/>
      <c r="ADS22" s="77"/>
      <c r="BDC22" s="77"/>
      <c r="BHS22" s="77"/>
      <c r="BMV22" s="77"/>
      <c r="BNQ22" s="77"/>
      <c r="BPQ22" s="77"/>
      <c r="BPW22" s="77"/>
      <c r="BSH22" s="77"/>
      <c r="BTV22" s="77"/>
      <c r="BUD22" s="77"/>
      <c r="BWX22" s="77"/>
      <c r="BXS22" s="77"/>
      <c r="DFM22" s="77"/>
      <c r="DGQ22" s="77"/>
      <c r="DMS22" s="77"/>
      <c r="DZQ22" s="77"/>
    </row>
    <row r="23" spans="1:1019 1028:2046 2051:3071 3075:3428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M23" s="77"/>
      <c r="IQ23" s="77"/>
      <c r="OF23" s="77"/>
      <c r="RE23" s="77"/>
      <c r="YX23" s="77"/>
      <c r="ZL23" s="77"/>
      <c r="AJU23" s="77"/>
      <c r="AKU23" s="77"/>
      <c r="AOD23" s="77"/>
      <c r="API23" s="77"/>
      <c r="ASX23" s="77"/>
      <c r="AYD23" s="77"/>
      <c r="AYN23" s="77"/>
      <c r="BEP23" s="77"/>
      <c r="BHD23" s="77"/>
      <c r="BMO23" s="77"/>
      <c r="BQH23" s="77"/>
      <c r="BQW23" s="77"/>
      <c r="BTL23" s="77"/>
      <c r="BTQ23" s="77"/>
      <c r="BUA23" s="77"/>
      <c r="BVQ23" s="77"/>
      <c r="CAQ23" s="77"/>
      <c r="CCN23" s="77"/>
      <c r="CDF23" s="77"/>
      <c r="CDG23" s="77"/>
      <c r="CIC23" s="77"/>
      <c r="CKD23" s="77"/>
      <c r="CMA23" s="77"/>
      <c r="CNQ23" s="77"/>
      <c r="COT23" s="77"/>
      <c r="CPO23" s="77"/>
      <c r="CRH23" s="77"/>
      <c r="CXE23" s="77"/>
      <c r="DAX23" s="77"/>
      <c r="DCI23" s="77"/>
      <c r="DFS23" s="77"/>
      <c r="DGB23" s="77"/>
      <c r="DKJ23" s="77"/>
      <c r="DQJ23" s="77"/>
      <c r="DQK23" s="77"/>
      <c r="DTA23" s="77"/>
      <c r="DZK23" s="77"/>
    </row>
    <row r="24" spans="1:1019 1028:2046 2051:3071 3075:3428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M24" s="77"/>
      <c r="CT24" s="77"/>
      <c r="DE24" s="77"/>
      <c r="DQ24" s="77"/>
      <c r="SB24" s="77"/>
      <c r="VG24" s="77"/>
      <c r="WH24" s="77"/>
      <c r="YX24" s="77"/>
      <c r="AIP24" s="77"/>
      <c r="BHD24" s="77"/>
      <c r="BID24" s="77"/>
      <c r="BKR24" s="77"/>
      <c r="BMQ24" s="77"/>
      <c r="BMT24" s="77"/>
      <c r="BNA24" s="77"/>
      <c r="BQW24" s="77"/>
      <c r="BTQ24" s="77"/>
      <c r="BVX24" s="77"/>
      <c r="CDG24" s="77"/>
      <c r="CIG24" s="77"/>
      <c r="CLW24" s="77"/>
      <c r="CMA24" s="77"/>
      <c r="CNN24" s="77"/>
      <c r="CNX24" s="77"/>
      <c r="COI24" s="77"/>
      <c r="CVK24" s="77"/>
      <c r="CXE24" s="77"/>
      <c r="DAX24" s="77"/>
      <c r="DEB24" s="77"/>
      <c r="DEO24" s="77"/>
      <c r="DEP24" s="77"/>
      <c r="DFM24" s="77"/>
      <c r="DGD24" s="77"/>
      <c r="DQK24" s="77"/>
      <c r="DRU24" s="77"/>
    </row>
    <row r="25" spans="1:1019 1028:2046 2051:3071 3075:3428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M25" s="77"/>
      <c r="HE25" s="77"/>
      <c r="AFK25" s="77"/>
      <c r="AMN25" s="77"/>
      <c r="ANC25" s="77"/>
      <c r="ANJ25" s="77"/>
      <c r="AOX25" s="77"/>
      <c r="AQL25" s="77"/>
      <c r="ARS25" s="77"/>
      <c r="AUG25" s="77"/>
      <c r="AVX25" s="77"/>
      <c r="BAI25" s="77"/>
      <c r="BZR25" s="77"/>
      <c r="BZW25" s="77"/>
      <c r="CEY25" s="77"/>
      <c r="CHS25" s="77"/>
      <c r="CIW25" s="77"/>
      <c r="CYP25" s="77"/>
      <c r="CZP25" s="77"/>
      <c r="DCY25" s="77"/>
      <c r="DNY25" s="77"/>
      <c r="DON25" s="77"/>
      <c r="DTO25" s="77"/>
      <c r="EAV25" s="77"/>
    </row>
    <row r="26" spans="1:1019 1028:2046 2051:3071 3075:3428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BZ26" s="77"/>
      <c r="EO26" s="77"/>
      <c r="HR26" s="77"/>
      <c r="IQ26" s="77"/>
      <c r="NE26" s="77"/>
      <c r="TO26" s="77"/>
      <c r="VC26" s="77"/>
      <c r="WH26" s="77"/>
      <c r="AGL26" s="77"/>
      <c r="AIH26" s="77"/>
      <c r="AIS26" s="77"/>
      <c r="AJY26" s="77"/>
      <c r="AKQ26" s="77"/>
      <c r="AOD26" s="77"/>
      <c r="APO26" s="77"/>
      <c r="ATT26" s="77"/>
      <c r="AWK26" s="77"/>
      <c r="AZV26" s="77"/>
      <c r="BBM26" s="77"/>
      <c r="BDB26" s="77"/>
      <c r="BMC26" s="77"/>
      <c r="BPG26" s="77"/>
      <c r="BQB26" s="77"/>
      <c r="BQQ26" s="77"/>
      <c r="BVK26" s="77"/>
      <c r="BVX26" s="77"/>
      <c r="CED26" s="77"/>
      <c r="CEG26" s="77"/>
      <c r="CJJ26" s="77"/>
      <c r="CKU26" s="77"/>
      <c r="CVX26" s="77"/>
      <c r="CWF26" s="77"/>
      <c r="DBW26" s="77"/>
      <c r="DFL26" s="77"/>
      <c r="DFO26" s="77"/>
      <c r="DGE26" s="77"/>
      <c r="DHE26" s="77"/>
      <c r="DLO26" s="77"/>
      <c r="DNC26" s="77"/>
      <c r="DNG26" s="77"/>
      <c r="DOJ26" s="77"/>
      <c r="DXR26" s="77"/>
      <c r="EAF26" s="77"/>
    </row>
    <row r="27" spans="1:1019 1028:2046 2051:3071 3075:3428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BZ27" s="77"/>
      <c r="EO27" s="77"/>
      <c r="HR27" s="77"/>
      <c r="IQ27" s="77"/>
      <c r="NE27" s="77"/>
      <c r="TO27" s="77"/>
      <c r="VC27" s="77"/>
      <c r="WH27" s="77"/>
      <c r="AGL27" s="77"/>
      <c r="AIS27" s="77"/>
      <c r="AJY27" s="77"/>
      <c r="AKQ27" s="77"/>
      <c r="ANQ27" s="77"/>
      <c r="AOD27" s="77"/>
      <c r="AOS27" s="77"/>
      <c r="APO27" s="77"/>
      <c r="ATT27" s="77"/>
      <c r="AZV27" s="77"/>
      <c r="BBM27" s="77"/>
      <c r="BDB27" s="77"/>
      <c r="BHI27" s="77"/>
      <c r="BMC27" s="77"/>
      <c r="BPG27" s="77"/>
      <c r="BQB27" s="77"/>
      <c r="BQQ27" s="77"/>
      <c r="BVK27" s="77"/>
      <c r="BVX27" s="77"/>
      <c r="CED27" s="77"/>
      <c r="CEG27" s="77"/>
      <c r="CJJ27" s="77"/>
      <c r="CKU27" s="77"/>
      <c r="CTP27" s="77"/>
      <c r="CWF27" s="77"/>
      <c r="DFL27" s="77"/>
      <c r="DFO27" s="77"/>
      <c r="DGE27" s="77"/>
      <c r="DHE27" s="77"/>
      <c r="DMC27" s="77"/>
      <c r="DNC27" s="77"/>
      <c r="DNG27" s="77"/>
      <c r="DOJ27" s="77"/>
      <c r="DWX27" s="77"/>
      <c r="DXR27" s="77"/>
      <c r="DZJ27" s="77"/>
      <c r="EAF27" s="77"/>
    </row>
    <row r="28" spans="1:1019 1028:2046 2051:3071 3075:3428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BZ28" s="77"/>
      <c r="EO28" s="77"/>
      <c r="IQ28" s="77"/>
      <c r="NE28" s="77"/>
      <c r="TO28" s="77"/>
      <c r="VC28" s="77"/>
      <c r="WH28" s="77"/>
      <c r="AGL28" s="77"/>
      <c r="AIS28" s="77"/>
      <c r="AJY28" s="77"/>
      <c r="AKQ28" s="77"/>
      <c r="ANQ28" s="77"/>
      <c r="APO28" s="77"/>
      <c r="ATT28" s="77"/>
      <c r="AZV28" s="77"/>
      <c r="BBM28" s="77"/>
      <c r="BDB28" s="77"/>
      <c r="BIF28" s="77"/>
      <c r="BMC28" s="77"/>
      <c r="BPG28" s="77"/>
      <c r="BQB28" s="77"/>
      <c r="BQQ28" s="77"/>
      <c r="BVK28" s="77"/>
      <c r="BVX28" s="77"/>
      <c r="CED28" s="77"/>
      <c r="CEG28" s="77"/>
      <c r="CRH28" s="77"/>
      <c r="DFL28" s="77"/>
      <c r="DFO28" s="77"/>
      <c r="DGE28" s="77"/>
      <c r="DHE28" s="77"/>
      <c r="DNC28" s="77"/>
      <c r="DNG28" s="77"/>
      <c r="DOJ28" s="77"/>
      <c r="DWX28" s="77"/>
      <c r="DXR28" s="77"/>
      <c r="EAF28" s="77"/>
    </row>
    <row r="29" spans="1:1019 1028:2046 2051:3071 3075:3428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O29" s="77"/>
      <c r="IQ29" s="77"/>
      <c r="VC29" s="77"/>
      <c r="WH29" s="77"/>
      <c r="AGL29" s="77"/>
      <c r="AIH29" s="77"/>
      <c r="AIS29" s="77"/>
      <c r="AJY29" s="77"/>
      <c r="AKQ29" s="77"/>
      <c r="ANQ29" s="77"/>
      <c r="AOD29" s="77"/>
      <c r="APO29" s="77"/>
      <c r="ATT29" s="77"/>
      <c r="AWK29" s="77"/>
      <c r="AZV29" s="77"/>
      <c r="BBM29" s="77"/>
      <c r="BDB29" s="77"/>
      <c r="BHI29" s="77"/>
      <c r="BMC29" s="77"/>
      <c r="BPG29" s="77"/>
      <c r="BQB29" s="77"/>
      <c r="BVK29" s="77"/>
      <c r="BVX29" s="77"/>
      <c r="CED29" s="77"/>
      <c r="DFL29" s="77"/>
      <c r="DFO29" s="77"/>
      <c r="DGE29" s="77"/>
      <c r="DHE29" s="77"/>
      <c r="DNC29" s="77"/>
      <c r="DNG29" s="77"/>
      <c r="DOJ29" s="77"/>
      <c r="DPZ29" s="77"/>
      <c r="DWX29" s="77"/>
      <c r="DXR29" s="77"/>
    </row>
    <row r="30" spans="1:1019 1028:2046 2051:3071 3075:3428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O30" s="77"/>
      <c r="IQ30" s="77"/>
      <c r="NE30" s="77"/>
      <c r="NO30" s="77"/>
      <c r="VC30" s="77"/>
      <c r="WH30" s="77"/>
      <c r="AGL30" s="77"/>
      <c r="AIS30" s="77"/>
      <c r="AJY30" s="77"/>
      <c r="AKQ30" s="77"/>
      <c r="ANQ30" s="77"/>
      <c r="AOD30" s="77"/>
      <c r="APO30" s="77"/>
      <c r="ATT30" s="77"/>
      <c r="AWK30" s="77"/>
      <c r="AZV30" s="77"/>
      <c r="BBM30" s="77"/>
      <c r="BDB30" s="77"/>
      <c r="BMC30" s="77"/>
      <c r="BPG30" s="77"/>
      <c r="BQB30" s="77"/>
      <c r="BQQ30" s="77"/>
      <c r="BVK30" s="77"/>
      <c r="BVX30" s="77"/>
      <c r="CED30" s="77"/>
      <c r="DFL30" s="77"/>
      <c r="DFO30" s="77"/>
      <c r="DGE30" s="77"/>
      <c r="DHE30" s="77"/>
      <c r="DNC30" s="77"/>
      <c r="DNG30" s="77"/>
      <c r="DWX30" s="77"/>
      <c r="DXR30" s="77"/>
    </row>
    <row r="31" spans="1:1019 1028:2046 2051:3071 3075:3428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O31" s="77"/>
      <c r="GA31" s="77"/>
      <c r="HR31" s="77"/>
      <c r="NW31" s="77"/>
      <c r="TO31" s="77"/>
      <c r="US31" s="77"/>
      <c r="UV31" s="77"/>
      <c r="XO31" s="77"/>
      <c r="AGL31" s="77"/>
      <c r="AIH31" s="77"/>
      <c r="ARQ31" s="77"/>
      <c r="AZV31" s="77"/>
      <c r="BDB31" s="77"/>
      <c r="BSG31" s="77"/>
      <c r="BVJ31" s="77"/>
      <c r="BXP31" s="77"/>
      <c r="CEG31" s="77"/>
      <c r="CET31" s="77"/>
      <c r="CFM31" s="77"/>
      <c r="CII31" s="77"/>
      <c r="CJJ31" s="77"/>
      <c r="CJT31" s="77"/>
      <c r="CLD31" s="77"/>
      <c r="COU31" s="77"/>
      <c r="DBW31" s="77"/>
      <c r="DFL31" s="77"/>
      <c r="DFO31" s="77"/>
      <c r="DGE31" s="77"/>
      <c r="DMV31" s="77"/>
      <c r="DXR31" s="77"/>
    </row>
    <row r="32" spans="1:1019 1028:2046 2051:3071 3075:3428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DX32" s="77"/>
      <c r="EO32" s="77"/>
      <c r="GA32" s="77"/>
      <c r="HR32" s="77"/>
      <c r="NW32" s="77"/>
      <c r="TH32" s="77"/>
      <c r="TO32" s="77"/>
      <c r="US32" s="77"/>
      <c r="UV32" s="77"/>
      <c r="XO32" s="77"/>
      <c r="AGL32" s="77"/>
      <c r="AIH32" s="77"/>
      <c r="ARQ32" s="77"/>
      <c r="AXC32" s="77"/>
      <c r="AZV32" s="77"/>
      <c r="BDB32" s="77"/>
      <c r="BOJ32" s="77"/>
      <c r="BQB32" s="77"/>
      <c r="BSG32" s="77"/>
      <c r="BVJ32" s="77"/>
      <c r="BXP32" s="77"/>
      <c r="CEG32" s="77"/>
      <c r="CET32" s="77"/>
      <c r="CFM32" s="77"/>
      <c r="CIJ32" s="77"/>
      <c r="CJJ32" s="77"/>
      <c r="CJT32" s="77"/>
      <c r="CLD32" s="77"/>
      <c r="COU32" s="77"/>
      <c r="CWF32" s="77"/>
      <c r="CYT32" s="77"/>
      <c r="DBW32" s="77"/>
      <c r="DCG32" s="77"/>
      <c r="DFL32" s="77"/>
      <c r="DFO32" s="77"/>
      <c r="DFR32" s="77"/>
      <c r="DFY32" s="77"/>
      <c r="DGE32" s="77"/>
      <c r="DHK32" s="77"/>
      <c r="DLW32" s="77"/>
      <c r="DMV32" s="77"/>
      <c r="DXR32" s="77"/>
    </row>
    <row r="33" spans="1:1022 1028:2046 2051:3071 3075:3429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O33" s="77"/>
      <c r="GA33" s="77"/>
      <c r="HR33" s="77"/>
      <c r="NW33" s="77"/>
      <c r="TO33" s="77"/>
      <c r="UV33" s="77"/>
      <c r="XO33" s="77"/>
      <c r="YL33" s="77"/>
      <c r="AGL33" s="77"/>
      <c r="AIH33" s="77"/>
      <c r="AIS33" s="77"/>
      <c r="AZV33" s="77"/>
      <c r="BDB33" s="77"/>
      <c r="BPG33" s="77"/>
      <c r="BQB33" s="77"/>
      <c r="BSG33" s="77"/>
      <c r="BVJ33" s="77"/>
      <c r="BXP33" s="77"/>
      <c r="CEG33" s="77"/>
      <c r="CES33" s="77"/>
      <c r="CFM33" s="77"/>
      <c r="CJJ33" s="77"/>
      <c r="CLD33" s="77"/>
      <c r="COU33" s="77"/>
      <c r="CWF33" s="77"/>
      <c r="CYT33" s="77"/>
      <c r="DBW33" s="77"/>
      <c r="DFL33" s="77"/>
      <c r="DFO33" s="77"/>
      <c r="DGE33" s="77"/>
      <c r="DLW33" s="77"/>
      <c r="DMV33" s="77"/>
      <c r="DXR33" s="77"/>
    </row>
    <row r="34" spans="1:1022 1028:2046 2051:3071 3075:3429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O34" s="77"/>
      <c r="GA34" s="77"/>
      <c r="HR34" s="77"/>
      <c r="TO34" s="77"/>
      <c r="UV34" s="77"/>
      <c r="XO34" s="77"/>
      <c r="YL34" s="77"/>
      <c r="AGE34" s="77"/>
      <c r="AGL34" s="77"/>
      <c r="AIH34" s="77"/>
      <c r="AIS34" s="77"/>
      <c r="AMV34" s="77"/>
      <c r="AZV34" s="77"/>
      <c r="BDB34" s="77"/>
      <c r="BQB34" s="77"/>
      <c r="BSG34" s="77"/>
      <c r="BVX34" s="77"/>
      <c r="BXP34" s="77"/>
      <c r="CEG34" s="77"/>
      <c r="CJJ34" s="77"/>
      <c r="CLD34" s="77"/>
      <c r="COU34" s="77"/>
      <c r="CWF34" s="77"/>
      <c r="DBW34" s="77"/>
      <c r="DFL34" s="77"/>
      <c r="DFO34" s="77"/>
      <c r="DGE34" s="77"/>
      <c r="DLW34" s="77"/>
      <c r="DMV34" s="77"/>
      <c r="DOM34" s="77"/>
      <c r="DXR34" s="77"/>
    </row>
    <row r="35" spans="1:1022 1028:2046 2051:3071 3075:3429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Y35" s="77"/>
      <c r="DS35" s="77"/>
      <c r="NA35" s="77"/>
      <c r="NG35" s="77"/>
      <c r="SL35" s="77"/>
      <c r="UC35" s="77"/>
      <c r="UH35" s="77"/>
      <c r="WS35" s="77"/>
      <c r="AAT35" s="77"/>
      <c r="AAW35" s="77"/>
      <c r="ADH35" s="77"/>
      <c r="ADR35" s="77"/>
      <c r="AEA35" s="77"/>
      <c r="AEH35" s="77"/>
      <c r="AEU35" s="77"/>
      <c r="AFF35" s="77"/>
      <c r="AFO35" s="77"/>
      <c r="AGH35" s="77"/>
      <c r="ALT35" s="77"/>
      <c r="AMH35" s="77"/>
      <c r="ANT35" s="77"/>
      <c r="BRZ35" s="77"/>
      <c r="DKN35" s="77"/>
      <c r="DQC35" s="77"/>
    </row>
    <row r="36" spans="1:1022 1028:2046 2051:3071 3075:3429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N36" s="77"/>
      <c r="RB36" s="77"/>
      <c r="RV36" s="77"/>
      <c r="UV36" s="77"/>
      <c r="VC36" s="77"/>
      <c r="VL36" s="77"/>
      <c r="VU36" s="77"/>
      <c r="YL36" s="77"/>
      <c r="YZ36" s="77"/>
      <c r="AAB36" s="77"/>
      <c r="AAW36" s="77"/>
      <c r="ABC36" s="77"/>
      <c r="AEA36" s="77"/>
      <c r="AEK36" s="77"/>
      <c r="AEW36" s="77"/>
      <c r="AIS36" s="77"/>
      <c r="ARV36" s="77"/>
      <c r="ASJ36" s="77"/>
      <c r="BAQ36" s="77"/>
      <c r="BFW36" s="77"/>
      <c r="BIX36" s="77"/>
      <c r="BNI36" s="77"/>
      <c r="BVW36" s="77"/>
      <c r="BVZ36" s="77"/>
      <c r="BXC36" s="77"/>
      <c r="CBI36" s="77"/>
      <c r="CBT36" s="77"/>
      <c r="CXZ36" s="77"/>
      <c r="DAL36" s="77"/>
      <c r="DFY36" s="77"/>
      <c r="DJL36" s="77"/>
      <c r="DSK36" s="77"/>
    </row>
    <row r="37" spans="1:1022 1028:2046 2051:3071 3075:3429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C37" s="77"/>
      <c r="NB37" s="77"/>
      <c r="TJ37" s="77"/>
      <c r="TT37" s="77"/>
      <c r="UA37" s="77"/>
      <c r="WP37" s="77"/>
      <c r="YD37" s="77"/>
      <c r="AEV37" s="77"/>
      <c r="AJU37" s="77"/>
      <c r="ALZ37" s="77"/>
      <c r="ASS37" s="77"/>
      <c r="BEE37" s="77"/>
      <c r="BJI37" s="77"/>
      <c r="BKY37" s="77"/>
      <c r="BLQ37" s="77"/>
      <c r="BQY37" s="77"/>
      <c r="BXE37" s="77"/>
      <c r="CBL37" s="77"/>
      <c r="CLY37" s="77"/>
      <c r="COY37" s="77"/>
      <c r="CUN37" s="77"/>
      <c r="CWE37" s="77"/>
      <c r="CWJ37" s="77"/>
      <c r="CXL37" s="77"/>
      <c r="DGB37" s="77"/>
      <c r="DIH37" s="77"/>
      <c r="DKZ37" s="77"/>
      <c r="DLY37" s="77"/>
      <c r="DMD37" s="77"/>
      <c r="DQC37" s="77"/>
      <c r="EAW37" s="77"/>
    </row>
    <row r="38" spans="1:1022 1028:2046 2051:3071 3075:3429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8:2046 2051:3071 3075:3429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G39" s="77"/>
      <c r="EO39" s="77"/>
      <c r="HI39" s="77"/>
      <c r="LC39" s="77"/>
      <c r="QH39" s="77"/>
      <c r="AIH39" s="77"/>
      <c r="AME39" s="77"/>
      <c r="AQF39" s="77"/>
      <c r="AVC39" s="77"/>
      <c r="BGR39" s="77"/>
      <c r="BJQ39" s="77"/>
      <c r="BMI39" s="77"/>
      <c r="BNQ39" s="77"/>
      <c r="BNS39" s="77"/>
      <c r="BRG39" s="77"/>
      <c r="BRN39" s="77"/>
      <c r="BSH39" s="77"/>
      <c r="BXS39" s="77"/>
      <c r="CLZ39" s="77"/>
      <c r="CMC39" s="77"/>
      <c r="CMF39" s="77"/>
      <c r="CSY39" s="77"/>
      <c r="CXA39" s="77"/>
      <c r="CXI39" s="77"/>
      <c r="DFJ39" s="77"/>
      <c r="DGQ39" s="77"/>
      <c r="DJR39" s="77"/>
      <c r="DQN39" s="77"/>
      <c r="DQR39" s="77"/>
      <c r="DRT39" s="77"/>
      <c r="DWD39" s="77"/>
      <c r="DYR39" s="77"/>
    </row>
    <row r="40" spans="1:1022 1028:2046 2051:3071 3075:3429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M40" s="77"/>
      <c r="HE40" s="77"/>
      <c r="AFK40" s="77"/>
      <c r="AMN40" s="77"/>
      <c r="ANC40" s="77"/>
      <c r="ANJ40" s="77"/>
      <c r="AOX40" s="77"/>
      <c r="AQL40" s="77"/>
      <c r="ARS40" s="77"/>
      <c r="AUG40" s="77"/>
      <c r="AVX40" s="77"/>
      <c r="BAI40" s="77"/>
      <c r="BZR40" s="77"/>
      <c r="BZW40" s="77"/>
      <c r="CEY40" s="77"/>
      <c r="CHS40" s="77"/>
      <c r="CIW40" s="77"/>
      <c r="CYP40" s="77"/>
      <c r="CZP40" s="77"/>
      <c r="DCY40" s="77"/>
      <c r="DNY40" s="77"/>
      <c r="DON40" s="77"/>
      <c r="DTO40" s="77"/>
      <c r="EAV40" s="77"/>
    </row>
    <row r="41" spans="1:1022 1028:2046 2051:3071 3075:3429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O41" s="77"/>
      <c r="IQ41" s="77"/>
      <c r="VC41" s="77"/>
      <c r="WH41" s="77"/>
      <c r="AGL41" s="77"/>
      <c r="AIH41" s="77"/>
      <c r="AIS41" s="77"/>
      <c r="AJY41" s="77"/>
      <c r="AKQ41" s="77"/>
      <c r="ANQ41" s="77"/>
      <c r="AOD41" s="77"/>
      <c r="APO41" s="77"/>
      <c r="ATT41" s="77"/>
      <c r="AWK41" s="77"/>
      <c r="AZV41" s="77"/>
      <c r="BBM41" s="77"/>
      <c r="BDB41" s="77"/>
      <c r="BHI41" s="77"/>
      <c r="BMC41" s="77"/>
      <c r="BPG41" s="77"/>
      <c r="BQB41" s="77"/>
      <c r="BVK41" s="77"/>
      <c r="BVX41" s="77"/>
      <c r="CED41" s="77"/>
      <c r="DFL41" s="77"/>
      <c r="DFO41" s="77"/>
      <c r="DGE41" s="77"/>
      <c r="DHE41" s="77"/>
      <c r="DNC41" s="77"/>
      <c r="DNG41" s="77"/>
      <c r="DOJ41" s="77"/>
      <c r="DPZ41" s="77"/>
      <c r="DWX41" s="77"/>
      <c r="DXR41" s="77"/>
    </row>
    <row r="42" spans="1:1022 1028:2046 2051:3071 3075:3429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O42" s="77"/>
      <c r="IQ42" s="77"/>
      <c r="NE42" s="77"/>
      <c r="NO42" s="77"/>
      <c r="VC42" s="77"/>
      <c r="WH42" s="77"/>
      <c r="AGL42" s="77"/>
      <c r="AIS42" s="77"/>
      <c r="AJY42" s="77"/>
      <c r="AKQ42" s="77"/>
      <c r="ANQ42" s="77"/>
      <c r="AOD42" s="77"/>
      <c r="APO42" s="77"/>
      <c r="ATT42" s="77"/>
      <c r="AWK42" s="77"/>
      <c r="AZV42" s="77"/>
      <c r="BBM42" s="77"/>
      <c r="BDB42" s="77"/>
      <c r="BMC42" s="77"/>
      <c r="BPG42" s="77"/>
      <c r="BQB42" s="77"/>
      <c r="BQQ42" s="77"/>
      <c r="BVK42" s="77"/>
      <c r="BVX42" s="77"/>
      <c r="CED42" s="77"/>
      <c r="DFL42" s="77"/>
      <c r="DFO42" s="77"/>
      <c r="DGE42" s="77"/>
      <c r="DHE42" s="77"/>
      <c r="DNC42" s="77"/>
      <c r="DNG42" s="77"/>
      <c r="DWX42" s="77"/>
      <c r="DXR42" s="77"/>
    </row>
    <row r="43" spans="1:1022 1028:2046 2051:3071 3075:3429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O43" s="77"/>
      <c r="GA43" s="77"/>
      <c r="HR43" s="77"/>
      <c r="NW43" s="77"/>
      <c r="TO43" s="77"/>
      <c r="US43" s="77"/>
      <c r="UV43" s="77"/>
      <c r="XO43" s="77"/>
      <c r="AGL43" s="77"/>
      <c r="AIH43" s="77"/>
      <c r="ARQ43" s="77"/>
      <c r="AZV43" s="77"/>
      <c r="BDB43" s="77"/>
      <c r="BSG43" s="77"/>
      <c r="BVJ43" s="77"/>
      <c r="BXP43" s="77"/>
      <c r="CEG43" s="77"/>
      <c r="CET43" s="77"/>
      <c r="CFM43" s="77"/>
      <c r="CII43" s="77"/>
      <c r="CJJ43" s="77"/>
      <c r="CJT43" s="77"/>
      <c r="CLD43" s="77"/>
      <c r="COU43" s="77"/>
      <c r="DBW43" s="77"/>
      <c r="DFL43" s="77"/>
      <c r="DFO43" s="77"/>
      <c r="DGE43" s="77"/>
      <c r="DMV43" s="77"/>
      <c r="DXR43" s="77"/>
    </row>
    <row r="44" spans="1:1022 1028:2046 2051:3071 3075:3429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DX44" s="77"/>
      <c r="EO44" s="77"/>
      <c r="GA44" s="77"/>
      <c r="HR44" s="77"/>
      <c r="NW44" s="77"/>
      <c r="TH44" s="77"/>
      <c r="TO44" s="77"/>
      <c r="US44" s="77"/>
      <c r="UV44" s="77"/>
      <c r="XO44" s="77"/>
      <c r="AGL44" s="77"/>
      <c r="AIH44" s="77"/>
      <c r="ARQ44" s="77"/>
      <c r="AXC44" s="77"/>
      <c r="AZV44" s="77"/>
      <c r="BDB44" s="77"/>
      <c r="BOJ44" s="77"/>
      <c r="BQB44" s="77"/>
      <c r="BSG44" s="77"/>
      <c r="BVJ44" s="77"/>
      <c r="BXP44" s="77"/>
      <c r="CEG44" s="77"/>
      <c r="CET44" s="77"/>
      <c r="CFM44" s="77"/>
      <c r="CIJ44" s="77"/>
      <c r="CJJ44" s="77"/>
      <c r="CJT44" s="77"/>
      <c r="CLD44" s="77"/>
      <c r="COU44" s="77"/>
      <c r="CWF44" s="77"/>
      <c r="CYT44" s="77"/>
      <c r="DBW44" s="77"/>
      <c r="DCG44" s="77"/>
      <c r="DFL44" s="77"/>
      <c r="DFO44" s="77"/>
      <c r="DFR44" s="77"/>
      <c r="DFY44" s="77"/>
      <c r="DGE44" s="77"/>
      <c r="DHK44" s="77"/>
      <c r="DLW44" s="77"/>
      <c r="DMV44" s="77"/>
      <c r="DXR44" s="77"/>
    </row>
    <row r="45" spans="1:1022 1028:2046 2051:3071 3075:3429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O45" s="77"/>
      <c r="GA45" s="77"/>
      <c r="HR45" s="77"/>
      <c r="NW45" s="77"/>
      <c r="TO45" s="77"/>
      <c r="UV45" s="77"/>
      <c r="XO45" s="77"/>
      <c r="YL45" s="77"/>
      <c r="AGL45" s="77"/>
      <c r="AIH45" s="77"/>
      <c r="AIS45" s="77"/>
      <c r="AZV45" s="77"/>
      <c r="BDB45" s="77"/>
      <c r="BPG45" s="77"/>
      <c r="BQB45" s="77"/>
      <c r="BSG45" s="77"/>
      <c r="BVJ45" s="77"/>
      <c r="BXP45" s="77"/>
      <c r="CEG45" s="77"/>
      <c r="CES45" s="77"/>
      <c r="CFM45" s="77"/>
      <c r="CJJ45" s="77"/>
      <c r="CLD45" s="77"/>
      <c r="COU45" s="77"/>
      <c r="CWF45" s="77"/>
      <c r="CYT45" s="77"/>
      <c r="DBW45" s="77"/>
      <c r="DFL45" s="77"/>
      <c r="DFO45" s="77"/>
      <c r="DGE45" s="77"/>
      <c r="DLW45" s="77"/>
      <c r="DMV45" s="77"/>
      <c r="DXR45" s="77"/>
    </row>
    <row r="46" spans="1:1022 1028:2046 2051:3071 3075:3429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O46" s="77"/>
      <c r="GA46" s="77"/>
      <c r="HR46" s="77"/>
      <c r="TO46" s="77"/>
      <c r="UV46" s="77"/>
      <c r="XO46" s="77"/>
      <c r="YL46" s="77"/>
      <c r="AGE46" s="77"/>
      <c r="AGL46" s="77"/>
      <c r="AIH46" s="77"/>
      <c r="AIS46" s="77"/>
      <c r="AMV46" s="77"/>
      <c r="AZV46" s="77"/>
      <c r="BDB46" s="77"/>
      <c r="BQB46" s="77"/>
      <c r="BSG46" s="77"/>
      <c r="BVX46" s="77"/>
      <c r="BXP46" s="77"/>
      <c r="CEG46" s="77"/>
      <c r="CJJ46" s="77"/>
      <c r="CLD46" s="77"/>
      <c r="COU46" s="77"/>
      <c r="CWF46" s="77"/>
      <c r="DBW46" s="77"/>
      <c r="DFL46" s="77"/>
      <c r="DFO46" s="77"/>
      <c r="DGE46" s="77"/>
      <c r="DLW46" s="77"/>
      <c r="DMV46" s="77"/>
      <c r="DOM46" s="77"/>
      <c r="DXR46" s="77"/>
    </row>
    <row r="47" spans="1:1022 1028:2046 2051:3071 3075:3429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BY47" s="77"/>
      <c r="DS47" s="77"/>
      <c r="NA47" s="77"/>
      <c r="NG47" s="77"/>
      <c r="SL47" s="77"/>
      <c r="UC47" s="77"/>
      <c r="UH47" s="77"/>
      <c r="WS47" s="77"/>
      <c r="AAT47" s="77"/>
      <c r="AAW47" s="77"/>
      <c r="ADH47" s="77"/>
      <c r="ADR47" s="77"/>
      <c r="AEA47" s="77"/>
      <c r="AEH47" s="77"/>
      <c r="AEU47" s="77"/>
      <c r="AFF47" s="77"/>
      <c r="AFO47" s="77"/>
      <c r="AGH47" s="77"/>
      <c r="ALT47" s="77"/>
      <c r="AMH47" s="77"/>
      <c r="ANT47" s="77"/>
      <c r="BRZ47" s="77"/>
      <c r="DKN47" s="77"/>
      <c r="DQC47" s="77"/>
    </row>
    <row r="48" spans="1:1022 1028:2046 2051:3071 3075:3429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N48" s="77"/>
      <c r="RB48" s="77"/>
      <c r="RV48" s="77"/>
      <c r="UV48" s="77"/>
      <c r="VC48" s="77"/>
      <c r="VL48" s="77"/>
      <c r="VU48" s="77"/>
      <c r="YL48" s="77"/>
      <c r="YZ48" s="77"/>
      <c r="AAB48" s="77"/>
      <c r="AAW48" s="77"/>
      <c r="ABC48" s="77"/>
      <c r="AEA48" s="77"/>
      <c r="AEK48" s="77"/>
      <c r="AEW48" s="77"/>
      <c r="AIS48" s="77"/>
      <c r="ARV48" s="77"/>
      <c r="ASJ48" s="77"/>
      <c r="BAQ48" s="77"/>
      <c r="BFW48" s="77"/>
      <c r="BIX48" s="77"/>
      <c r="BNI48" s="77"/>
      <c r="BVW48" s="77"/>
      <c r="BVZ48" s="77"/>
      <c r="BXC48" s="77"/>
      <c r="CBI48" s="77"/>
      <c r="CBT48" s="77"/>
      <c r="CXZ48" s="77"/>
      <c r="DAL48" s="77"/>
      <c r="DFY48" s="77"/>
      <c r="DJL48" s="77"/>
      <c r="DSK48" s="77"/>
    </row>
    <row r="49" spans="1:1019 1028:2046 2051:3071 3075:3429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C49" s="77"/>
      <c r="NB49" s="77"/>
      <c r="TJ49" s="77"/>
      <c r="TT49" s="77"/>
      <c r="UA49" s="77"/>
      <c r="WP49" s="77"/>
      <c r="YD49" s="77"/>
      <c r="AEV49" s="77"/>
      <c r="AJU49" s="77"/>
      <c r="ALZ49" s="77"/>
      <c r="ASS49" s="77"/>
      <c r="BEE49" s="77"/>
      <c r="BJI49" s="77"/>
      <c r="BKY49" s="77"/>
      <c r="BLQ49" s="77"/>
      <c r="BQY49" s="77"/>
      <c r="BXE49" s="77"/>
      <c r="CBL49" s="77"/>
      <c r="CLY49" s="77"/>
      <c r="COY49" s="77"/>
      <c r="CUN49" s="77"/>
      <c r="CWE49" s="77"/>
      <c r="CWJ49" s="77"/>
      <c r="CXL49" s="77"/>
      <c r="DGB49" s="77"/>
      <c r="DIH49" s="77"/>
      <c r="DKZ49" s="77"/>
      <c r="DLY49" s="77"/>
      <c r="DMD49" s="77"/>
      <c r="DQC49" s="77"/>
      <c r="EAW49" s="77"/>
    </row>
    <row r="50" spans="1:1019 1028:2046 2051:3071 3075:3429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C50" s="77"/>
      <c r="NB50" s="77"/>
      <c r="TJ50" s="77"/>
      <c r="TT50" s="77"/>
      <c r="UA50" s="77"/>
      <c r="WP50" s="77"/>
      <c r="YD50" s="77"/>
      <c r="AEV50" s="77"/>
      <c r="AJU50" s="77"/>
      <c r="ALZ50" s="77"/>
      <c r="ASS50" s="77"/>
      <c r="BEE50" s="77"/>
      <c r="BJI50" s="77"/>
      <c r="BKY50" s="77"/>
      <c r="BLQ50" s="77"/>
      <c r="BQY50" s="77"/>
      <c r="BXE50" s="77"/>
      <c r="CBL50" s="77"/>
      <c r="CLY50" s="77"/>
      <c r="COY50" s="77"/>
      <c r="CUN50" s="77"/>
      <c r="CWE50" s="77"/>
      <c r="CWJ50" s="77"/>
      <c r="CXL50" s="77"/>
      <c r="DGB50" s="77"/>
      <c r="DIH50" s="77"/>
      <c r="DKZ50" s="77"/>
      <c r="DLY50" s="77"/>
      <c r="DMD50" s="77"/>
      <c r="DQC50" s="77"/>
      <c r="EAW50" s="77"/>
    </row>
    <row r="51" spans="1:1019 1028:2046 2051:3071 3075:3429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C51" s="77"/>
      <c r="NB51" s="77"/>
      <c r="TJ51" s="77"/>
      <c r="TT51" s="77"/>
      <c r="UA51" s="77"/>
      <c r="WP51" s="77"/>
      <c r="YD51" s="77"/>
      <c r="AEV51" s="77"/>
      <c r="AJU51" s="77"/>
      <c r="ALZ51" s="77"/>
      <c r="ASS51" s="77"/>
      <c r="BEE51" s="77"/>
      <c r="BJI51" s="77"/>
      <c r="BKY51" s="77"/>
      <c r="BLQ51" s="77"/>
      <c r="BQY51" s="77"/>
      <c r="BXE51" s="77"/>
      <c r="CBL51" s="77"/>
      <c r="CLY51" s="77"/>
      <c r="COY51" s="77"/>
      <c r="CUN51" s="77"/>
      <c r="CWE51" s="77"/>
      <c r="CWJ51" s="77"/>
      <c r="CXL51" s="77"/>
      <c r="DGB51" s="77"/>
      <c r="DIH51" s="77"/>
      <c r="DKZ51" s="77"/>
      <c r="DLY51" s="77"/>
      <c r="DMD51" s="77"/>
      <c r="DQC51" s="77"/>
      <c r="EAW51" s="77"/>
    </row>
    <row r="52" spans="1:1019 1028:2046 2051:3071 3075:3429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C52" s="77"/>
      <c r="NB52" s="77"/>
      <c r="TJ52" s="77"/>
      <c r="TT52" s="77"/>
      <c r="UA52" s="77"/>
      <c r="WP52" s="77"/>
      <c r="YD52" s="77"/>
      <c r="AEV52" s="77"/>
      <c r="AJU52" s="77"/>
      <c r="ALZ52" s="77"/>
      <c r="ASS52" s="77"/>
      <c r="BEE52" s="77"/>
      <c r="BJI52" s="77"/>
      <c r="BKY52" s="77"/>
      <c r="BLQ52" s="77"/>
      <c r="BQY52" s="77"/>
      <c r="BXE52" s="77"/>
      <c r="CBL52" s="77"/>
      <c r="CLY52" s="77"/>
      <c r="COY52" s="77"/>
      <c r="CUN52" s="77"/>
      <c r="CWE52" s="77"/>
      <c r="CWJ52" s="77"/>
      <c r="CXL52" s="77"/>
      <c r="DGB52" s="77"/>
      <c r="DIH52" s="77"/>
      <c r="DKZ52" s="77"/>
      <c r="DLY52" s="77"/>
      <c r="DMD52" s="77"/>
      <c r="DQC52" s="77"/>
      <c r="EAW52" s="77"/>
    </row>
    <row r="53" spans="1:1019 1028:2046 2051:3071 3075:3429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19 1028:2046 2051:3071 3075:3429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19 1028:2046 2051:3071 3075:3429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19 1028:2046 2051:3071 3075:3429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19 1028:2046 2051:3071 3075:3429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G57" s="77"/>
      <c r="EO57" s="77"/>
      <c r="HI57" s="77"/>
      <c r="LC57" s="77"/>
      <c r="QH57" s="77"/>
      <c r="AIH57" s="77"/>
      <c r="AME57" s="77"/>
      <c r="AQF57" s="77"/>
      <c r="AVC57" s="77"/>
      <c r="BGR57" s="77"/>
      <c r="BJQ57" s="77"/>
      <c r="BMI57" s="77"/>
      <c r="BNQ57" s="77"/>
      <c r="BNS57" s="77"/>
      <c r="BRG57" s="77"/>
      <c r="BRN57" s="77"/>
      <c r="BSH57" s="77"/>
      <c r="BXS57" s="77"/>
      <c r="CLZ57" s="77"/>
      <c r="CMC57" s="77"/>
      <c r="CMF57" s="77"/>
      <c r="CSY57" s="77"/>
      <c r="CXA57" s="77"/>
      <c r="CXI57" s="77"/>
      <c r="DFJ57" s="77"/>
      <c r="DGQ57" s="77"/>
      <c r="DJR57" s="77"/>
      <c r="DQN57" s="77"/>
      <c r="DQR57" s="77"/>
      <c r="DRT57" s="77"/>
      <c r="DWD57" s="77"/>
      <c r="DYR57" s="77"/>
    </row>
    <row r="58" spans="1:1019 1028:2046 2051:3071 3075:3429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H58" s="77"/>
      <c r="HI58" s="77"/>
      <c r="ADS58" s="77"/>
      <c r="BDC58" s="77"/>
      <c r="BHS58" s="77"/>
      <c r="BMV58" s="77"/>
      <c r="BNQ58" s="77"/>
      <c r="BPQ58" s="77"/>
      <c r="BPW58" s="77"/>
      <c r="BSH58" s="77"/>
      <c r="BTV58" s="77"/>
      <c r="BUD58" s="77"/>
      <c r="BWX58" s="77"/>
      <c r="BXS58" s="77"/>
      <c r="DFM58" s="77"/>
      <c r="DGQ58" s="77"/>
      <c r="DMS58" s="77"/>
      <c r="DZQ58" s="77"/>
    </row>
    <row r="59" spans="1:1019 1028:2046 2051:3071 3075:3429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M59" s="77"/>
      <c r="IQ59" s="77"/>
      <c r="OF59" s="77"/>
      <c r="RE59" s="77"/>
      <c r="YX59" s="77"/>
      <c r="ZL59" s="77"/>
      <c r="AJU59" s="77"/>
      <c r="AKU59" s="77"/>
      <c r="AOD59" s="77"/>
      <c r="API59" s="77"/>
      <c r="ASX59" s="77"/>
      <c r="AYD59" s="77"/>
      <c r="AYN59" s="77"/>
      <c r="BEP59" s="77"/>
      <c r="BHD59" s="77"/>
      <c r="BMO59" s="77"/>
      <c r="BQH59" s="77"/>
      <c r="BQW59" s="77"/>
      <c r="BTL59" s="77"/>
      <c r="BTQ59" s="77"/>
      <c r="BUA59" s="77"/>
      <c r="BVQ59" s="77"/>
      <c r="CAQ59" s="77"/>
      <c r="CCN59" s="77"/>
      <c r="CDF59" s="77"/>
      <c r="CDG59" s="77"/>
      <c r="CIC59" s="77"/>
      <c r="CKD59" s="77"/>
      <c r="CMA59" s="77"/>
      <c r="CNQ59" s="77"/>
      <c r="COT59" s="77"/>
      <c r="CPO59" s="77"/>
      <c r="CRH59" s="77"/>
      <c r="CXE59" s="77"/>
      <c r="DAX59" s="77"/>
      <c r="DCI59" s="77"/>
      <c r="DFS59" s="77"/>
      <c r="DGB59" s="77"/>
      <c r="DKJ59" s="77"/>
      <c r="DQJ59" s="77"/>
      <c r="DQK59" s="77"/>
      <c r="DTA59" s="77"/>
      <c r="DZK59" s="77"/>
    </row>
    <row r="60" spans="1:1019 1028:2046 2051:3071 3075:3429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M60" s="77"/>
      <c r="CT60" s="77"/>
      <c r="DE60" s="77"/>
      <c r="DQ60" s="77"/>
      <c r="SB60" s="77"/>
      <c r="VG60" s="77"/>
      <c r="WH60" s="77"/>
      <c r="YX60" s="77"/>
      <c r="AIP60" s="77"/>
      <c r="BHD60" s="77"/>
      <c r="BID60" s="77"/>
      <c r="BKR60" s="77"/>
      <c r="BMQ60" s="77"/>
      <c r="BMT60" s="77"/>
      <c r="BNA60" s="77"/>
      <c r="BQW60" s="77"/>
      <c r="BTQ60" s="77"/>
      <c r="BVX60" s="77"/>
      <c r="CDG60" s="77"/>
      <c r="CIG60" s="77"/>
      <c r="CLW60" s="77"/>
      <c r="CMA60" s="77"/>
      <c r="CNN60" s="77"/>
      <c r="CNX60" s="77"/>
      <c r="COI60" s="77"/>
      <c r="CVK60" s="77"/>
      <c r="CXE60" s="77"/>
      <c r="DAX60" s="77"/>
      <c r="DEB60" s="77"/>
      <c r="DEO60" s="77"/>
      <c r="DEP60" s="77"/>
      <c r="DFM60" s="77"/>
      <c r="DGD60" s="77"/>
      <c r="DQK60" s="77"/>
      <c r="DRU60" s="77"/>
    </row>
    <row r="61" spans="1:1019 1028:2046 2051:3071 3075:3429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M61" s="77"/>
      <c r="HE61" s="77"/>
      <c r="AFK61" s="77"/>
      <c r="AMN61" s="77"/>
      <c r="ANC61" s="77"/>
      <c r="ANJ61" s="77"/>
      <c r="AOX61" s="77"/>
      <c r="AQL61" s="77"/>
      <c r="ARS61" s="77"/>
      <c r="AUG61" s="77"/>
      <c r="AVX61" s="77"/>
      <c r="BAI61" s="77"/>
      <c r="BZR61" s="77"/>
      <c r="BZW61" s="77"/>
      <c r="CEY61" s="77"/>
      <c r="CHS61" s="77"/>
      <c r="CIW61" s="77"/>
      <c r="CYP61" s="77"/>
      <c r="CZP61" s="77"/>
      <c r="DCY61" s="77"/>
      <c r="DNY61" s="77"/>
      <c r="DON61" s="77"/>
      <c r="DTO61" s="77"/>
      <c r="EAV61" s="77"/>
    </row>
    <row r="62" spans="1:1019 1028:2046 2051:3071 3075:3429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BZ62" s="77"/>
      <c r="EO62" s="77"/>
      <c r="HR62" s="77"/>
      <c r="IQ62" s="77"/>
      <c r="NE62" s="77"/>
      <c r="TO62" s="77"/>
      <c r="VC62" s="77"/>
      <c r="WH62" s="77"/>
      <c r="AGL62" s="77"/>
      <c r="AIH62" s="77"/>
      <c r="AIS62" s="77"/>
      <c r="AJY62" s="77"/>
      <c r="AKQ62" s="77"/>
      <c r="AOD62" s="77"/>
      <c r="APO62" s="77"/>
      <c r="ATT62" s="77"/>
      <c r="AWK62" s="77"/>
      <c r="AZV62" s="77"/>
      <c r="BBM62" s="77"/>
      <c r="BDB62" s="77"/>
      <c r="BMC62" s="77"/>
      <c r="BPG62" s="77"/>
      <c r="BQB62" s="77"/>
      <c r="BQQ62" s="77"/>
      <c r="BVK62" s="77"/>
      <c r="BVX62" s="77"/>
      <c r="CED62" s="77"/>
      <c r="CEG62" s="77"/>
      <c r="CJJ62" s="77"/>
      <c r="CKU62" s="77"/>
      <c r="CVX62" s="77"/>
      <c r="CWF62" s="77"/>
      <c r="DBW62" s="77"/>
      <c r="DFL62" s="77"/>
      <c r="DFO62" s="77"/>
      <c r="DGE62" s="77"/>
      <c r="DHE62" s="77"/>
      <c r="DLO62" s="77"/>
      <c r="DNC62" s="77"/>
      <c r="DNG62" s="77"/>
      <c r="DOJ62" s="77"/>
      <c r="DXR62" s="77"/>
      <c r="EAF62" s="77"/>
    </row>
    <row r="63" spans="1:1019 1028:2046 2051:3071 3075:3429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BZ63" s="77"/>
      <c r="EO63" s="77"/>
      <c r="HR63" s="77"/>
      <c r="IQ63" s="77"/>
      <c r="NE63" s="77"/>
      <c r="TO63" s="77"/>
      <c r="VC63" s="77"/>
      <c r="WH63" s="77"/>
      <c r="AGL63" s="77"/>
      <c r="AIS63" s="77"/>
      <c r="AJY63" s="77"/>
      <c r="AKQ63" s="77"/>
      <c r="ANQ63" s="77"/>
      <c r="AOD63" s="77"/>
      <c r="AOS63" s="77"/>
      <c r="APO63" s="77"/>
      <c r="ATT63" s="77"/>
      <c r="AZV63" s="77"/>
      <c r="BBM63" s="77"/>
      <c r="BDB63" s="77"/>
      <c r="BHI63" s="77"/>
      <c r="BMC63" s="77"/>
      <c r="BPG63" s="77"/>
      <c r="BQB63" s="77"/>
      <c r="BQQ63" s="77"/>
      <c r="BVK63" s="77"/>
      <c r="BVX63" s="77"/>
      <c r="CED63" s="77"/>
      <c r="CEG63" s="77"/>
      <c r="CJJ63" s="77"/>
      <c r="CKU63" s="77"/>
      <c r="CTP63" s="77"/>
      <c r="CWF63" s="77"/>
      <c r="DFL63" s="77"/>
      <c r="DFO63" s="77"/>
      <c r="DGE63" s="77"/>
      <c r="DHE63" s="77"/>
      <c r="DMC63" s="77"/>
      <c r="DNC63" s="77"/>
      <c r="DNG63" s="77"/>
      <c r="DOJ63" s="77"/>
      <c r="DWX63" s="77"/>
      <c r="DXR63" s="77"/>
      <c r="DZJ63" s="77"/>
      <c r="EAF63" s="77"/>
    </row>
    <row r="64" spans="1:1019 1028:2046 2051:3071 3075:3429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BZ64" s="77"/>
      <c r="EO64" s="77"/>
      <c r="IQ64" s="77"/>
      <c r="NE64" s="77"/>
      <c r="TO64" s="77"/>
      <c r="VC64" s="77"/>
      <c r="WH64" s="77"/>
      <c r="AGL64" s="77"/>
      <c r="AIS64" s="77"/>
      <c r="AJY64" s="77"/>
      <c r="AKQ64" s="77"/>
      <c r="ANQ64" s="77"/>
      <c r="APO64" s="77"/>
      <c r="ATT64" s="77"/>
      <c r="AZV64" s="77"/>
      <c r="BBM64" s="77"/>
      <c r="BDB64" s="77"/>
      <c r="BIF64" s="77"/>
      <c r="BMC64" s="77"/>
      <c r="BPG64" s="77"/>
      <c r="BQB64" s="77"/>
      <c r="BQQ64" s="77"/>
      <c r="BVK64" s="77"/>
      <c r="BVX64" s="77"/>
      <c r="CED64" s="77"/>
      <c r="CEG64" s="77"/>
      <c r="CRH64" s="77"/>
      <c r="DFL64" s="77"/>
      <c r="DFO64" s="77"/>
      <c r="DGE64" s="77"/>
      <c r="DHE64" s="77"/>
      <c r="DNC64" s="77"/>
      <c r="DNG64" s="77"/>
      <c r="DOJ64" s="77"/>
      <c r="DWX64" s="77"/>
      <c r="DXR64" s="77"/>
      <c r="EAF64" s="77"/>
    </row>
    <row r="65" spans="1:1022 1036:1992 2089:3071 3075:3429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O65" s="77"/>
      <c r="IQ65" s="77"/>
      <c r="VC65" s="77"/>
      <c r="WH65" s="77"/>
      <c r="AGL65" s="77"/>
      <c r="AIH65" s="77"/>
      <c r="AIS65" s="77"/>
      <c r="AJY65" s="77"/>
      <c r="AKQ65" s="77"/>
      <c r="ANQ65" s="77"/>
      <c r="AOD65" s="77"/>
      <c r="APO65" s="77"/>
      <c r="ATT65" s="77"/>
      <c r="AWK65" s="77"/>
      <c r="AZV65" s="77"/>
      <c r="BBM65" s="77"/>
      <c r="BDB65" s="77"/>
      <c r="BHI65" s="77"/>
      <c r="BMC65" s="77"/>
      <c r="BPG65" s="77"/>
      <c r="BQB65" s="77"/>
      <c r="BVK65" s="77"/>
      <c r="BVX65" s="77"/>
      <c r="CED65" s="77"/>
      <c r="DFL65" s="77"/>
      <c r="DFO65" s="77"/>
      <c r="DGE65" s="77"/>
      <c r="DHE65" s="77"/>
      <c r="DNC65" s="77"/>
      <c r="DNG65" s="77"/>
      <c r="DOJ65" s="77"/>
      <c r="DPZ65" s="77"/>
      <c r="DWX65" s="77"/>
      <c r="DXR65" s="77"/>
    </row>
    <row r="66" spans="1:1022 1036:1992 2089:3071 3075:3429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O66" s="77"/>
      <c r="IQ66" s="77"/>
      <c r="NE66" s="77"/>
      <c r="NO66" s="77"/>
      <c r="VC66" s="77"/>
      <c r="WH66" s="77"/>
      <c r="AGL66" s="77"/>
      <c r="AIS66" s="77"/>
      <c r="AJY66" s="77"/>
      <c r="AKQ66" s="77"/>
      <c r="ANQ66" s="77"/>
      <c r="AOD66" s="77"/>
      <c r="APO66" s="77"/>
      <c r="ATT66" s="77"/>
      <c r="AWK66" s="77"/>
      <c r="AZV66" s="77"/>
      <c r="BBM66" s="77"/>
      <c r="BDB66" s="77"/>
      <c r="BMC66" s="77"/>
      <c r="BPG66" s="77"/>
      <c r="BQB66" s="77"/>
      <c r="BQQ66" s="77"/>
      <c r="BVK66" s="77"/>
      <c r="BVX66" s="77"/>
      <c r="CED66" s="77"/>
      <c r="DFL66" s="77"/>
      <c r="DFO66" s="77"/>
      <c r="DGE66" s="77"/>
      <c r="DHE66" s="77"/>
      <c r="DNC66" s="77"/>
      <c r="DNG66" s="77"/>
      <c r="DWX66" s="77"/>
      <c r="DXR66" s="77"/>
    </row>
    <row r="67" spans="1:1022 1036:1992 2089:3071 3075:3429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O67" s="77"/>
      <c r="GA67" s="77"/>
      <c r="HR67" s="77"/>
      <c r="NW67" s="77"/>
      <c r="TO67" s="77"/>
      <c r="US67" s="77"/>
      <c r="UV67" s="77"/>
      <c r="XO67" s="77"/>
      <c r="AGL67" s="77"/>
      <c r="AIH67" s="77"/>
      <c r="ARQ67" s="77"/>
      <c r="AZV67" s="77"/>
      <c r="BDB67" s="77"/>
      <c r="BSG67" s="77"/>
      <c r="BVJ67" s="77"/>
      <c r="BXP67" s="77"/>
      <c r="CEG67" s="77"/>
      <c r="CET67" s="77"/>
      <c r="CFM67" s="77"/>
      <c r="CII67" s="77"/>
      <c r="CJJ67" s="77"/>
      <c r="CJT67" s="77"/>
      <c r="CLD67" s="77"/>
      <c r="COU67" s="77"/>
      <c r="DBW67" s="77"/>
      <c r="DFL67" s="77"/>
      <c r="DFO67" s="77"/>
      <c r="DGE67" s="77"/>
      <c r="DMV67" s="77"/>
      <c r="DXR67" s="77"/>
    </row>
    <row r="68" spans="1:1022 1036:1992 2089:3071 3075:3429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DX68" s="77"/>
      <c r="EO68" s="77"/>
      <c r="GA68" s="77"/>
      <c r="HR68" s="77"/>
      <c r="NW68" s="77"/>
      <c r="TH68" s="77"/>
      <c r="TO68" s="77"/>
      <c r="US68" s="77"/>
      <c r="UV68" s="77"/>
      <c r="XO68" s="77"/>
      <c r="AGL68" s="77"/>
      <c r="AIH68" s="77"/>
      <c r="ARQ68" s="77"/>
      <c r="AXC68" s="77"/>
      <c r="AZV68" s="77"/>
      <c r="BDB68" s="77"/>
      <c r="BOJ68" s="77"/>
      <c r="BQB68" s="77"/>
      <c r="BSG68" s="77"/>
      <c r="BVJ68" s="77"/>
      <c r="BXP68" s="77"/>
      <c r="CEG68" s="77"/>
      <c r="CET68" s="77"/>
      <c r="CFM68" s="77"/>
      <c r="CIJ68" s="77"/>
      <c r="CJJ68" s="77"/>
      <c r="CJT68" s="77"/>
      <c r="CLD68" s="77"/>
      <c r="COU68" s="77"/>
      <c r="CWF68" s="77"/>
      <c r="CYT68" s="77"/>
      <c r="DBW68" s="77"/>
      <c r="DCG68" s="77"/>
      <c r="DFL68" s="77"/>
      <c r="DFO68" s="77"/>
      <c r="DFR68" s="77"/>
      <c r="DFY68" s="77"/>
      <c r="DGE68" s="77"/>
      <c r="DHK68" s="77"/>
      <c r="DLW68" s="77"/>
      <c r="DMV68" s="77"/>
      <c r="DXR68" s="77"/>
    </row>
    <row r="69" spans="1:1022 1036:1992 2089:3071 3075:3429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O69" s="77"/>
      <c r="GA69" s="77"/>
      <c r="HR69" s="77"/>
      <c r="NW69" s="77"/>
      <c r="TO69" s="77"/>
      <c r="UV69" s="77"/>
      <c r="XO69" s="77"/>
      <c r="YL69" s="77"/>
      <c r="AGL69" s="77"/>
      <c r="AIH69" s="77"/>
      <c r="AIS69" s="77"/>
      <c r="AZV69" s="77"/>
      <c r="BDB69" s="77"/>
      <c r="BPG69" s="77"/>
      <c r="BQB69" s="77"/>
      <c r="BSG69" s="77"/>
      <c r="BVJ69" s="77"/>
      <c r="BXP69" s="77"/>
      <c r="CEG69" s="77"/>
      <c r="CES69" s="77"/>
      <c r="CFM69" s="77"/>
      <c r="CJJ69" s="77"/>
      <c r="CLD69" s="77"/>
      <c r="COU69" s="77"/>
      <c r="CWF69" s="77"/>
      <c r="CYT69" s="77"/>
      <c r="DBW69" s="77"/>
      <c r="DFL69" s="77"/>
      <c r="DFO69" s="77"/>
      <c r="DGE69" s="77"/>
      <c r="DLW69" s="77"/>
      <c r="DMV69" s="77"/>
      <c r="DXR69" s="77"/>
    </row>
    <row r="70" spans="1:1022 1036:1992 2089:3071 3075:3429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O70" s="77"/>
      <c r="GA70" s="77"/>
      <c r="HR70" s="77"/>
      <c r="TO70" s="77"/>
      <c r="UV70" s="77"/>
      <c r="XO70" s="77"/>
      <c r="YL70" s="77"/>
      <c r="AGE70" s="77"/>
      <c r="AGL70" s="77"/>
      <c r="AIH70" s="77"/>
      <c r="AIS70" s="77"/>
      <c r="AMV70" s="77"/>
      <c r="AZV70" s="77"/>
      <c r="BDB70" s="77"/>
      <c r="BQB70" s="77"/>
      <c r="BSG70" s="77"/>
      <c r="BVX70" s="77"/>
      <c r="BXP70" s="77"/>
      <c r="CEG70" s="77"/>
      <c r="CJJ70" s="77"/>
      <c r="CLD70" s="77"/>
      <c r="COU70" s="77"/>
      <c r="CWF70" s="77"/>
      <c r="DBW70" s="77"/>
      <c r="DFL70" s="77"/>
      <c r="DFO70" s="77"/>
      <c r="DGE70" s="77"/>
      <c r="DLW70" s="77"/>
      <c r="DMV70" s="77"/>
      <c r="DOM70" s="77"/>
      <c r="DXR70" s="77"/>
    </row>
    <row r="71" spans="1:1022 1036:1992 2089:3071 3075:3429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BY71" s="77"/>
      <c r="DS71" s="77"/>
      <c r="NA71" s="77"/>
      <c r="NG71" s="77"/>
      <c r="SL71" s="77"/>
      <c r="UC71" s="77"/>
      <c r="UH71" s="77"/>
      <c r="WS71" s="77"/>
      <c r="AAT71" s="77"/>
      <c r="AAW71" s="77"/>
      <c r="ADH71" s="77"/>
      <c r="ADR71" s="77"/>
      <c r="AEA71" s="77"/>
      <c r="AEH71" s="77"/>
      <c r="AEU71" s="77"/>
      <c r="AFF71" s="77"/>
      <c r="AFO71" s="77"/>
      <c r="AGH71" s="77"/>
      <c r="ALT71" s="77"/>
      <c r="AMH71" s="77"/>
      <c r="ANT71" s="77"/>
      <c r="BRZ71" s="77"/>
      <c r="DKN71" s="77"/>
      <c r="DQC71" s="77"/>
    </row>
    <row r="72" spans="1:1022 1036:1992 2089:3071 3075:3429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N72" s="77"/>
      <c r="RB72" s="77"/>
      <c r="RV72" s="77"/>
      <c r="UV72" s="77"/>
      <c r="VC72" s="77"/>
      <c r="VL72" s="77"/>
      <c r="VU72" s="77"/>
      <c r="YL72" s="77"/>
      <c r="YZ72" s="77"/>
      <c r="AAB72" s="77"/>
      <c r="AAW72" s="77"/>
      <c r="ABC72" s="77"/>
      <c r="AEA72" s="77"/>
      <c r="AEK72" s="77"/>
      <c r="AEW72" s="77"/>
      <c r="AIS72" s="77"/>
      <c r="ARV72" s="77"/>
      <c r="ASJ72" s="77"/>
      <c r="BAQ72" s="77"/>
      <c r="BFW72" s="77"/>
      <c r="BIX72" s="77"/>
      <c r="BNI72" s="77"/>
      <c r="BVW72" s="77"/>
      <c r="BVZ72" s="77"/>
      <c r="BXC72" s="77"/>
      <c r="CBI72" s="77"/>
      <c r="CBT72" s="77"/>
      <c r="CXZ72" s="77"/>
      <c r="DAL72" s="77"/>
      <c r="DFY72" s="77"/>
      <c r="DJL72" s="77"/>
      <c r="DSK72" s="77"/>
    </row>
    <row r="73" spans="1:1022 1036:1992 2089:3071 3075:3429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C73" s="77"/>
      <c r="NB73" s="77"/>
      <c r="TJ73" s="77"/>
      <c r="TT73" s="77"/>
      <c r="UA73" s="77"/>
      <c r="WP73" s="77"/>
      <c r="YD73" s="77"/>
      <c r="AEV73" s="77"/>
      <c r="AJU73" s="77"/>
      <c r="ALZ73" s="77"/>
      <c r="ASS73" s="77"/>
      <c r="BEE73" s="77"/>
      <c r="BJI73" s="77"/>
      <c r="BKY73" s="77"/>
      <c r="BLQ73" s="77"/>
      <c r="BQY73" s="77"/>
      <c r="BXE73" s="77"/>
      <c r="CBL73" s="77"/>
      <c r="CLY73" s="77"/>
      <c r="COY73" s="77"/>
      <c r="CUN73" s="77"/>
      <c r="CWE73" s="77"/>
      <c r="CWJ73" s="77"/>
      <c r="CXL73" s="77"/>
      <c r="DGB73" s="77"/>
      <c r="DIH73" s="77"/>
      <c r="DKZ73" s="77"/>
      <c r="DLY73" s="77"/>
      <c r="DMD73" s="77"/>
      <c r="DQC73" s="77"/>
      <c r="EAW73" s="77"/>
    </row>
    <row r="74" spans="1:1022 1036:1992 2089:3071 3075:3429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C74" s="77"/>
      <c r="NB74" s="77"/>
      <c r="TJ74" s="77"/>
      <c r="TT74" s="77"/>
      <c r="UA74" s="77"/>
      <c r="WP74" s="77"/>
      <c r="YD74" s="77"/>
      <c r="AEV74" s="77"/>
      <c r="AJU74" s="77"/>
      <c r="ALZ74" s="77"/>
      <c r="ASS74" s="77"/>
      <c r="BEE74" s="77"/>
      <c r="BJI74" s="77"/>
      <c r="BKY74" s="77"/>
      <c r="BLQ74" s="77"/>
      <c r="BQY74" s="77"/>
      <c r="BXE74" s="77"/>
      <c r="CBL74" s="77"/>
      <c r="CLY74" s="77"/>
      <c r="COY74" s="77"/>
      <c r="CUN74" s="77"/>
      <c r="CWE74" s="77"/>
      <c r="CWJ74" s="77"/>
      <c r="CXL74" s="77"/>
      <c r="DGB74" s="77"/>
      <c r="DIH74" s="77"/>
      <c r="DKZ74" s="77"/>
      <c r="DLY74" s="77"/>
      <c r="DMD74" s="77"/>
      <c r="DQC74" s="77"/>
      <c r="EAW74" s="77"/>
    </row>
    <row r="75" spans="1:1022 1036:1992 2089:3071 3075:3429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C75" s="77"/>
      <c r="NB75" s="77"/>
      <c r="TJ75" s="77"/>
      <c r="TT75" s="77"/>
      <c r="UA75" s="77"/>
      <c r="WP75" s="77"/>
      <c r="YD75" s="77"/>
      <c r="AEV75" s="77"/>
      <c r="AJU75" s="77"/>
      <c r="ALZ75" s="77"/>
      <c r="ASS75" s="77"/>
      <c r="BEE75" s="77"/>
      <c r="BJI75" s="77"/>
      <c r="BKY75" s="77"/>
      <c r="BLQ75" s="77"/>
      <c r="BQY75" s="77"/>
      <c r="BXE75" s="77"/>
      <c r="CBL75" s="77"/>
      <c r="CLY75" s="77"/>
      <c r="COY75" s="77"/>
      <c r="CUN75" s="77"/>
      <c r="CWE75" s="77"/>
      <c r="CWJ75" s="77"/>
      <c r="CXL75" s="77"/>
      <c r="DGB75" s="77"/>
      <c r="DIH75" s="77"/>
      <c r="DKZ75" s="77"/>
      <c r="DLY75" s="77"/>
      <c r="DMD75" s="77"/>
      <c r="DQC75" s="77"/>
      <c r="EAW75" s="77"/>
    </row>
    <row r="76" spans="1:1022 1036:1992 2089:3071 3075:3429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C76" s="77"/>
      <c r="NB76" s="77"/>
      <c r="TJ76" s="77"/>
      <c r="TT76" s="77"/>
      <c r="UA76" s="77"/>
      <c r="WP76" s="77"/>
      <c r="YD76" s="77"/>
      <c r="AEV76" s="77"/>
      <c r="AJU76" s="77"/>
      <c r="ALZ76" s="77"/>
      <c r="ASS76" s="77"/>
      <c r="BEE76" s="77"/>
      <c r="BJI76" s="77"/>
      <c r="BKY76" s="77"/>
      <c r="BLQ76" s="77"/>
      <c r="BQY76" s="77"/>
      <c r="BXE76" s="77"/>
      <c r="CBL76" s="77"/>
      <c r="CLY76" s="77"/>
      <c r="COY76" s="77"/>
      <c r="CUN76" s="77"/>
      <c r="CWE76" s="77"/>
      <c r="CWJ76" s="77"/>
      <c r="CXL76" s="77"/>
      <c r="DGB76" s="77"/>
      <c r="DIH76" s="77"/>
      <c r="DKZ76" s="77"/>
      <c r="DLY76" s="77"/>
      <c r="DMD76" s="77"/>
      <c r="DQC76" s="77"/>
      <c r="EAW76" s="77"/>
    </row>
    <row r="77" spans="1:1022 1036:1992 2089:3071 3075:3429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6:1992 2089:3071 3075:3429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6:1992 2089:3071 3075:3429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6:1992 2089:3071 3075:3429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6:1992 2089:3064 3107:3429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6:1992 2089:3064 3107:3429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O82" s="77"/>
      <c r="GA82" s="77"/>
      <c r="HR82" s="77"/>
      <c r="NW82" s="77"/>
      <c r="TO82" s="77"/>
      <c r="US82" s="77"/>
      <c r="UV82" s="77"/>
      <c r="XO82" s="77"/>
      <c r="AGL82" s="77"/>
      <c r="AIH82" s="77"/>
      <c r="ARQ82" s="77"/>
      <c r="AZV82" s="77"/>
      <c r="BDB82" s="77"/>
      <c r="BSG82" s="77"/>
      <c r="BVJ82" s="77"/>
      <c r="BXP82" s="77"/>
      <c r="CEG82" s="77"/>
      <c r="CET82" s="77"/>
      <c r="CFM82" s="77"/>
      <c r="CII82" s="77"/>
      <c r="CJJ82" s="77"/>
      <c r="CJT82" s="77"/>
      <c r="CLD82" s="77"/>
      <c r="COU82" s="77"/>
      <c r="DBW82" s="77"/>
      <c r="DFL82" s="77"/>
      <c r="DFO82" s="77"/>
      <c r="DGE82" s="77"/>
      <c r="DMV82" s="77"/>
      <c r="DXR82" s="77"/>
    </row>
    <row r="83" spans="1:1022 1036:1992 2089:3064 3107:3429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DX83" s="77"/>
      <c r="EO83" s="77"/>
      <c r="GA83" s="77"/>
      <c r="HR83" s="77"/>
      <c r="NW83" s="77"/>
      <c r="TH83" s="77"/>
      <c r="TO83" s="77"/>
      <c r="US83" s="77"/>
      <c r="UV83" s="77"/>
      <c r="XO83" s="77"/>
      <c r="AGL83" s="77"/>
      <c r="AIH83" s="77"/>
      <c r="ARQ83" s="77"/>
      <c r="AXC83" s="77"/>
      <c r="AZV83" s="77"/>
      <c r="BDB83" s="77"/>
      <c r="BOJ83" s="77"/>
      <c r="BQB83" s="77"/>
      <c r="BSG83" s="77"/>
      <c r="BVJ83" s="77"/>
      <c r="BXP83" s="77"/>
      <c r="CEG83" s="77"/>
      <c r="CET83" s="77"/>
      <c r="CFM83" s="77"/>
      <c r="CIJ83" s="77"/>
      <c r="CJJ83" s="77"/>
      <c r="CJT83" s="77"/>
      <c r="CLD83" s="77"/>
      <c r="COU83" s="77"/>
      <c r="CWF83" s="77"/>
      <c r="CYT83" s="77"/>
      <c r="DBW83" s="77"/>
      <c r="DCG83" s="77"/>
      <c r="DFL83" s="77"/>
      <c r="DFO83" s="77"/>
      <c r="DFR83" s="77"/>
      <c r="DFY83" s="77"/>
      <c r="DGE83" s="77"/>
      <c r="DHK83" s="77"/>
      <c r="DLW83" s="77"/>
      <c r="DMV83" s="77"/>
      <c r="DXR83" s="77"/>
    </row>
    <row r="84" spans="1:1022 1036:1992 2089:3064 3107:3429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O84" s="77"/>
      <c r="GA84" s="77"/>
      <c r="HR84" s="77"/>
      <c r="NW84" s="77"/>
      <c r="TO84" s="77"/>
      <c r="UV84" s="77"/>
      <c r="XO84" s="77"/>
      <c r="YL84" s="77"/>
      <c r="AGL84" s="77"/>
      <c r="AIH84" s="77"/>
      <c r="AIS84" s="77"/>
      <c r="AZV84" s="77"/>
      <c r="BDB84" s="77"/>
      <c r="BPG84" s="77"/>
      <c r="BQB84" s="77"/>
      <c r="BSG84" s="77"/>
      <c r="BVJ84" s="77"/>
      <c r="BXP84" s="77"/>
      <c r="CEG84" s="77"/>
      <c r="CES84" s="77"/>
      <c r="CFM84" s="77"/>
      <c r="CJJ84" s="77"/>
      <c r="CLD84" s="77"/>
      <c r="COU84" s="77"/>
      <c r="CWF84" s="77"/>
      <c r="CYT84" s="77"/>
      <c r="DBW84" s="77"/>
      <c r="DFL84" s="77"/>
      <c r="DFO84" s="77"/>
      <c r="DGE84" s="77"/>
      <c r="DLW84" s="77"/>
      <c r="DMV84" s="77"/>
      <c r="DXR84" s="77"/>
    </row>
    <row r="85" spans="1:1022 1036:1992 2089:3064 3107:3429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O85" s="77"/>
      <c r="GA85" s="77"/>
      <c r="HR85" s="77"/>
      <c r="TO85" s="77"/>
      <c r="UV85" s="77"/>
      <c r="XO85" s="77"/>
      <c r="YL85" s="77"/>
      <c r="AGE85" s="77"/>
      <c r="AGL85" s="77"/>
      <c r="AIH85" s="77"/>
      <c r="AIS85" s="77"/>
      <c r="AMV85" s="77"/>
      <c r="AZV85" s="77"/>
      <c r="BDB85" s="77"/>
      <c r="BQB85" s="77"/>
      <c r="BSG85" s="77"/>
      <c r="BVX85" s="77"/>
      <c r="BXP85" s="77"/>
      <c r="CEG85" s="77"/>
      <c r="CJJ85" s="77"/>
      <c r="CLD85" s="77"/>
      <c r="COU85" s="77"/>
      <c r="CWF85" s="77"/>
      <c r="DBW85" s="77"/>
      <c r="DFL85" s="77"/>
      <c r="DFO85" s="77"/>
      <c r="DGE85" s="77"/>
      <c r="DLW85" s="77"/>
      <c r="DMV85" s="77"/>
      <c r="DOM85" s="77"/>
      <c r="DXR85" s="77"/>
    </row>
    <row r="86" spans="1:1022 1036:1992 2089:3064 3107:3429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BY86" s="77"/>
      <c r="DS86" s="77"/>
      <c r="NA86" s="77"/>
      <c r="NG86" s="77"/>
      <c r="SL86" s="77"/>
      <c r="UC86" s="77"/>
      <c r="UH86" s="77"/>
      <c r="WS86" s="77"/>
      <c r="AAT86" s="77"/>
      <c r="AAW86" s="77"/>
      <c r="ADH86" s="77"/>
      <c r="ADR86" s="77"/>
      <c r="AEA86" s="77"/>
      <c r="AEH86" s="77"/>
      <c r="AEU86" s="77"/>
      <c r="AFF86" s="77"/>
      <c r="AFO86" s="77"/>
      <c r="AGH86" s="77"/>
      <c r="ALT86" s="77"/>
      <c r="AMH86" s="77"/>
      <c r="ANT86" s="77"/>
      <c r="BRZ86" s="77"/>
      <c r="DKN86" s="77"/>
      <c r="DQC86" s="77"/>
    </row>
    <row r="87" spans="1:1022 1036:1992 2089:3064 3107:3429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N87" s="77"/>
      <c r="RB87" s="77"/>
      <c r="RV87" s="77"/>
      <c r="UV87" s="77"/>
      <c r="VC87" s="77"/>
      <c r="VL87" s="77"/>
      <c r="VU87" s="77"/>
      <c r="YL87" s="77"/>
      <c r="YZ87" s="77"/>
      <c r="AAB87" s="77"/>
      <c r="AAW87" s="77"/>
      <c r="ABC87" s="77"/>
      <c r="AEA87" s="77"/>
      <c r="AEK87" s="77"/>
      <c r="AEW87" s="77"/>
      <c r="AIS87" s="77"/>
      <c r="ARV87" s="77"/>
      <c r="ASJ87" s="77"/>
      <c r="BAQ87" s="77"/>
      <c r="BFW87" s="77"/>
      <c r="BIX87" s="77"/>
      <c r="BNI87" s="77"/>
      <c r="BVW87" s="77"/>
      <c r="BVZ87" s="77"/>
      <c r="BXC87" s="77"/>
      <c r="CBI87" s="77"/>
      <c r="CBT87" s="77"/>
      <c r="CXZ87" s="77"/>
      <c r="DAL87" s="77"/>
      <c r="DFY87" s="77"/>
      <c r="DJL87" s="77"/>
      <c r="DSK87" s="77"/>
    </row>
    <row r="88" spans="1:1022 1036:1992 2089:3064 3107:3429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C88" s="77"/>
      <c r="NB88" s="77"/>
      <c r="TJ88" s="77"/>
      <c r="TT88" s="77"/>
      <c r="UA88" s="77"/>
      <c r="WP88" s="77"/>
      <c r="YD88" s="77"/>
      <c r="AEV88" s="77"/>
      <c r="AJU88" s="77"/>
      <c r="ALZ88" s="77"/>
      <c r="ASS88" s="77"/>
      <c r="BEE88" s="77"/>
      <c r="BJI88" s="77"/>
      <c r="BKY88" s="77"/>
      <c r="BLQ88" s="77"/>
      <c r="BQY88" s="77"/>
      <c r="BXE88" s="77"/>
      <c r="CBL88" s="77"/>
      <c r="CLY88" s="77"/>
      <c r="COY88" s="77"/>
      <c r="CUN88" s="77"/>
      <c r="CWE88" s="77"/>
      <c r="CWJ88" s="77"/>
      <c r="CXL88" s="77"/>
      <c r="DGB88" s="77"/>
      <c r="DIH88" s="77"/>
      <c r="DKZ88" s="77"/>
      <c r="DLY88" s="77"/>
      <c r="DMD88" s="77"/>
      <c r="DQC88" s="77"/>
      <c r="EAW88" s="77"/>
    </row>
    <row r="89" spans="1:1022 1036:1992 2089:3064 3107:3429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C89" s="77"/>
      <c r="NB89" s="77"/>
      <c r="TJ89" s="77"/>
      <c r="TT89" s="77"/>
      <c r="UA89" s="77"/>
      <c r="WP89" s="77"/>
      <c r="YD89" s="77"/>
      <c r="AEV89" s="77"/>
      <c r="AJU89" s="77"/>
      <c r="ALZ89" s="77"/>
      <c r="ASS89" s="77"/>
      <c r="BEE89" s="77"/>
      <c r="BJI89" s="77"/>
      <c r="BKY89" s="77"/>
      <c r="BLQ89" s="77"/>
      <c r="BQY89" s="77"/>
      <c r="BXE89" s="77"/>
      <c r="CBL89" s="77"/>
      <c r="CLY89" s="77"/>
      <c r="COY89" s="77"/>
      <c r="CUN89" s="77"/>
      <c r="CWE89" s="77"/>
      <c r="CWJ89" s="77"/>
      <c r="CXL89" s="77"/>
      <c r="DGB89" s="77"/>
      <c r="DIH89" s="77"/>
      <c r="DKZ89" s="77"/>
      <c r="DLY89" s="77"/>
      <c r="DMD89" s="77"/>
      <c r="DQC89" s="77"/>
      <c r="EAW89" s="77"/>
    </row>
    <row r="90" spans="1:1022 1036:1992 2089:3064 3107:3429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C90" s="77"/>
      <c r="NB90" s="77"/>
      <c r="TJ90" s="77"/>
      <c r="TT90" s="77"/>
      <c r="UA90" s="77"/>
      <c r="WP90" s="77"/>
      <c r="YD90" s="77"/>
      <c r="AEV90" s="77"/>
      <c r="AJU90" s="77"/>
      <c r="ALZ90" s="77"/>
      <c r="ASS90" s="77"/>
      <c r="BEE90" s="77"/>
      <c r="BJI90" s="77"/>
      <c r="BKY90" s="77"/>
      <c r="BLQ90" s="77"/>
      <c r="BQY90" s="77"/>
      <c r="BXE90" s="77"/>
      <c r="CBL90" s="77"/>
      <c r="CLY90" s="77"/>
      <c r="COY90" s="77"/>
      <c r="CUN90" s="77"/>
      <c r="CWE90" s="77"/>
      <c r="CWJ90" s="77"/>
      <c r="CXL90" s="77"/>
      <c r="DGB90" s="77"/>
      <c r="DIH90" s="77"/>
      <c r="DKZ90" s="77"/>
      <c r="DLY90" s="77"/>
      <c r="DMD90" s="77"/>
      <c r="DQC90" s="77"/>
      <c r="EAW90" s="77"/>
    </row>
    <row r="91" spans="1:1022 1036:1992 2089:3064 3107:3429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C91" s="77"/>
      <c r="NB91" s="77"/>
      <c r="TJ91" s="77"/>
      <c r="TT91" s="77"/>
      <c r="UA91" s="77"/>
      <c r="WP91" s="77"/>
      <c r="YD91" s="77"/>
      <c r="AEV91" s="77"/>
      <c r="AJU91" s="77"/>
      <c r="ALZ91" s="77"/>
      <c r="ASS91" s="77"/>
      <c r="BEE91" s="77"/>
      <c r="BJI91" s="77"/>
      <c r="BKY91" s="77"/>
      <c r="BLQ91" s="77"/>
      <c r="BQY91" s="77"/>
      <c r="BXE91" s="77"/>
      <c r="CBL91" s="77"/>
      <c r="CLY91" s="77"/>
      <c r="COY91" s="77"/>
      <c r="CUN91" s="77"/>
      <c r="CWE91" s="77"/>
      <c r="CWJ91" s="77"/>
      <c r="CXL91" s="77"/>
      <c r="DGB91" s="77"/>
      <c r="DIH91" s="77"/>
      <c r="DKZ91" s="77"/>
      <c r="DLY91" s="77"/>
      <c r="DMD91" s="77"/>
      <c r="DQC91" s="77"/>
      <c r="EAW91" s="77"/>
    </row>
    <row r="92" spans="1:1022 1036:1992 2089:3064 3107:3429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6:1992 2089:3064 3107:3429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6:1992 2089:3064 3107:3429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6:1992 2089:3064 3107:3429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6:1992 2089:3064 3107:3429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expression" dxfId="392" priority="228">
      <formula>AND($F41="MIN",$H41&lt;&gt;"")</formula>
    </cfRule>
    <cfRule type="expression" dxfId="391" priority="229">
      <formula>AND($F41="MIN",$H41="")</formula>
    </cfRule>
    <cfRule type="containsBlanks" dxfId="390" priority="230">
      <formula>LEN(TRIM(G41))=0</formula>
    </cfRule>
  </conditionalFormatting>
  <conditionalFormatting sqref="G11:H20 G21:G40 H21:H98 G57:G98 AK11:BP21">
    <cfRule type="containsBlanks" dxfId="389" priority="126">
      <formula>LEN(TRIM(G11))=0</formula>
    </cfRule>
  </conditionalFormatting>
  <conditionalFormatting sqref="G11:H98">
    <cfRule type="expression" dxfId="388" priority="17">
      <formula>AND($F11="MIN",$H11&lt;&gt;"")</formula>
    </cfRule>
    <cfRule type="expression" dxfId="387" priority="18">
      <formula>AND($F11="MIN",$H11="")</formula>
    </cfRule>
  </conditionalFormatting>
  <conditionalFormatting sqref="I11:I98">
    <cfRule type="expression" dxfId="386" priority="225">
      <formula>AND(OR($F11="GD&amp;T",$F11="MAX"),$I11&lt;&gt;"")</formula>
    </cfRule>
    <cfRule type="expression" dxfId="385" priority="226">
      <formula>AND(OR($F11="GD&amp;T",$F11="MAX"),$I11="")</formula>
    </cfRule>
    <cfRule type="containsBlanks" dxfId="384" priority="227">
      <formula>LEN(TRIM(I11))=0</formula>
    </cfRule>
  </conditionalFormatting>
  <conditionalFormatting sqref="R11:R98">
    <cfRule type="expression" dxfId="383" priority="163">
      <formula>AND($R11&lt;&gt;"",$S11&lt;1.67)</formula>
    </cfRule>
    <cfRule type="notContainsBlanks" dxfId="382" priority="164">
      <formula>LEN(TRIM(R11))&gt;0</formula>
    </cfRule>
  </conditionalFormatting>
  <conditionalFormatting sqref="S11:S98 V11:X98">
    <cfRule type="expression" dxfId="381" priority="199">
      <formula>$K11="Yes"</formula>
    </cfRule>
    <cfRule type="expression" dxfId="380" priority="231">
      <formula>AND($AD11&lt;0.966,$AD11&lt;&gt;"")</formula>
    </cfRule>
    <cfRule type="cellIs" dxfId="379" priority="235" operator="lessThan">
      <formula>$E11</formula>
    </cfRule>
    <cfRule type="notContainsBlanks" dxfId="378" priority="239">
      <formula>LEN(TRIM(S11))&gt;0</formula>
    </cfRule>
  </conditionalFormatting>
  <conditionalFormatting sqref="Y11:Y98">
    <cfRule type="containsBlanks" dxfId="377" priority="232">
      <formula>LEN(TRIM(Y11))=0</formula>
    </cfRule>
    <cfRule type="cellIs" dxfId="376" priority="233" operator="between">
      <formula>0.9</formula>
      <formula>0.998</formula>
    </cfRule>
    <cfRule type="cellIs" dxfId="375" priority="234" operator="greaterThanOrEqual">
      <formula>0.998</formula>
    </cfRule>
    <cfRule type="notContainsBlanks" dxfId="374" priority="238">
      <formula>LEN(TRIM(Y11))&gt;0</formula>
    </cfRule>
  </conditionalFormatting>
  <conditionalFormatting sqref="AD11:AE98">
    <cfRule type="expression" dxfId="373" priority="20">
      <formula>AND($AD11&lt;0.966,$AD11&lt;&gt;"")</formula>
    </cfRule>
  </conditionalFormatting>
  <conditionalFormatting sqref="AK22:AM32 AN22:BP33">
    <cfRule type="containsBlanks" dxfId="372" priority="39">
      <formula>LEN(TRIM(AK22))=0</formula>
    </cfRule>
  </conditionalFormatting>
  <conditionalFormatting sqref="AK11:BP36 O11:Q98 BU11:BW98 AK39:BP98">
    <cfRule type="expression" dxfId="371" priority="13">
      <formula>AND($M11&lt;&gt;"",$AK11&lt;&gt;"",O11&lt;$M11)</formula>
    </cfRule>
    <cfRule type="expression" dxfId="370" priority="14">
      <formula>AND($L11&lt;&gt;"",$AK11&lt;&gt;"",O11&gt;$L11)</formula>
    </cfRule>
    <cfRule type="notContainsBlanks" dxfId="369" priority="15">
      <formula>LEN(TRIM(O11))&gt;0</formula>
    </cfRule>
  </conditionalFormatting>
  <conditionalFormatting sqref="AK29:BP33">
    <cfRule type="expression" dxfId="368" priority="33">
      <formula>AND($M29&lt;&gt;"",$AK29&lt;&gt;"",AK29&lt;$M29)</formula>
    </cfRule>
    <cfRule type="expression" dxfId="367" priority="34">
      <formula>AND($L29&lt;&gt;"",$AK29&lt;&gt;"",AK29&gt;$L29)</formula>
    </cfRule>
    <cfRule type="notContainsBlanks" dxfId="366" priority="35">
      <formula>LEN(TRIM(AK29))&gt;0</formula>
    </cfRule>
  </conditionalFormatting>
  <conditionalFormatting sqref="AK29:BP36">
    <cfRule type="containsBlanks" dxfId="365" priority="32">
      <formula>LEN(TRIM(AK29))=0</formula>
    </cfRule>
  </conditionalFormatting>
  <conditionalFormatting sqref="AK31:BP31">
    <cfRule type="expression" dxfId="364" priority="40">
      <formula>AND($M31&lt;&gt;"",AK31&lt;$M31)</formula>
    </cfRule>
    <cfRule type="expression" dxfId="363" priority="41">
      <formula>AND($L31&lt;&gt;"",AK31&gt;$L31)</formula>
    </cfRule>
    <cfRule type="notContainsBlanks" dxfId="362" priority="42">
      <formula>LEN(TRIM(AK31))&gt;0</formula>
    </cfRule>
  </conditionalFormatting>
  <conditionalFormatting sqref="AK35:BP35">
    <cfRule type="expression" dxfId="361" priority="36">
      <formula>AND($M35&lt;&gt;"",AK35&lt;$M35)</formula>
    </cfRule>
    <cfRule type="expression" dxfId="360" priority="37">
      <formula>AND($L35&lt;&gt;"",AK35&gt;$L35)</formula>
    </cfRule>
    <cfRule type="notContainsBlanks" dxfId="359" priority="38">
      <formula>LEN(TRIM(AK35))&gt;0</formula>
    </cfRule>
  </conditionalFormatting>
  <conditionalFormatting sqref="AK37:BP38">
    <cfRule type="expression" dxfId="358" priority="58">
      <formula>AND($M37&lt;&gt;"",$AK37&lt;&gt;"",AK37&lt;$M37)</formula>
    </cfRule>
    <cfRule type="expression" dxfId="357" priority="59">
      <formula>AND($L37&lt;&gt;"",$AK37&lt;&gt;"",AK37&gt;$L37)</formula>
    </cfRule>
    <cfRule type="notContainsBlanks" dxfId="356" priority="60">
      <formula>LEN(TRIM(AK37))&gt;0</formula>
    </cfRule>
  </conditionalFormatting>
  <conditionalFormatting sqref="AK37:BP47">
    <cfRule type="containsBlanks" dxfId="355" priority="61">
      <formula>LEN(TRIM(AK37))=0</formula>
    </cfRule>
  </conditionalFormatting>
  <conditionalFormatting sqref="AK38:BP38">
    <cfRule type="containsBlanks" dxfId="354" priority="57">
      <formula>LEN(TRIM(AK38))=0</formula>
    </cfRule>
  </conditionalFormatting>
  <conditionalFormatting sqref="AK41:BP45">
    <cfRule type="expression" dxfId="353" priority="131">
      <formula>AND($M41&lt;&gt;"",$AK41&lt;&gt;"",AK41&lt;$M41)</formula>
    </cfRule>
    <cfRule type="expression" dxfId="352" priority="132">
      <formula>AND($L41&lt;&gt;"",$AK41&lt;&gt;"",AK41&gt;$L41)</formula>
    </cfRule>
    <cfRule type="notContainsBlanks" dxfId="351" priority="133">
      <formula>LEN(TRIM(AK41))&gt;0</formula>
    </cfRule>
  </conditionalFormatting>
  <conditionalFormatting sqref="AK42:BP44">
    <cfRule type="containsBlanks" dxfId="350" priority="142">
      <formula>LEN(TRIM(AK42))=0</formula>
    </cfRule>
  </conditionalFormatting>
  <conditionalFormatting sqref="AK43:BP43">
    <cfRule type="expression" dxfId="349" priority="148">
      <formula>AND($M43&lt;&gt;"",AK43&lt;$M43)</formula>
    </cfRule>
    <cfRule type="expression" dxfId="348" priority="149">
      <formula>AND($L43&lt;&gt;"",AK43&gt;$L43)</formula>
    </cfRule>
    <cfRule type="notContainsBlanks" dxfId="347" priority="150">
      <formula>LEN(TRIM(AK43))&gt;0</formula>
    </cfRule>
  </conditionalFormatting>
  <conditionalFormatting sqref="AK47:BP47">
    <cfRule type="expression" dxfId="346" priority="139">
      <formula>AND($M47&lt;&gt;"",AK47&lt;$M47)</formula>
    </cfRule>
    <cfRule type="expression" dxfId="345" priority="140">
      <formula>AND($L47&lt;&gt;"",AK47&gt;$L47)</formula>
    </cfRule>
    <cfRule type="notContainsBlanks" dxfId="344" priority="141">
      <formula>LEN(TRIM(AK47))&gt;0</formula>
    </cfRule>
  </conditionalFormatting>
  <conditionalFormatting sqref="AK48:BP83">
    <cfRule type="containsBlanks" dxfId="343" priority="88">
      <formula>LEN(TRIM(AK48))=0</formula>
    </cfRule>
  </conditionalFormatting>
  <conditionalFormatting sqref="AK49:BP56 AK73:BP81 AN81:BP85 AK88:BP91">
    <cfRule type="expression" dxfId="342" priority="177">
      <formula>AND($L49&lt;&gt;"",$AK49&lt;&gt;"",AK49&gt;$L49)</formula>
    </cfRule>
    <cfRule type="notContainsBlanks" dxfId="341" priority="178">
      <formula>LEN(TRIM(AK49))&gt;0</formula>
    </cfRule>
  </conditionalFormatting>
  <conditionalFormatting sqref="AK65:BP69">
    <cfRule type="expression" dxfId="340" priority="104">
      <formula>AND($M65&lt;&gt;"",$AK65&lt;&gt;"",AK65&lt;$M65)</formula>
    </cfRule>
    <cfRule type="expression" dxfId="339" priority="105">
      <formula>AND($L65&lt;&gt;"",$AK65&lt;&gt;"",AK65&gt;$L65)</formula>
    </cfRule>
    <cfRule type="notContainsBlanks" dxfId="338" priority="106">
      <formula>LEN(TRIM(AK65))&gt;0</formula>
    </cfRule>
  </conditionalFormatting>
  <conditionalFormatting sqref="AK66:BP68">
    <cfRule type="containsBlanks" dxfId="337" priority="115">
      <formula>LEN(TRIM(AK66))=0</formula>
    </cfRule>
  </conditionalFormatting>
  <conditionalFormatting sqref="AK67:BP67">
    <cfRule type="expression" dxfId="336" priority="121">
      <formula>AND($M67&lt;&gt;"",AK67&lt;$M67)</formula>
    </cfRule>
    <cfRule type="expression" dxfId="335" priority="122">
      <formula>AND($L67&lt;&gt;"",AK67&gt;$L67)</formula>
    </cfRule>
    <cfRule type="notContainsBlanks" dxfId="334" priority="123">
      <formula>LEN(TRIM(AK67))&gt;0</formula>
    </cfRule>
  </conditionalFormatting>
  <conditionalFormatting sqref="AK71:BP71">
    <cfRule type="expression" dxfId="333" priority="112">
      <formula>AND($M71&lt;&gt;"",AK71&lt;$M71)</formula>
    </cfRule>
    <cfRule type="expression" dxfId="332" priority="113">
      <formula>AND($L71&lt;&gt;"",AK71&gt;$L71)</formula>
    </cfRule>
    <cfRule type="notContainsBlanks" dxfId="331" priority="114">
      <formula>LEN(TRIM(AK71))&gt;0</formula>
    </cfRule>
  </conditionalFormatting>
  <conditionalFormatting sqref="AK73:BP81 AN81:BP85 AK49:BP56 AK88:BP91">
    <cfRule type="expression" dxfId="330" priority="176">
      <formula>AND($M49&lt;&gt;"",$AK49&lt;&gt;"",AK49&lt;$M49)</formula>
    </cfRule>
  </conditionalFormatting>
  <conditionalFormatting sqref="AK77:BP81 AN81:BP85">
    <cfRule type="containsBlanks" dxfId="329" priority="187">
      <formula>LEN(TRIM(AK77))=0</formula>
    </cfRule>
  </conditionalFormatting>
  <conditionalFormatting sqref="AK82:BP82">
    <cfRule type="expression" dxfId="328" priority="94">
      <formula>AND($M82&lt;&gt;"",AK82&lt;$M82)</formula>
    </cfRule>
    <cfRule type="expression" dxfId="327" priority="95">
      <formula>AND($L82&lt;&gt;"",AK82&gt;$L82)</formula>
    </cfRule>
    <cfRule type="notContainsBlanks" dxfId="326" priority="96">
      <formula>LEN(TRIM(AK82))&gt;0</formula>
    </cfRule>
  </conditionalFormatting>
  <conditionalFormatting sqref="AK82:BP84">
    <cfRule type="expression" dxfId="325" priority="77">
      <formula>AND($M82&lt;&gt;"",$AK82&lt;&gt;"",AK82&lt;$M82)</formula>
    </cfRule>
    <cfRule type="expression" dxfId="324" priority="78">
      <formula>AND($L82&lt;&gt;"",$AK82&lt;&gt;"",AK82&gt;$L82)</formula>
    </cfRule>
    <cfRule type="notContainsBlanks" dxfId="323" priority="79">
      <formula>LEN(TRIM(AK82))&gt;0</formula>
    </cfRule>
  </conditionalFormatting>
  <conditionalFormatting sqref="AK82:BP98">
    <cfRule type="containsBlanks" dxfId="322" priority="16">
      <formula>LEN(TRIM(AK82))=0</formula>
    </cfRule>
  </conditionalFormatting>
  <conditionalFormatting sqref="AK86:BP86">
    <cfRule type="expression" dxfId="321" priority="85">
      <formula>AND($M86&lt;&gt;"",AK86&lt;$M86)</formula>
    </cfRule>
    <cfRule type="expression" dxfId="320" priority="86">
      <formula>AND($L86&lt;&gt;"",AK86&gt;$L86)</formula>
    </cfRule>
    <cfRule type="notContainsBlanks" dxfId="319" priority="87">
      <formula>LEN(TRIM(AK86))&gt;0</formula>
    </cfRule>
  </conditionalFormatting>
  <conditionalFormatting sqref="AN81:BP85">
    <cfRule type="containsBlanks" dxfId="318" priority="175">
      <formula>LEN(TRIM(AN81))=0</formula>
    </cfRule>
  </conditionalFormatting>
  <conditionalFormatting sqref="BX11:BX98">
    <cfRule type="endsWith" dxfId="317" priority="1" operator="endsWith" text="OK">
      <formula>RIGHT(BX11,LEN("OK"))="OK"</formula>
    </cfRule>
    <cfRule type="endsWith" dxfId="316" priority="2" operator="endsWith" text="OOS">
      <formula>RIGHT(BX11,LEN("OOS"))="OOS"</formula>
    </cfRule>
    <cfRule type="endsWith" dxfId="315" priority="3" operator="endsWith" text="OOC">
      <formula>RIGHT(BX11,LEN("OOC"))="OOC"</formula>
    </cfRule>
  </conditionalFormatting>
  <dataValidations count="3">
    <dataValidation type="list" allowBlank="1" showInputMessage="1" showErrorMessage="1" sqref="J11:J98" xr:uid="{00000000-0002-0000-0000-000000000000}">
      <formula1>insp_meth</formula1>
    </dataValidation>
    <dataValidation type="list" allowBlank="1" showInputMessage="1" showErrorMessage="1" sqref="F11:F98" xr:uid="{00000000-0002-0000-0000-000001000000}">
      <formula1>dim_type</formula1>
    </dataValidation>
    <dataValidation type="list" allowBlank="1" showInputMessage="1" showErrorMessage="1" sqref="K11:K98" xr:uid="{00000000-0002-0000-00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11:I11 H95:I98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AZ103"/>
  <sheetViews>
    <sheetView showGridLines="0" zoomScaleNormal="100" zoomScalePageLayoutView="125" workbookViewId="0">
      <pane xSplit="14" ySplit="10" topLeftCell="O11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70" max="70" width="11" bestFit="1" customWidth="1"/>
  </cols>
  <sheetData>
    <row r="1" spans="1:921 1246:1420 2254:3063 3393:3423" s="1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36"/>
      <c r="AG1" s="36"/>
      <c r="AH1" s="36"/>
      <c r="AI1" s="36"/>
      <c r="AJ1" s="11"/>
    </row>
    <row r="2" spans="1:921 1246:1420 2254:3063 3393:3423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87" t="s">
        <v>13</v>
      </c>
      <c r="W2" s="187"/>
      <c r="X2" s="7"/>
      <c r="AB2" s="8"/>
      <c r="AE2" s="8"/>
      <c r="AF2" s="8"/>
      <c r="AG2" s="8"/>
      <c r="AH2" s="8"/>
      <c r="AI2" s="8"/>
      <c r="AJ2" s="8"/>
    </row>
    <row r="3" spans="1:921 1246:1420 2254:3063 3393:342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1 1246:1420 2254:3063 3393:3423" s="1" customFormat="1" ht="18.75" customHeight="1">
      <c r="B4" s="174" t="s">
        <v>14</v>
      </c>
      <c r="C4" s="176"/>
      <c r="D4" s="12" t="s">
        <v>227</v>
      </c>
      <c r="E4" s="34"/>
      <c r="F4" s="182" t="s">
        <v>15</v>
      </c>
      <c r="G4" s="183"/>
      <c r="H4" s="194" t="s">
        <v>139</v>
      </c>
      <c r="I4" s="195"/>
      <c r="J4" s="195"/>
      <c r="K4" s="195"/>
      <c r="L4" s="195"/>
      <c r="M4" s="196"/>
      <c r="N4" s="35"/>
      <c r="O4" s="174" t="s">
        <v>82</v>
      </c>
      <c r="P4" s="175"/>
      <c r="Q4" s="176"/>
      <c r="R4" s="189" t="s">
        <v>284</v>
      </c>
      <c r="S4" s="178"/>
      <c r="T4" s="178"/>
      <c r="U4" s="178"/>
      <c r="V4" s="178"/>
      <c r="W4" s="1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1 1246:1420 2254:3063 3393:3423" s="1" customFormat="1" ht="18.75" customHeight="1">
      <c r="B5" s="174" t="s">
        <v>16</v>
      </c>
      <c r="C5" s="176"/>
      <c r="D5" s="12" t="s">
        <v>136</v>
      </c>
      <c r="E5" s="34"/>
      <c r="F5" s="182" t="s">
        <v>140</v>
      </c>
      <c r="G5" s="183"/>
      <c r="H5" s="194"/>
      <c r="I5" s="195"/>
      <c r="J5" s="195"/>
      <c r="K5" s="195"/>
      <c r="L5" s="195"/>
      <c r="M5" s="196"/>
      <c r="N5" s="35"/>
      <c r="O5" s="174" t="s">
        <v>58</v>
      </c>
      <c r="P5" s="175"/>
      <c r="Q5" s="176"/>
      <c r="R5" s="177" t="s">
        <v>283</v>
      </c>
      <c r="S5" s="178"/>
      <c r="T5" s="178"/>
      <c r="U5" s="178"/>
      <c r="V5" s="178"/>
      <c r="W5" s="1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1 1246:1420 2254:3063 3393:3423" s="1" customFormat="1" ht="18.75" customHeight="1">
      <c r="B6" s="174" t="s">
        <v>18</v>
      </c>
      <c r="C6" s="176"/>
      <c r="D6" s="78" t="s">
        <v>228</v>
      </c>
      <c r="E6" s="34"/>
      <c r="F6" s="182" t="s">
        <v>46</v>
      </c>
      <c r="G6" s="183"/>
      <c r="H6" s="197" t="s">
        <v>285</v>
      </c>
      <c r="I6" s="198"/>
      <c r="J6" s="198"/>
      <c r="K6" s="198"/>
      <c r="L6" s="198"/>
      <c r="M6" s="199"/>
      <c r="N6" s="35"/>
      <c r="O6" s="174" t="s">
        <v>57</v>
      </c>
      <c r="P6" s="175"/>
      <c r="Q6" s="176"/>
      <c r="R6" s="177" t="s">
        <v>229</v>
      </c>
      <c r="S6" s="178"/>
      <c r="T6" s="178"/>
      <c r="U6" s="178"/>
      <c r="V6" s="178"/>
      <c r="W6" s="1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1 1246:1420 2254:3063 3393:342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1 1246:1420 2254:3063 3393:3423" s="16" customFormat="1" ht="15" customHeight="1">
      <c r="A8" s="24"/>
      <c r="B8" s="179" t="s">
        <v>19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  <c r="N8" s="24"/>
      <c r="O8" s="179" t="s">
        <v>25</v>
      </c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  <c r="AG8" s="164" t="s">
        <v>69</v>
      </c>
      <c r="AH8" s="164"/>
      <c r="AI8" s="164"/>
      <c r="AJ8" s="24"/>
      <c r="AK8" s="190" t="s">
        <v>26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200"/>
      <c r="BS8" s="200"/>
      <c r="BT8" s="200"/>
      <c r="BU8" s="200"/>
      <c r="BV8" s="200"/>
      <c r="BW8" s="200"/>
      <c r="BX8" s="202" t="s">
        <v>278</v>
      </c>
    </row>
    <row r="9" spans="1:921 1246:1420 2254:3063 3393:3423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69" t="s">
        <v>77</v>
      </c>
      <c r="AA9" s="170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201"/>
      <c r="BS9" s="201"/>
      <c r="BT9" s="201"/>
      <c r="BU9" s="201"/>
      <c r="BV9" s="201"/>
      <c r="BW9" s="201"/>
      <c r="BX9" s="203"/>
    </row>
    <row r="10" spans="1:921 1246:1420 2254:3063 3393:3423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4"/>
    </row>
    <row r="11" spans="1:921 1246:1420 2254:3063 3393:3423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R11" s="77"/>
      <c r="QK11" s="77"/>
      <c r="RG11" s="77"/>
      <c r="AHE11" s="77"/>
      <c r="AIK11" s="77"/>
      <c r="AUX11" s="77"/>
      <c r="AVP11" s="77"/>
      <c r="AZT11" s="77"/>
      <c r="BBP11" s="77"/>
      <c r="CHR11" s="77"/>
      <c r="CNS11" s="77"/>
      <c r="DHK11" s="77"/>
      <c r="DMU11" s="77"/>
      <c r="DZM11" s="77"/>
      <c r="EAQ11" s="77"/>
    </row>
    <row r="12" spans="1:921 1246:1420 2254:3063 3393:3423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R12" s="77"/>
      <c r="QK12" s="77"/>
      <c r="RG12" s="77"/>
      <c r="AHE12" s="77"/>
      <c r="AIK12" s="77"/>
      <c r="AUX12" s="77"/>
      <c r="AVP12" s="77"/>
      <c r="AZT12" s="77"/>
      <c r="BBP12" s="77"/>
      <c r="CHR12" s="77"/>
      <c r="CNS12" s="77"/>
      <c r="DHK12" s="77"/>
      <c r="DMU12" s="77"/>
      <c r="DZM12" s="77"/>
      <c r="EAQ12" s="77"/>
    </row>
    <row r="13" spans="1:921 1246:1420 2254:3063 3393:3423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R13" s="77"/>
      <c r="QK13" s="77"/>
      <c r="RG13" s="77"/>
      <c r="AHE13" s="77"/>
      <c r="AIK13" s="77"/>
      <c r="AUX13" s="77"/>
      <c r="AVP13" s="77"/>
      <c r="AZT13" s="77"/>
      <c r="BBP13" s="77"/>
      <c r="CHR13" s="77"/>
      <c r="CNS13" s="77"/>
      <c r="DHK13" s="77"/>
      <c r="DMU13" s="77"/>
      <c r="DZM13" s="77"/>
      <c r="EAQ13" s="77"/>
    </row>
    <row r="14" spans="1:921 1246:1420 2254:3063 3393:3423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R14" s="77"/>
      <c r="QK14" s="77"/>
      <c r="RG14" s="77"/>
      <c r="AHE14" s="77"/>
      <c r="AIK14" s="77"/>
      <c r="AUX14" s="77"/>
      <c r="AVP14" s="77"/>
      <c r="AZT14" s="77"/>
      <c r="BBP14" s="77"/>
      <c r="CHR14" s="77"/>
      <c r="CNS14" s="77"/>
      <c r="DHK14" s="77"/>
      <c r="DMU14" s="77"/>
      <c r="DZM14" s="77"/>
      <c r="EAQ14" s="77"/>
    </row>
    <row r="15" spans="1:921 1246:1420 2254:3063 3393:3423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R15" s="77"/>
      <c r="QK15" s="77"/>
      <c r="RG15" s="77"/>
      <c r="AHE15" s="77"/>
      <c r="AIK15" s="77"/>
      <c r="AUX15" s="77"/>
      <c r="AVP15" s="77"/>
      <c r="AZT15" s="77"/>
      <c r="BBP15" s="77"/>
      <c r="CHR15" s="77"/>
      <c r="CNS15" s="77"/>
      <c r="DHK15" s="77"/>
      <c r="DMU15" s="77"/>
      <c r="DZM15" s="77"/>
      <c r="EAQ15" s="77"/>
    </row>
    <row r="16" spans="1:921 1246:1420 2254:3063 3393:3423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R16" s="77"/>
      <c r="QK16" s="77"/>
      <c r="RG16" s="77"/>
      <c r="AHE16" s="77"/>
      <c r="AIK16" s="77"/>
      <c r="AUX16" s="77"/>
      <c r="AVP16" s="77"/>
      <c r="AZT16" s="77"/>
      <c r="BBP16" s="77"/>
      <c r="CHR16" s="77"/>
      <c r="CNS16" s="77"/>
      <c r="DHK16" s="77"/>
      <c r="DMU16" s="77"/>
      <c r="DZM16" s="77"/>
      <c r="EAQ16" s="77"/>
    </row>
    <row r="17" spans="1:1022 1031:1998 2049:3067 3074:3431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R17" s="77"/>
      <c r="QK17" s="77"/>
      <c r="RG17" s="77"/>
      <c r="AHE17" s="77"/>
      <c r="AIK17" s="77"/>
      <c r="AUX17" s="77"/>
      <c r="AVP17" s="77"/>
      <c r="AZT17" s="77"/>
      <c r="BBP17" s="77"/>
      <c r="CHR17" s="77"/>
      <c r="CNS17" s="77"/>
      <c r="DHK17" s="77"/>
      <c r="DMU17" s="77"/>
      <c r="DZM17" s="77"/>
      <c r="EAQ17" s="77"/>
    </row>
    <row r="18" spans="1:1022 1031:1998 2049:3067 3074:3431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R18" s="77"/>
      <c r="QK18" s="77"/>
      <c r="RG18" s="77"/>
      <c r="AHE18" s="77"/>
      <c r="AIK18" s="77"/>
      <c r="AUX18" s="77"/>
      <c r="AVP18" s="77"/>
      <c r="AZT18" s="77"/>
      <c r="BBP18" s="77"/>
      <c r="CHR18" s="77"/>
      <c r="CNS18" s="77"/>
      <c r="DHK18" s="77"/>
      <c r="DMU18" s="77"/>
      <c r="DZM18" s="77"/>
      <c r="EAQ18" s="77"/>
    </row>
    <row r="19" spans="1:1022 1031:1998 2049:3067 3074:3431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R19" s="77"/>
      <c r="QK19" s="77"/>
      <c r="RG19" s="77"/>
      <c r="AHE19" s="77"/>
      <c r="AIK19" s="77"/>
      <c r="AUX19" s="77"/>
      <c r="AVP19" s="77"/>
      <c r="AZT19" s="77"/>
      <c r="BBP19" s="77"/>
      <c r="CHR19" s="77"/>
      <c r="CNS19" s="77"/>
      <c r="DHK19" s="77"/>
      <c r="DMU19" s="77"/>
      <c r="DZM19" s="77"/>
      <c r="EAQ19" s="77"/>
    </row>
    <row r="20" spans="1:1022 1031:1998 2049:3067 3074:3431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R20" s="77"/>
      <c r="QK20" s="77"/>
      <c r="RG20" s="77"/>
      <c r="AHE20" s="77"/>
      <c r="AIK20" s="77"/>
      <c r="AUX20" s="77"/>
      <c r="AVP20" s="77"/>
      <c r="AZT20" s="77"/>
      <c r="BBP20" s="77"/>
      <c r="CHR20" s="77"/>
      <c r="CNS20" s="77"/>
      <c r="DHK20" s="77"/>
      <c r="DMU20" s="77"/>
      <c r="DZM20" s="77"/>
      <c r="EAQ20" s="77"/>
    </row>
    <row r="21" spans="1:1022 1031:1998 2049:3067 3074:3431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J21" s="77"/>
      <c r="ER21" s="77"/>
      <c r="HL21" s="77"/>
      <c r="LF21" s="77"/>
      <c r="QK21" s="77"/>
      <c r="AIK21" s="77"/>
      <c r="AMH21" s="77"/>
      <c r="AQI21" s="77"/>
      <c r="AVF21" s="77"/>
      <c r="BGU21" s="77"/>
      <c r="BJT21" s="77"/>
      <c r="BML21" s="77"/>
      <c r="BNT21" s="77"/>
      <c r="BNV21" s="77"/>
      <c r="BRJ21" s="77"/>
      <c r="BRQ21" s="77"/>
      <c r="BSK21" s="77"/>
      <c r="BXV21" s="77"/>
      <c r="CMC21" s="77"/>
      <c r="CMF21" s="77"/>
      <c r="CMI21" s="77"/>
      <c r="CTB21" s="77"/>
      <c r="CXD21" s="77"/>
      <c r="CXL21" s="77"/>
      <c r="DFM21" s="77"/>
      <c r="DGT21" s="77"/>
      <c r="DJU21" s="77"/>
      <c r="DQQ21" s="77"/>
      <c r="DQU21" s="77"/>
      <c r="DRW21" s="77"/>
      <c r="DWG21" s="77"/>
      <c r="DYU21" s="77"/>
    </row>
    <row r="22" spans="1:1022 1031:1998 2049:3067 3074:3431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K22" s="77"/>
      <c r="HL22" s="77"/>
      <c r="ADV22" s="77"/>
      <c r="BDF22" s="77"/>
      <c r="BHV22" s="77"/>
      <c r="BMY22" s="77"/>
      <c r="BNT22" s="77"/>
      <c r="BPT22" s="77"/>
      <c r="BPZ22" s="77"/>
      <c r="BSK22" s="77"/>
      <c r="BTY22" s="77"/>
      <c r="BUG22" s="77"/>
      <c r="BXA22" s="77"/>
      <c r="BXV22" s="77"/>
      <c r="DFP22" s="77"/>
      <c r="DGT22" s="77"/>
      <c r="DMV22" s="77"/>
      <c r="DZT22" s="77"/>
    </row>
    <row r="23" spans="1:1022 1031:1998 2049:3067 3074:3431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P23" s="77"/>
      <c r="IT23" s="77"/>
      <c r="OI23" s="77"/>
      <c r="RH23" s="77"/>
      <c r="ZA23" s="77"/>
      <c r="ZO23" s="77"/>
      <c r="AJX23" s="77"/>
      <c r="AKX23" s="77"/>
      <c r="AOG23" s="77"/>
      <c r="APL23" s="77"/>
      <c r="ATA23" s="77"/>
      <c r="AYG23" s="77"/>
      <c r="AYQ23" s="77"/>
      <c r="BES23" s="77"/>
      <c r="BHG23" s="77"/>
      <c r="BMR23" s="77"/>
      <c r="BQK23" s="77"/>
      <c r="BQZ23" s="77"/>
      <c r="BTO23" s="77"/>
      <c r="BTT23" s="77"/>
      <c r="BUD23" s="77"/>
      <c r="BVT23" s="77"/>
      <c r="CAT23" s="77"/>
      <c r="CCQ23" s="77"/>
      <c r="CDI23" s="77"/>
      <c r="CDJ23" s="77"/>
      <c r="CIF23" s="77"/>
      <c r="CKG23" s="77"/>
      <c r="CMD23" s="77"/>
      <c r="CNT23" s="77"/>
      <c r="COW23" s="77"/>
      <c r="CPR23" s="77"/>
      <c r="CRK23" s="77"/>
      <c r="CXH23" s="77"/>
      <c r="DBA23" s="77"/>
      <c r="DCL23" s="77"/>
      <c r="DFV23" s="77"/>
      <c r="DGE23" s="77"/>
      <c r="DKM23" s="77"/>
      <c r="DQM23" s="77"/>
      <c r="DQN23" s="77"/>
      <c r="DTD23" s="77"/>
      <c r="DZN23" s="77"/>
    </row>
    <row r="24" spans="1:1022 1031:1998 2049:3067 3074:3431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P24" s="77"/>
      <c r="CW24" s="77"/>
      <c r="DH24" s="77"/>
      <c r="DT24" s="77"/>
      <c r="SE24" s="77"/>
      <c r="VJ24" s="77"/>
      <c r="WK24" s="77"/>
      <c r="ZA24" s="77"/>
      <c r="AIS24" s="77"/>
      <c r="BHG24" s="77"/>
      <c r="BIG24" s="77"/>
      <c r="BKU24" s="77"/>
      <c r="BMT24" s="77"/>
      <c r="BMW24" s="77"/>
      <c r="BND24" s="77"/>
      <c r="BQZ24" s="77"/>
      <c r="BTT24" s="77"/>
      <c r="BWA24" s="77"/>
      <c r="CDJ24" s="77"/>
      <c r="CIJ24" s="77"/>
      <c r="CLZ24" s="77"/>
      <c r="CMD24" s="77"/>
      <c r="CNQ24" s="77"/>
      <c r="COA24" s="77"/>
      <c r="COL24" s="77"/>
      <c r="CVN24" s="77"/>
      <c r="CXH24" s="77"/>
      <c r="DBA24" s="77"/>
      <c r="DEE24" s="77"/>
      <c r="DER24" s="77"/>
      <c r="DES24" s="77"/>
      <c r="DFP24" s="77"/>
      <c r="DGG24" s="77"/>
      <c r="DQN24" s="77"/>
      <c r="DRX24" s="77"/>
    </row>
    <row r="25" spans="1:1022 1031:1998 2049:3067 3074:3431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P25" s="77"/>
      <c r="HH25" s="77"/>
      <c r="AFN25" s="77"/>
      <c r="AMQ25" s="77"/>
      <c r="ANF25" s="77"/>
      <c r="ANM25" s="77"/>
      <c r="APA25" s="77"/>
      <c r="AQO25" s="77"/>
      <c r="ARV25" s="77"/>
      <c r="AUJ25" s="77"/>
      <c r="AWA25" s="77"/>
      <c r="BAL25" s="77"/>
      <c r="BZU25" s="77"/>
      <c r="BZZ25" s="77"/>
      <c r="CFB25" s="77"/>
      <c r="CHV25" s="77"/>
      <c r="CIZ25" s="77"/>
      <c r="CYS25" s="77"/>
      <c r="CZS25" s="77"/>
      <c r="DDB25" s="77"/>
      <c r="DOB25" s="77"/>
      <c r="DOQ25" s="77"/>
      <c r="DTR25" s="77"/>
      <c r="EAY25" s="77"/>
    </row>
    <row r="26" spans="1:1022 1031:1998 2049:3067 3074:3431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C26" s="77"/>
      <c r="ER26" s="77"/>
      <c r="HU26" s="77"/>
      <c r="IT26" s="77"/>
      <c r="NH26" s="77"/>
      <c r="TR26" s="77"/>
      <c r="VF26" s="77"/>
      <c r="WK26" s="77"/>
      <c r="AGO26" s="77"/>
      <c r="AIK26" s="77"/>
      <c r="AIV26" s="77"/>
      <c r="AKB26" s="77"/>
      <c r="AKT26" s="77"/>
      <c r="AOG26" s="77"/>
      <c r="APR26" s="77"/>
      <c r="ATW26" s="77"/>
      <c r="AWN26" s="77"/>
      <c r="AZY26" s="77"/>
      <c r="BBP26" s="77"/>
      <c r="BDE26" s="77"/>
      <c r="BMF26" s="77"/>
      <c r="BPJ26" s="77"/>
      <c r="BQE26" s="77"/>
      <c r="BQT26" s="77"/>
      <c r="BVN26" s="77"/>
      <c r="BWA26" s="77"/>
      <c r="CEG26" s="77"/>
      <c r="CEJ26" s="77"/>
      <c r="CJM26" s="77"/>
      <c r="CKX26" s="77"/>
      <c r="CWA26" s="77"/>
      <c r="CWI26" s="77"/>
      <c r="DBZ26" s="77"/>
      <c r="DFO26" s="77"/>
      <c r="DFR26" s="77"/>
      <c r="DGH26" s="77"/>
      <c r="DHH26" s="77"/>
      <c r="DLR26" s="77"/>
      <c r="DNF26" s="77"/>
      <c r="DNJ26" s="77"/>
      <c r="DOM26" s="77"/>
      <c r="DXU26" s="77"/>
      <c r="EAI26" s="77"/>
    </row>
    <row r="27" spans="1:1022 1031:1998 2049:3067 3074:3431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C27" s="77"/>
      <c r="ER27" s="77"/>
      <c r="HU27" s="77"/>
      <c r="IT27" s="77"/>
      <c r="NH27" s="77"/>
      <c r="TR27" s="77"/>
      <c r="VF27" s="77"/>
      <c r="WK27" s="77"/>
      <c r="AGO27" s="77"/>
      <c r="AIV27" s="77"/>
      <c r="AKB27" s="77"/>
      <c r="AKT27" s="77"/>
      <c r="ANT27" s="77"/>
      <c r="AOG27" s="77"/>
      <c r="AOV27" s="77"/>
      <c r="APR27" s="77"/>
      <c r="ATW27" s="77"/>
      <c r="AZY27" s="77"/>
      <c r="BBP27" s="77"/>
      <c r="BDE27" s="77"/>
      <c r="BHL27" s="77"/>
      <c r="BMF27" s="77"/>
      <c r="BPJ27" s="77"/>
      <c r="BQE27" s="77"/>
      <c r="BQT27" s="77"/>
      <c r="BVN27" s="77"/>
      <c r="BWA27" s="77"/>
      <c r="CEG27" s="77"/>
      <c r="CEJ27" s="77"/>
      <c r="CJM27" s="77"/>
      <c r="CKX27" s="77"/>
      <c r="CTS27" s="77"/>
      <c r="CWI27" s="77"/>
      <c r="DFO27" s="77"/>
      <c r="DFR27" s="77"/>
      <c r="DGH27" s="77"/>
      <c r="DHH27" s="77"/>
      <c r="DMF27" s="77"/>
      <c r="DNF27" s="77"/>
      <c r="DNJ27" s="77"/>
      <c r="DOM27" s="77"/>
      <c r="DXA27" s="77"/>
      <c r="DXU27" s="77"/>
      <c r="DZM27" s="77"/>
      <c r="EAI27" s="77"/>
    </row>
    <row r="28" spans="1:1022 1031:1998 2049:3067 3074:3431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C28" s="77"/>
      <c r="ER28" s="77"/>
      <c r="IT28" s="77"/>
      <c r="NH28" s="77"/>
      <c r="TR28" s="77"/>
      <c r="VF28" s="77"/>
      <c r="WK28" s="77"/>
      <c r="AGO28" s="77"/>
      <c r="AIV28" s="77"/>
      <c r="AKB28" s="77"/>
      <c r="AKT28" s="77"/>
      <c r="ANT28" s="77"/>
      <c r="APR28" s="77"/>
      <c r="ATW28" s="77"/>
      <c r="AZY28" s="77"/>
      <c r="BBP28" s="77"/>
      <c r="BDE28" s="77"/>
      <c r="BII28" s="77"/>
      <c r="BMF28" s="77"/>
      <c r="BPJ28" s="77"/>
      <c r="BQE28" s="77"/>
      <c r="BQT28" s="77"/>
      <c r="BVN28" s="77"/>
      <c r="BWA28" s="77"/>
      <c r="CEG28" s="77"/>
      <c r="CEJ28" s="77"/>
      <c r="CRK28" s="77"/>
      <c r="DFO28" s="77"/>
      <c r="DFR28" s="77"/>
      <c r="DGH28" s="77"/>
      <c r="DHH28" s="77"/>
      <c r="DNF28" s="77"/>
      <c r="DNJ28" s="77"/>
      <c r="DOM28" s="77"/>
      <c r="DXA28" s="77"/>
      <c r="DXU28" s="77"/>
      <c r="EAI28" s="77"/>
    </row>
    <row r="29" spans="1:1022 1031:1998 2049:3067 3074:3431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R29" s="77"/>
      <c r="IT29" s="77"/>
      <c r="VF29" s="77"/>
      <c r="WK29" s="77"/>
      <c r="AGO29" s="77"/>
      <c r="AIK29" s="77"/>
      <c r="AIV29" s="77"/>
      <c r="AKB29" s="77"/>
      <c r="AKT29" s="77"/>
      <c r="ANT29" s="77"/>
      <c r="AOG29" s="77"/>
      <c r="APR29" s="77"/>
      <c r="ATW29" s="77"/>
      <c r="AWN29" s="77"/>
      <c r="AZY29" s="77"/>
      <c r="BBP29" s="77"/>
      <c r="BDE29" s="77"/>
      <c r="BHL29" s="77"/>
      <c r="BMF29" s="77"/>
      <c r="BPJ29" s="77"/>
      <c r="BQE29" s="77"/>
      <c r="BVN29" s="77"/>
      <c r="BWA29" s="77"/>
      <c r="CEG29" s="77"/>
      <c r="DFO29" s="77"/>
      <c r="DFR29" s="77"/>
      <c r="DGH29" s="77"/>
      <c r="DHH29" s="77"/>
      <c r="DNF29" s="77"/>
      <c r="DNJ29" s="77"/>
      <c r="DOM29" s="77"/>
      <c r="DQC29" s="77"/>
      <c r="DXA29" s="77"/>
      <c r="DXU29" s="77"/>
    </row>
    <row r="30" spans="1:1022 1031:1998 2049:3067 3074:3431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R30" s="77"/>
      <c r="IT30" s="77"/>
      <c r="NH30" s="77"/>
      <c r="NR30" s="77"/>
      <c r="VF30" s="77"/>
      <c r="WK30" s="77"/>
      <c r="AGO30" s="77"/>
      <c r="AIV30" s="77"/>
      <c r="AKB30" s="77"/>
      <c r="AKT30" s="77"/>
      <c r="ANT30" s="77"/>
      <c r="AOG30" s="77"/>
      <c r="APR30" s="77"/>
      <c r="ATW30" s="77"/>
      <c r="AWN30" s="77"/>
      <c r="AZY30" s="77"/>
      <c r="BBP30" s="77"/>
      <c r="BDE30" s="77"/>
      <c r="BMF30" s="77"/>
      <c r="BPJ30" s="77"/>
      <c r="BQE30" s="77"/>
      <c r="BQT30" s="77"/>
      <c r="BVN30" s="77"/>
      <c r="BWA30" s="77"/>
      <c r="CEG30" s="77"/>
      <c r="DFO30" s="77"/>
      <c r="DFR30" s="77"/>
      <c r="DGH30" s="77"/>
      <c r="DHH30" s="77"/>
      <c r="DNF30" s="77"/>
      <c r="DNJ30" s="77"/>
      <c r="DXA30" s="77"/>
      <c r="DXU30" s="77"/>
    </row>
    <row r="31" spans="1:1022 1031:1998 2049:3067 3074:3431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R31" s="77"/>
      <c r="GD31" s="77"/>
      <c r="HU31" s="77"/>
      <c r="NZ31" s="77"/>
      <c r="TR31" s="77"/>
      <c r="UV31" s="77"/>
      <c r="UY31" s="77"/>
      <c r="XR31" s="77"/>
      <c r="AGO31" s="77"/>
      <c r="AIK31" s="77"/>
      <c r="ART31" s="77"/>
      <c r="AZY31" s="77"/>
      <c r="BDE31" s="77"/>
      <c r="BSJ31" s="77"/>
      <c r="BVM31" s="77"/>
      <c r="BXS31" s="77"/>
      <c r="CEJ31" s="77"/>
      <c r="CEW31" s="77"/>
      <c r="CFP31" s="77"/>
      <c r="CIL31" s="77"/>
      <c r="CJM31" s="77"/>
      <c r="CJW31" s="77"/>
      <c r="CLG31" s="77"/>
      <c r="COX31" s="77"/>
      <c r="DBZ31" s="77"/>
      <c r="DFO31" s="77"/>
      <c r="DFR31" s="77"/>
      <c r="DGH31" s="77"/>
      <c r="DMY31" s="77"/>
      <c r="DXU31" s="77"/>
    </row>
    <row r="32" spans="1:1022 1031:1998 2049:3067 3074:3431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A32" s="77"/>
      <c r="ER32" s="77"/>
      <c r="GD32" s="77"/>
      <c r="HU32" s="77"/>
      <c r="NZ32" s="77"/>
      <c r="TK32" s="77"/>
      <c r="TR32" s="77"/>
      <c r="UV32" s="77"/>
      <c r="UY32" s="77"/>
      <c r="XR32" s="77"/>
      <c r="AGO32" s="77"/>
      <c r="AIK32" s="77"/>
      <c r="ART32" s="77"/>
      <c r="AXF32" s="77"/>
      <c r="AZY32" s="77"/>
      <c r="BDE32" s="77"/>
      <c r="BOM32" s="77"/>
      <c r="BQE32" s="77"/>
      <c r="BSJ32" s="77"/>
      <c r="BVM32" s="77"/>
      <c r="BXS32" s="77"/>
      <c r="CEJ32" s="77"/>
      <c r="CEW32" s="77"/>
      <c r="CFP32" s="77"/>
      <c r="CIM32" s="77"/>
      <c r="CJM32" s="77"/>
      <c r="CJW32" s="77"/>
      <c r="CLG32" s="77"/>
      <c r="COX32" s="77"/>
      <c r="CWI32" s="77"/>
      <c r="CYW32" s="77"/>
      <c r="DBZ32" s="77"/>
      <c r="DCJ32" s="77"/>
      <c r="DFO32" s="77"/>
      <c r="DFR32" s="77"/>
      <c r="DFU32" s="77"/>
      <c r="DGB32" s="77"/>
      <c r="DGH32" s="77"/>
      <c r="DHN32" s="77"/>
      <c r="DLZ32" s="77"/>
      <c r="DMY32" s="77"/>
      <c r="DXU32" s="77"/>
    </row>
    <row r="33" spans="1:1022 1025:1998 2049:3067 3074:3432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R33" s="77"/>
      <c r="GD33" s="77"/>
      <c r="HU33" s="77"/>
      <c r="NZ33" s="77"/>
      <c r="TR33" s="77"/>
      <c r="UY33" s="77"/>
      <c r="XR33" s="77"/>
      <c r="YO33" s="77"/>
      <c r="AGO33" s="77"/>
      <c r="AIK33" s="77"/>
      <c r="AIV33" s="77"/>
      <c r="AZY33" s="77"/>
      <c r="BDE33" s="77"/>
      <c r="BPJ33" s="77"/>
      <c r="BQE33" s="77"/>
      <c r="BSJ33" s="77"/>
      <c r="BVM33" s="77"/>
      <c r="BXS33" s="77"/>
      <c r="CEJ33" s="77"/>
      <c r="CEV33" s="77"/>
      <c r="CFP33" s="77"/>
      <c r="CJM33" s="77"/>
      <c r="CLG33" s="77"/>
      <c r="COX33" s="77"/>
      <c r="CWI33" s="77"/>
      <c r="CYW33" s="77"/>
      <c r="DBZ33" s="77"/>
      <c r="DFO33" s="77"/>
      <c r="DFR33" s="77"/>
      <c r="DGH33" s="77"/>
      <c r="DLZ33" s="77"/>
      <c r="DMY33" s="77"/>
      <c r="DXU33" s="77"/>
    </row>
    <row r="34" spans="1:1022 1025:1998 2049:3067 3074:3432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R34" s="77"/>
      <c r="GD34" s="77"/>
      <c r="HU34" s="77"/>
      <c r="TR34" s="77"/>
      <c r="UY34" s="77"/>
      <c r="XR34" s="77"/>
      <c r="YO34" s="77"/>
      <c r="AGH34" s="77"/>
      <c r="AGO34" s="77"/>
      <c r="AIK34" s="77"/>
      <c r="AIV34" s="77"/>
      <c r="AMY34" s="77"/>
      <c r="AZY34" s="77"/>
      <c r="BDE34" s="77"/>
      <c r="BQE34" s="77"/>
      <c r="BSJ34" s="77"/>
      <c r="BWA34" s="77"/>
      <c r="BXS34" s="77"/>
      <c r="CEJ34" s="77"/>
      <c r="CJM34" s="77"/>
      <c r="CLG34" s="77"/>
      <c r="COX34" s="77"/>
      <c r="CWI34" s="77"/>
      <c r="DBZ34" s="77"/>
      <c r="DFO34" s="77"/>
      <c r="DFR34" s="77"/>
      <c r="DGH34" s="77"/>
      <c r="DLZ34" s="77"/>
      <c r="DMY34" s="77"/>
      <c r="DOP34" s="77"/>
      <c r="DXU34" s="77"/>
    </row>
    <row r="35" spans="1:1022 1025:1998 2049:3067 3074:3432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B35" s="77"/>
      <c r="DV35" s="77"/>
      <c r="ND35" s="77"/>
      <c r="NJ35" s="77"/>
      <c r="SO35" s="77"/>
      <c r="UF35" s="77"/>
      <c r="UK35" s="77"/>
      <c r="WV35" s="77"/>
      <c r="AAW35" s="77"/>
      <c r="AAZ35" s="77"/>
      <c r="ADK35" s="77"/>
      <c r="ADU35" s="77"/>
      <c r="AED35" s="77"/>
      <c r="AEK35" s="77"/>
      <c r="AEX35" s="77"/>
      <c r="AFI35" s="77"/>
      <c r="AFR35" s="77"/>
      <c r="AGK35" s="77"/>
      <c r="ALW35" s="77"/>
      <c r="AMK35" s="77"/>
      <c r="ANW35" s="77"/>
      <c r="BSC35" s="77"/>
      <c r="DKQ35" s="77"/>
      <c r="DQF35" s="77"/>
    </row>
    <row r="36" spans="1:1022 1025:1998 2049:3067 3074:3432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Q36" s="77"/>
      <c r="RE36" s="77"/>
      <c r="RY36" s="77"/>
      <c r="UY36" s="77"/>
      <c r="VF36" s="77"/>
      <c r="VO36" s="77"/>
      <c r="VX36" s="77"/>
      <c r="YO36" s="77"/>
      <c r="ZC36" s="77"/>
      <c r="AAE36" s="77"/>
      <c r="AAZ36" s="77"/>
      <c r="ABF36" s="77"/>
      <c r="AED36" s="77"/>
      <c r="AEN36" s="77"/>
      <c r="AEZ36" s="77"/>
      <c r="AIV36" s="77"/>
      <c r="ARY36" s="77"/>
      <c r="ASM36" s="77"/>
      <c r="BAT36" s="77"/>
      <c r="BFZ36" s="77"/>
      <c r="BJA36" s="77"/>
      <c r="BNL36" s="77"/>
      <c r="BVZ36" s="77"/>
      <c r="BWC36" s="77"/>
      <c r="BXF36" s="77"/>
      <c r="CBL36" s="77"/>
      <c r="CBW36" s="77"/>
      <c r="CYC36" s="77"/>
      <c r="DAO36" s="77"/>
      <c r="DGB36" s="77"/>
      <c r="DJO36" s="77"/>
      <c r="DSN36" s="77"/>
    </row>
    <row r="37" spans="1:1022 1025:1998 2049:3067 3074:3432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2" t="e">
        <f>#REF!</f>
        <v>#REF!</v>
      </c>
      <c r="AL37" s="2" t="e">
        <f>#REF!</f>
        <v>#REF!</v>
      </c>
      <c r="AM37" s="2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F37" s="77"/>
      <c r="NE37" s="77"/>
      <c r="TM37" s="77"/>
      <c r="TW37" s="77"/>
      <c r="UD37" s="77"/>
      <c r="WS37" s="77"/>
      <c r="YG37" s="77"/>
      <c r="AEY37" s="77"/>
      <c r="AJX37" s="77"/>
      <c r="AMC37" s="77"/>
      <c r="ASV37" s="77"/>
      <c r="BEH37" s="77"/>
      <c r="BJL37" s="77"/>
      <c r="BLB37" s="77"/>
      <c r="BLT37" s="77"/>
      <c r="BRB37" s="77"/>
      <c r="BXH37" s="77"/>
      <c r="CBO37" s="77"/>
      <c r="CMB37" s="77"/>
      <c r="CPB37" s="77"/>
      <c r="CUQ37" s="77"/>
      <c r="CWH37" s="77"/>
      <c r="CWM37" s="77"/>
      <c r="CXO37" s="77"/>
      <c r="DGE37" s="77"/>
      <c r="DIK37" s="77"/>
      <c r="DLC37" s="77"/>
      <c r="DMB37" s="77"/>
      <c r="DMG37" s="77"/>
      <c r="DQF37" s="77"/>
      <c r="EAZ37" s="77"/>
    </row>
    <row r="38" spans="1:1022 1025:1998 2049:3067 3074:3432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2" t="e">
        <f>#REF!</f>
        <v>#REF!</v>
      </c>
      <c r="AL38" s="2" t="e">
        <f>#REF!</f>
        <v>#REF!</v>
      </c>
      <c r="AM38" s="2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5:1998 2049:3067 3074:3432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J39" s="77"/>
      <c r="ER39" s="77"/>
      <c r="HL39" s="77"/>
      <c r="LF39" s="77"/>
      <c r="QK39" s="77"/>
      <c r="AIK39" s="77"/>
      <c r="AMH39" s="77"/>
      <c r="AQI39" s="77"/>
      <c r="AVF39" s="77"/>
      <c r="BGU39" s="77"/>
      <c r="BJT39" s="77"/>
      <c r="BML39" s="77"/>
      <c r="BNT39" s="77"/>
      <c r="BNV39" s="77"/>
      <c r="BRJ39" s="77"/>
      <c r="BRQ39" s="77"/>
      <c r="BSK39" s="77"/>
      <c r="BXV39" s="77"/>
      <c r="CMC39" s="77"/>
      <c r="CMF39" s="77"/>
      <c r="CMI39" s="77"/>
      <c r="CTB39" s="77"/>
      <c r="CXD39" s="77"/>
      <c r="CXL39" s="77"/>
      <c r="DFM39" s="77"/>
      <c r="DGT39" s="77"/>
      <c r="DJU39" s="77"/>
      <c r="DQQ39" s="77"/>
      <c r="DQU39" s="77"/>
      <c r="DRW39" s="77"/>
      <c r="DWG39" s="77"/>
      <c r="DYU39" s="77"/>
    </row>
    <row r="40" spans="1:1022 1025:1998 2049:3067 3074:3432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P40" s="77"/>
      <c r="HH40" s="77"/>
      <c r="AFN40" s="77"/>
      <c r="AMQ40" s="77"/>
      <c r="ANF40" s="77"/>
      <c r="ANM40" s="77"/>
      <c r="APA40" s="77"/>
      <c r="AQO40" s="77"/>
      <c r="ARV40" s="77"/>
      <c r="AUJ40" s="77"/>
      <c r="AWA40" s="77"/>
      <c r="BAL40" s="77"/>
      <c r="BZU40" s="77"/>
      <c r="BZZ40" s="77"/>
      <c r="CFB40" s="77"/>
      <c r="CHV40" s="77"/>
      <c r="CIZ40" s="77"/>
      <c r="CYS40" s="77"/>
      <c r="CZS40" s="77"/>
      <c r="DDB40" s="77"/>
      <c r="DOB40" s="77"/>
      <c r="DOQ40" s="77"/>
      <c r="DTR40" s="77"/>
      <c r="EAY40" s="77"/>
    </row>
    <row r="41" spans="1:1022 1025:1998 2049:3067 3074:3432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R41" s="77"/>
      <c r="IT41" s="77"/>
      <c r="VF41" s="77"/>
      <c r="WK41" s="77"/>
      <c r="AGO41" s="77"/>
      <c r="AIK41" s="77"/>
      <c r="AIV41" s="77"/>
      <c r="AKB41" s="77"/>
      <c r="AKT41" s="77"/>
      <c r="ANT41" s="77"/>
      <c r="AOG41" s="77"/>
      <c r="APR41" s="77"/>
      <c r="ATW41" s="77"/>
      <c r="AWN41" s="77"/>
      <c r="AZY41" s="77"/>
      <c r="BBP41" s="77"/>
      <c r="BDE41" s="77"/>
      <c r="BHL41" s="77"/>
      <c r="BMF41" s="77"/>
      <c r="BPJ41" s="77"/>
      <c r="BQE41" s="77"/>
      <c r="BVN41" s="77"/>
      <c r="BWA41" s="77"/>
      <c r="CEG41" s="77"/>
      <c r="DFO41" s="77"/>
      <c r="DFR41" s="77"/>
      <c r="DGH41" s="77"/>
      <c r="DHH41" s="77"/>
      <c r="DNF41" s="77"/>
      <c r="DNJ41" s="77"/>
      <c r="DOM41" s="77"/>
      <c r="DQC41" s="77"/>
      <c r="DXA41" s="77"/>
      <c r="DXU41" s="77"/>
    </row>
    <row r="42" spans="1:1022 1025:1998 2049:3067 3074:3432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R42" s="77"/>
      <c r="IT42" s="77"/>
      <c r="NH42" s="77"/>
      <c r="NR42" s="77"/>
      <c r="VF42" s="77"/>
      <c r="WK42" s="77"/>
      <c r="AGO42" s="77"/>
      <c r="AIV42" s="77"/>
      <c r="AKB42" s="77"/>
      <c r="AKT42" s="77"/>
      <c r="ANT42" s="77"/>
      <c r="AOG42" s="77"/>
      <c r="APR42" s="77"/>
      <c r="ATW42" s="77"/>
      <c r="AWN42" s="77"/>
      <c r="AZY42" s="77"/>
      <c r="BBP42" s="77"/>
      <c r="BDE42" s="77"/>
      <c r="BMF42" s="77"/>
      <c r="BPJ42" s="77"/>
      <c r="BQE42" s="77"/>
      <c r="BQT42" s="77"/>
      <c r="BVN42" s="77"/>
      <c r="BWA42" s="77"/>
      <c r="CEG42" s="77"/>
      <c r="DFO42" s="77"/>
      <c r="DFR42" s="77"/>
      <c r="DGH42" s="77"/>
      <c r="DHH42" s="77"/>
      <c r="DNF42" s="77"/>
      <c r="DNJ42" s="77"/>
      <c r="DXA42" s="77"/>
      <c r="DXU42" s="77"/>
    </row>
    <row r="43" spans="1:1022 1025:1998 2049:3067 3074:3432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R43" s="77"/>
      <c r="GD43" s="77"/>
      <c r="HU43" s="77"/>
      <c r="NZ43" s="77"/>
      <c r="TR43" s="77"/>
      <c r="UV43" s="77"/>
      <c r="UY43" s="77"/>
      <c r="XR43" s="77"/>
      <c r="AGO43" s="77"/>
      <c r="AIK43" s="77"/>
      <c r="ART43" s="77"/>
      <c r="AZY43" s="77"/>
      <c r="BDE43" s="77"/>
      <c r="BSJ43" s="77"/>
      <c r="BVM43" s="77"/>
      <c r="BXS43" s="77"/>
      <c r="CEJ43" s="77"/>
      <c r="CEW43" s="77"/>
      <c r="CFP43" s="77"/>
      <c r="CIL43" s="77"/>
      <c r="CJM43" s="77"/>
      <c r="CJW43" s="77"/>
      <c r="CLG43" s="77"/>
      <c r="COX43" s="77"/>
      <c r="DBZ43" s="77"/>
      <c r="DFO43" s="77"/>
      <c r="DFR43" s="77"/>
      <c r="DGH43" s="77"/>
      <c r="DMY43" s="77"/>
      <c r="DXU43" s="77"/>
    </row>
    <row r="44" spans="1:1022 1025:1998 2049:3067 3074:3432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A44" s="77"/>
      <c r="ER44" s="77"/>
      <c r="GD44" s="77"/>
      <c r="HU44" s="77"/>
      <c r="NZ44" s="77"/>
      <c r="TK44" s="77"/>
      <c r="TR44" s="77"/>
      <c r="UV44" s="77"/>
      <c r="UY44" s="77"/>
      <c r="XR44" s="77"/>
      <c r="AGO44" s="77"/>
      <c r="AIK44" s="77"/>
      <c r="ART44" s="77"/>
      <c r="AXF44" s="77"/>
      <c r="AZY44" s="77"/>
      <c r="BDE44" s="77"/>
      <c r="BOM44" s="77"/>
      <c r="BQE44" s="77"/>
      <c r="BSJ44" s="77"/>
      <c r="BVM44" s="77"/>
      <c r="BXS44" s="77"/>
      <c r="CEJ44" s="77"/>
      <c r="CEW44" s="77"/>
      <c r="CFP44" s="77"/>
      <c r="CIM44" s="77"/>
      <c r="CJM44" s="77"/>
      <c r="CJW44" s="77"/>
      <c r="CLG44" s="77"/>
      <c r="COX44" s="77"/>
      <c r="CWI44" s="77"/>
      <c r="CYW44" s="77"/>
      <c r="DBZ44" s="77"/>
      <c r="DCJ44" s="77"/>
      <c r="DFO44" s="77"/>
      <c r="DFR44" s="77"/>
      <c r="DFU44" s="77"/>
      <c r="DGB44" s="77"/>
      <c r="DGH44" s="77"/>
      <c r="DHN44" s="77"/>
      <c r="DLZ44" s="77"/>
      <c r="DMY44" s="77"/>
      <c r="DXU44" s="77"/>
    </row>
    <row r="45" spans="1:1022 1025:1998 2049:3067 3074:3432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R45" s="77"/>
      <c r="GD45" s="77"/>
      <c r="HU45" s="77"/>
      <c r="NZ45" s="77"/>
      <c r="TR45" s="77"/>
      <c r="UY45" s="77"/>
      <c r="XR45" s="77"/>
      <c r="YO45" s="77"/>
      <c r="AGO45" s="77"/>
      <c r="AIK45" s="77"/>
      <c r="AIV45" s="77"/>
      <c r="AZY45" s="77"/>
      <c r="BDE45" s="77"/>
      <c r="BPJ45" s="77"/>
      <c r="BQE45" s="77"/>
      <c r="BSJ45" s="77"/>
      <c r="BVM45" s="77"/>
      <c r="BXS45" s="77"/>
      <c r="CEJ45" s="77"/>
      <c r="CEV45" s="77"/>
      <c r="CFP45" s="77"/>
      <c r="CJM45" s="77"/>
      <c r="CLG45" s="77"/>
      <c r="COX45" s="77"/>
      <c r="CWI45" s="77"/>
      <c r="CYW45" s="77"/>
      <c r="DBZ45" s="77"/>
      <c r="DFO45" s="77"/>
      <c r="DFR45" s="77"/>
      <c r="DGH45" s="77"/>
      <c r="DLZ45" s="77"/>
      <c r="DMY45" s="77"/>
      <c r="DXU45" s="77"/>
    </row>
    <row r="46" spans="1:1022 1025:1998 2049:3067 3074:3432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R46" s="77"/>
      <c r="GD46" s="77"/>
      <c r="HU46" s="77"/>
      <c r="TR46" s="77"/>
      <c r="UY46" s="77"/>
      <c r="XR46" s="77"/>
      <c r="YO46" s="77"/>
      <c r="AGH46" s="77"/>
      <c r="AGO46" s="77"/>
      <c r="AIK46" s="77"/>
      <c r="AIV46" s="77"/>
      <c r="AMY46" s="77"/>
      <c r="AZY46" s="77"/>
      <c r="BDE46" s="77"/>
      <c r="BQE46" s="77"/>
      <c r="BSJ46" s="77"/>
      <c r="BWA46" s="77"/>
      <c r="BXS46" s="77"/>
      <c r="CEJ46" s="77"/>
      <c r="CJM46" s="77"/>
      <c r="CLG46" s="77"/>
      <c r="COX46" s="77"/>
      <c r="CWI46" s="77"/>
      <c r="DBZ46" s="77"/>
      <c r="DFO46" s="77"/>
      <c r="DFR46" s="77"/>
      <c r="DGH46" s="77"/>
      <c r="DLZ46" s="77"/>
      <c r="DMY46" s="77"/>
      <c r="DOP46" s="77"/>
      <c r="DXU46" s="77"/>
    </row>
    <row r="47" spans="1:1022 1025:1998 2049:3067 3074:3432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B47" s="77"/>
      <c r="DV47" s="77"/>
      <c r="ND47" s="77"/>
      <c r="NJ47" s="77"/>
      <c r="SO47" s="77"/>
      <c r="UF47" s="77"/>
      <c r="UK47" s="77"/>
      <c r="WV47" s="77"/>
      <c r="AAW47" s="77"/>
      <c r="AAZ47" s="77"/>
      <c r="ADK47" s="77"/>
      <c r="ADU47" s="77"/>
      <c r="AED47" s="77"/>
      <c r="AEK47" s="77"/>
      <c r="AEX47" s="77"/>
      <c r="AFI47" s="77"/>
      <c r="AFR47" s="77"/>
      <c r="AGK47" s="77"/>
      <c r="ALW47" s="77"/>
      <c r="AMK47" s="77"/>
      <c r="ANW47" s="77"/>
      <c r="BSC47" s="77"/>
      <c r="DKQ47" s="77"/>
      <c r="DQF47" s="77"/>
    </row>
    <row r="48" spans="1:1022 1025:1998 2049:3067 3074:3432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Q48" s="77"/>
      <c r="RE48" s="77"/>
      <c r="RY48" s="77"/>
      <c r="UY48" s="77"/>
      <c r="VF48" s="77"/>
      <c r="VO48" s="77"/>
      <c r="VX48" s="77"/>
      <c r="YO48" s="77"/>
      <c r="ZC48" s="77"/>
      <c r="AAE48" s="77"/>
      <c r="AAZ48" s="77"/>
      <c r="ABF48" s="77"/>
      <c r="AED48" s="77"/>
      <c r="AEN48" s="77"/>
      <c r="AEZ48" s="77"/>
      <c r="AIV48" s="77"/>
      <c r="ARY48" s="77"/>
      <c r="ASM48" s="77"/>
      <c r="BAT48" s="77"/>
      <c r="BFZ48" s="77"/>
      <c r="BJA48" s="77"/>
      <c r="BNL48" s="77"/>
      <c r="BVZ48" s="77"/>
      <c r="BWC48" s="77"/>
      <c r="BXF48" s="77"/>
      <c r="CBL48" s="77"/>
      <c r="CBW48" s="77"/>
      <c r="CYC48" s="77"/>
      <c r="DAO48" s="77"/>
      <c r="DGB48" s="77"/>
      <c r="DJO48" s="77"/>
      <c r="DSN48" s="77"/>
    </row>
    <row r="49" spans="1:1022 1031:1998 2049:3064 3074:3432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F49" s="77"/>
      <c r="NE49" s="77"/>
      <c r="TM49" s="77"/>
      <c r="TW49" s="77"/>
      <c r="UD49" s="77"/>
      <c r="WS49" s="77"/>
      <c r="YG49" s="77"/>
      <c r="AEY49" s="77"/>
      <c r="AJX49" s="77"/>
      <c r="AMC49" s="77"/>
      <c r="ASV49" s="77"/>
      <c r="BEH49" s="77"/>
      <c r="BJL49" s="77"/>
      <c r="BLB49" s="77"/>
      <c r="BLT49" s="77"/>
      <c r="BRB49" s="77"/>
      <c r="BXH49" s="77"/>
      <c r="CBO49" s="77"/>
      <c r="CMB49" s="77"/>
      <c r="CPB49" s="77"/>
      <c r="CUQ49" s="77"/>
      <c r="CWH49" s="77"/>
      <c r="CWM49" s="77"/>
      <c r="CXO49" s="77"/>
      <c r="DGE49" s="77"/>
      <c r="DIK49" s="77"/>
      <c r="DLC49" s="77"/>
      <c r="DMB49" s="77"/>
      <c r="DMG49" s="77"/>
      <c r="DQF49" s="77"/>
      <c r="EAZ49" s="77"/>
    </row>
    <row r="50" spans="1:1022 1031:1998 2049:3064 3074:3432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F50" s="77"/>
      <c r="NE50" s="77"/>
      <c r="TM50" s="77"/>
      <c r="TW50" s="77"/>
      <c r="UD50" s="77"/>
      <c r="WS50" s="77"/>
      <c r="YG50" s="77"/>
      <c r="AEY50" s="77"/>
      <c r="AJX50" s="77"/>
      <c r="AMC50" s="77"/>
      <c r="ASV50" s="77"/>
      <c r="BEH50" s="77"/>
      <c r="BJL50" s="77"/>
      <c r="BLB50" s="77"/>
      <c r="BLT50" s="77"/>
      <c r="BRB50" s="77"/>
      <c r="BXH50" s="77"/>
      <c r="CBO50" s="77"/>
      <c r="CMB50" s="77"/>
      <c r="CPB50" s="77"/>
      <c r="CUQ50" s="77"/>
      <c r="CWH50" s="77"/>
      <c r="CWM50" s="77"/>
      <c r="CXO50" s="77"/>
      <c r="DGE50" s="77"/>
      <c r="DIK50" s="77"/>
      <c r="DLC50" s="77"/>
      <c r="DMB50" s="77"/>
      <c r="DMG50" s="77"/>
      <c r="DQF50" s="77"/>
      <c r="EAZ50" s="77"/>
    </row>
    <row r="51" spans="1:1022 1031:1998 2049:3064 3074:3432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F51" s="77"/>
      <c r="NE51" s="77"/>
      <c r="TM51" s="77"/>
      <c r="TW51" s="77"/>
      <c r="UD51" s="77"/>
      <c r="WS51" s="77"/>
      <c r="YG51" s="77"/>
      <c r="AEY51" s="77"/>
      <c r="AJX51" s="77"/>
      <c r="AMC51" s="77"/>
      <c r="ASV51" s="77"/>
      <c r="BEH51" s="77"/>
      <c r="BJL51" s="77"/>
      <c r="BLB51" s="77"/>
      <c r="BLT51" s="77"/>
      <c r="BRB51" s="77"/>
      <c r="BXH51" s="77"/>
      <c r="CBO51" s="77"/>
      <c r="CMB51" s="77"/>
      <c r="CPB51" s="77"/>
      <c r="CUQ51" s="77"/>
      <c r="CWH51" s="77"/>
      <c r="CWM51" s="77"/>
      <c r="CXO51" s="77"/>
      <c r="DGE51" s="77"/>
      <c r="DIK51" s="77"/>
      <c r="DLC51" s="77"/>
      <c r="DMB51" s="77"/>
      <c r="DMG51" s="77"/>
      <c r="DQF51" s="77"/>
      <c r="EAZ51" s="77"/>
    </row>
    <row r="52" spans="1:1022 1031:1998 2049:3064 3074:3432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F52" s="77"/>
      <c r="NE52" s="77"/>
      <c r="TM52" s="77"/>
      <c r="TW52" s="77"/>
      <c r="UD52" s="77"/>
      <c r="WS52" s="77"/>
      <c r="YG52" s="77"/>
      <c r="AEY52" s="77"/>
      <c r="AJX52" s="77"/>
      <c r="AMC52" s="77"/>
      <c r="ASV52" s="77"/>
      <c r="BEH52" s="77"/>
      <c r="BJL52" s="77"/>
      <c r="BLB52" s="77"/>
      <c r="BLT52" s="77"/>
      <c r="BRB52" s="77"/>
      <c r="BXH52" s="77"/>
      <c r="CBO52" s="77"/>
      <c r="CMB52" s="77"/>
      <c r="CPB52" s="77"/>
      <c r="CUQ52" s="77"/>
      <c r="CWH52" s="77"/>
      <c r="CWM52" s="77"/>
      <c r="CXO52" s="77"/>
      <c r="DGE52" s="77"/>
      <c r="DIK52" s="77"/>
      <c r="DLC52" s="77"/>
      <c r="DMB52" s="77"/>
      <c r="DMG52" s="77"/>
      <c r="DQF52" s="77"/>
      <c r="EAZ52" s="77"/>
    </row>
    <row r="53" spans="1:1022 1031:1998 2049:3064 3074:3432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31:1998 2049:3064 3074:3432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31:1998 2049:3064 3074:3432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31:1998 2049:3064 3074:3432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31:1998 2049:3064 3074:3432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J57" s="77"/>
      <c r="ER57" s="77"/>
      <c r="HL57" s="77"/>
      <c r="LF57" s="77"/>
      <c r="QK57" s="77"/>
      <c r="AIK57" s="77"/>
      <c r="AMH57" s="77"/>
      <c r="AQI57" s="77"/>
      <c r="AVF57" s="77"/>
      <c r="BGU57" s="77"/>
      <c r="BJT57" s="77"/>
      <c r="BML57" s="77"/>
      <c r="BNT57" s="77"/>
      <c r="BNV57" s="77"/>
      <c r="BRJ57" s="77"/>
      <c r="BRQ57" s="77"/>
      <c r="BSK57" s="77"/>
      <c r="BXV57" s="77"/>
      <c r="CMC57" s="77"/>
      <c r="CMF57" s="77"/>
      <c r="CMI57" s="77"/>
      <c r="CTB57" s="77"/>
      <c r="CXD57" s="77"/>
      <c r="CXL57" s="77"/>
      <c r="DFM57" s="77"/>
      <c r="DGT57" s="77"/>
      <c r="DJU57" s="77"/>
      <c r="DQQ57" s="77"/>
      <c r="DQU57" s="77"/>
      <c r="DRW57" s="77"/>
      <c r="DWG57" s="77"/>
      <c r="DYU57" s="77"/>
    </row>
    <row r="58" spans="1:1022 1031:1998 2049:3064 3074:3432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K58" s="77"/>
      <c r="HL58" s="77"/>
      <c r="ADV58" s="77"/>
      <c r="BDF58" s="77"/>
      <c r="BHV58" s="77"/>
      <c r="BMY58" s="77"/>
      <c r="BNT58" s="77"/>
      <c r="BPT58" s="77"/>
      <c r="BPZ58" s="77"/>
      <c r="BSK58" s="77"/>
      <c r="BTY58" s="77"/>
      <c r="BUG58" s="77"/>
      <c r="BXA58" s="77"/>
      <c r="BXV58" s="77"/>
      <c r="DFP58" s="77"/>
      <c r="DGT58" s="77"/>
      <c r="DMV58" s="77"/>
      <c r="DZT58" s="77"/>
    </row>
    <row r="59" spans="1:1022 1031:1998 2049:3064 3074:3432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P59" s="77"/>
      <c r="IT59" s="77"/>
      <c r="OI59" s="77"/>
      <c r="RH59" s="77"/>
      <c r="ZA59" s="77"/>
      <c r="ZO59" s="77"/>
      <c r="AJX59" s="77"/>
      <c r="AKX59" s="77"/>
      <c r="AOG59" s="77"/>
      <c r="APL59" s="77"/>
      <c r="ATA59" s="77"/>
      <c r="AYG59" s="77"/>
      <c r="AYQ59" s="77"/>
      <c r="BES59" s="77"/>
      <c r="BHG59" s="77"/>
      <c r="BMR59" s="77"/>
      <c r="BQK59" s="77"/>
      <c r="BQZ59" s="77"/>
      <c r="BTO59" s="77"/>
      <c r="BTT59" s="77"/>
      <c r="BUD59" s="77"/>
      <c r="BVT59" s="77"/>
      <c r="CAT59" s="77"/>
      <c r="CCQ59" s="77"/>
      <c r="CDI59" s="77"/>
      <c r="CDJ59" s="77"/>
      <c r="CIF59" s="77"/>
      <c r="CKG59" s="77"/>
      <c r="CMD59" s="77"/>
      <c r="CNT59" s="77"/>
      <c r="COW59" s="77"/>
      <c r="CPR59" s="77"/>
      <c r="CRK59" s="77"/>
      <c r="CXH59" s="77"/>
      <c r="DBA59" s="77"/>
      <c r="DCL59" s="77"/>
      <c r="DFV59" s="77"/>
      <c r="DGE59" s="77"/>
      <c r="DKM59" s="77"/>
      <c r="DQM59" s="77"/>
      <c r="DQN59" s="77"/>
      <c r="DTD59" s="77"/>
      <c r="DZN59" s="77"/>
    </row>
    <row r="60" spans="1:1022 1031:1998 2049:3064 3074:3432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P60" s="77"/>
      <c r="CW60" s="77"/>
      <c r="DH60" s="77"/>
      <c r="DT60" s="77"/>
      <c r="SE60" s="77"/>
      <c r="VJ60" s="77"/>
      <c r="WK60" s="77"/>
      <c r="ZA60" s="77"/>
      <c r="AIS60" s="77"/>
      <c r="BHG60" s="77"/>
      <c r="BIG60" s="77"/>
      <c r="BKU60" s="77"/>
      <c r="BMT60" s="77"/>
      <c r="BMW60" s="77"/>
      <c r="BND60" s="77"/>
      <c r="BQZ60" s="77"/>
      <c r="BTT60" s="77"/>
      <c r="BWA60" s="77"/>
      <c r="CDJ60" s="77"/>
      <c r="CIJ60" s="77"/>
      <c r="CLZ60" s="77"/>
      <c r="CMD60" s="77"/>
      <c r="CNQ60" s="77"/>
      <c r="COA60" s="77"/>
      <c r="COL60" s="77"/>
      <c r="CVN60" s="77"/>
      <c r="CXH60" s="77"/>
      <c r="DBA60" s="77"/>
      <c r="DEE60" s="77"/>
      <c r="DER60" s="77"/>
      <c r="DES60" s="77"/>
      <c r="DFP60" s="77"/>
      <c r="DGG60" s="77"/>
      <c r="DQN60" s="77"/>
      <c r="DRX60" s="77"/>
    </row>
    <row r="61" spans="1:1022 1031:1998 2049:3064 3074:3432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P61" s="77"/>
      <c r="HH61" s="77"/>
      <c r="AFN61" s="77"/>
      <c r="AMQ61" s="77"/>
      <c r="ANF61" s="77"/>
      <c r="ANM61" s="77"/>
      <c r="APA61" s="77"/>
      <c r="AQO61" s="77"/>
      <c r="ARV61" s="77"/>
      <c r="AUJ61" s="77"/>
      <c r="AWA61" s="77"/>
      <c r="BAL61" s="77"/>
      <c r="BZU61" s="77"/>
      <c r="BZZ61" s="77"/>
      <c r="CFB61" s="77"/>
      <c r="CHV61" s="77"/>
      <c r="CIZ61" s="77"/>
      <c r="CYS61" s="77"/>
      <c r="CZS61" s="77"/>
      <c r="DDB61" s="77"/>
      <c r="DOB61" s="77"/>
      <c r="DOQ61" s="77"/>
      <c r="DTR61" s="77"/>
      <c r="EAY61" s="77"/>
    </row>
    <row r="62" spans="1:1022 1031:1998 2049:3064 3074:3432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C62" s="77"/>
      <c r="ER62" s="77"/>
      <c r="HU62" s="77"/>
      <c r="IT62" s="77"/>
      <c r="NH62" s="77"/>
      <c r="TR62" s="77"/>
      <c r="VF62" s="77"/>
      <c r="WK62" s="77"/>
      <c r="AGO62" s="77"/>
      <c r="AIK62" s="77"/>
      <c r="AIV62" s="77"/>
      <c r="AKB62" s="77"/>
      <c r="AKT62" s="77"/>
      <c r="AOG62" s="77"/>
      <c r="APR62" s="77"/>
      <c r="ATW62" s="77"/>
      <c r="AWN62" s="77"/>
      <c r="AZY62" s="77"/>
      <c r="BBP62" s="77"/>
      <c r="BDE62" s="77"/>
      <c r="BMF62" s="77"/>
      <c r="BPJ62" s="77"/>
      <c r="BQE62" s="77"/>
      <c r="BQT62" s="77"/>
      <c r="BVN62" s="77"/>
      <c r="BWA62" s="77"/>
      <c r="CEG62" s="77"/>
      <c r="CEJ62" s="77"/>
      <c r="CJM62" s="77"/>
      <c r="CKX62" s="77"/>
      <c r="CWA62" s="77"/>
      <c r="CWI62" s="77"/>
      <c r="DBZ62" s="77"/>
      <c r="DFO62" s="77"/>
      <c r="DFR62" s="77"/>
      <c r="DGH62" s="77"/>
      <c r="DHH62" s="77"/>
      <c r="DLR62" s="77"/>
      <c r="DNF62" s="77"/>
      <c r="DNJ62" s="77"/>
      <c r="DOM62" s="77"/>
      <c r="DXU62" s="77"/>
      <c r="EAI62" s="77"/>
    </row>
    <row r="63" spans="1:1022 1031:1998 2049:3064 3074:3432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C63" s="77"/>
      <c r="ER63" s="77"/>
      <c r="HU63" s="77"/>
      <c r="IT63" s="77"/>
      <c r="NH63" s="77"/>
      <c r="TR63" s="77"/>
      <c r="VF63" s="77"/>
      <c r="WK63" s="77"/>
      <c r="AGO63" s="77"/>
      <c r="AIV63" s="77"/>
      <c r="AKB63" s="77"/>
      <c r="AKT63" s="77"/>
      <c r="ANT63" s="77"/>
      <c r="AOG63" s="77"/>
      <c r="AOV63" s="77"/>
      <c r="APR63" s="77"/>
      <c r="ATW63" s="77"/>
      <c r="AZY63" s="77"/>
      <c r="BBP63" s="77"/>
      <c r="BDE63" s="77"/>
      <c r="BHL63" s="77"/>
      <c r="BMF63" s="77"/>
      <c r="BPJ63" s="77"/>
      <c r="BQE63" s="77"/>
      <c r="BQT63" s="77"/>
      <c r="BVN63" s="77"/>
      <c r="BWA63" s="77"/>
      <c r="CEG63" s="77"/>
      <c r="CEJ63" s="77"/>
      <c r="CJM63" s="77"/>
      <c r="CKX63" s="77"/>
      <c r="CTS63" s="77"/>
      <c r="CWI63" s="77"/>
      <c r="DFO63" s="77"/>
      <c r="DFR63" s="77"/>
      <c r="DGH63" s="77"/>
      <c r="DHH63" s="77"/>
      <c r="DMF63" s="77"/>
      <c r="DNF63" s="77"/>
      <c r="DNJ63" s="77"/>
      <c r="DOM63" s="77"/>
      <c r="DXA63" s="77"/>
      <c r="DXU63" s="77"/>
      <c r="DZM63" s="77"/>
      <c r="EAI63" s="77"/>
    </row>
    <row r="64" spans="1:1022 1031:1998 2049:3064 3074:3432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C64" s="77"/>
      <c r="ER64" s="77"/>
      <c r="IT64" s="77"/>
      <c r="NH64" s="77"/>
      <c r="TR64" s="77"/>
      <c r="VF64" s="77"/>
      <c r="WK64" s="77"/>
      <c r="AGO64" s="77"/>
      <c r="AIV64" s="77"/>
      <c r="AKB64" s="77"/>
      <c r="AKT64" s="77"/>
      <c r="ANT64" s="77"/>
      <c r="APR64" s="77"/>
      <c r="ATW64" s="77"/>
      <c r="AZY64" s="77"/>
      <c r="BBP64" s="77"/>
      <c r="BDE64" s="77"/>
      <c r="BII64" s="77"/>
      <c r="BMF64" s="77"/>
      <c r="BPJ64" s="77"/>
      <c r="BQE64" s="77"/>
      <c r="BQT64" s="77"/>
      <c r="BVN64" s="77"/>
      <c r="BWA64" s="77"/>
      <c r="CEG64" s="77"/>
      <c r="CEJ64" s="77"/>
      <c r="CRK64" s="77"/>
      <c r="DFO64" s="77"/>
      <c r="DFR64" s="77"/>
      <c r="DGH64" s="77"/>
      <c r="DHH64" s="77"/>
      <c r="DNF64" s="77"/>
      <c r="DNJ64" s="77"/>
      <c r="DOM64" s="77"/>
      <c r="DXA64" s="77"/>
      <c r="DXU64" s="77"/>
      <c r="EAI64" s="77"/>
    </row>
    <row r="65" spans="1:1017 1025:1995 2092:3067 3074:3432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R65" s="77"/>
      <c r="IT65" s="77"/>
      <c r="VF65" s="77"/>
      <c r="WK65" s="77"/>
      <c r="AGO65" s="77"/>
      <c r="AIK65" s="77"/>
      <c r="AIV65" s="77"/>
      <c r="AKB65" s="77"/>
      <c r="AKT65" s="77"/>
      <c r="ANT65" s="77"/>
      <c r="AOG65" s="77"/>
      <c r="APR65" s="77"/>
      <c r="ATW65" s="77"/>
      <c r="AWN65" s="77"/>
      <c r="AZY65" s="77"/>
      <c r="BBP65" s="77"/>
      <c r="BDE65" s="77"/>
      <c r="BHL65" s="77"/>
      <c r="BMF65" s="77"/>
      <c r="BPJ65" s="77"/>
      <c r="BQE65" s="77"/>
      <c r="BVN65" s="77"/>
      <c r="BWA65" s="77"/>
      <c r="CEG65" s="77"/>
      <c r="DFO65" s="77"/>
      <c r="DFR65" s="77"/>
      <c r="DGH65" s="77"/>
      <c r="DHH65" s="77"/>
      <c r="DNF65" s="77"/>
      <c r="DNJ65" s="77"/>
      <c r="DOM65" s="77"/>
      <c r="DQC65" s="77"/>
      <c r="DXA65" s="77"/>
      <c r="DXU65" s="77"/>
    </row>
    <row r="66" spans="1:1017 1025:1995 2092:3067 3074:3432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R66" s="77"/>
      <c r="IT66" s="77"/>
      <c r="NH66" s="77"/>
      <c r="NR66" s="77"/>
      <c r="VF66" s="77"/>
      <c r="WK66" s="77"/>
      <c r="AGO66" s="77"/>
      <c r="AIV66" s="77"/>
      <c r="AKB66" s="77"/>
      <c r="AKT66" s="77"/>
      <c r="ANT66" s="77"/>
      <c r="AOG66" s="77"/>
      <c r="APR66" s="77"/>
      <c r="ATW66" s="77"/>
      <c r="AWN66" s="77"/>
      <c r="AZY66" s="77"/>
      <c r="BBP66" s="77"/>
      <c r="BDE66" s="77"/>
      <c r="BMF66" s="77"/>
      <c r="BPJ66" s="77"/>
      <c r="BQE66" s="77"/>
      <c r="BQT66" s="77"/>
      <c r="BVN66" s="77"/>
      <c r="BWA66" s="77"/>
      <c r="CEG66" s="77"/>
      <c r="DFO66" s="77"/>
      <c r="DFR66" s="77"/>
      <c r="DGH66" s="77"/>
      <c r="DHH66" s="77"/>
      <c r="DNF66" s="77"/>
      <c r="DNJ66" s="77"/>
      <c r="DXA66" s="77"/>
      <c r="DXU66" s="77"/>
    </row>
    <row r="67" spans="1:1017 1025:1995 2092:3067 3074:3432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R67" s="77"/>
      <c r="GD67" s="77"/>
      <c r="HU67" s="77"/>
      <c r="NZ67" s="77"/>
      <c r="TR67" s="77"/>
      <c r="UV67" s="77"/>
      <c r="UY67" s="77"/>
      <c r="XR67" s="77"/>
      <c r="AGO67" s="77"/>
      <c r="AIK67" s="77"/>
      <c r="ART67" s="77"/>
      <c r="AZY67" s="77"/>
      <c r="BDE67" s="77"/>
      <c r="BSJ67" s="77"/>
      <c r="BVM67" s="77"/>
      <c r="BXS67" s="77"/>
      <c r="CEJ67" s="77"/>
      <c r="CEW67" s="77"/>
      <c r="CFP67" s="77"/>
      <c r="CIL67" s="77"/>
      <c r="CJM67" s="77"/>
      <c r="CJW67" s="77"/>
      <c r="CLG67" s="77"/>
      <c r="COX67" s="77"/>
      <c r="DBZ67" s="77"/>
      <c r="DFO67" s="77"/>
      <c r="DFR67" s="77"/>
      <c r="DGH67" s="77"/>
      <c r="DMY67" s="77"/>
      <c r="DXU67" s="77"/>
    </row>
    <row r="68" spans="1:1017 1025:1995 2092:3067 3074:3432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A68" s="77"/>
      <c r="ER68" s="77"/>
      <c r="GD68" s="77"/>
      <c r="HU68" s="77"/>
      <c r="NZ68" s="77"/>
      <c r="TK68" s="77"/>
      <c r="TR68" s="77"/>
      <c r="UV68" s="77"/>
      <c r="UY68" s="77"/>
      <c r="XR68" s="77"/>
      <c r="AGO68" s="77"/>
      <c r="AIK68" s="77"/>
      <c r="ART68" s="77"/>
      <c r="AXF68" s="77"/>
      <c r="AZY68" s="77"/>
      <c r="BDE68" s="77"/>
      <c r="BOM68" s="77"/>
      <c r="BQE68" s="77"/>
      <c r="BSJ68" s="77"/>
      <c r="BVM68" s="77"/>
      <c r="BXS68" s="77"/>
      <c r="CEJ68" s="77"/>
      <c r="CEW68" s="77"/>
      <c r="CFP68" s="77"/>
      <c r="CIM68" s="77"/>
      <c r="CJM68" s="77"/>
      <c r="CJW68" s="77"/>
      <c r="CLG68" s="77"/>
      <c r="COX68" s="77"/>
      <c r="CWI68" s="77"/>
      <c r="CYW68" s="77"/>
      <c r="DBZ68" s="77"/>
      <c r="DCJ68" s="77"/>
      <c r="DFO68" s="77"/>
      <c r="DFR68" s="77"/>
      <c r="DFU68" s="77"/>
      <c r="DGB68" s="77"/>
      <c r="DGH68" s="77"/>
      <c r="DHN68" s="77"/>
      <c r="DLZ68" s="77"/>
      <c r="DMY68" s="77"/>
      <c r="DXU68" s="77"/>
    </row>
    <row r="69" spans="1:1017 1025:1995 2092:3067 3074:3432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R69" s="77"/>
      <c r="GD69" s="77"/>
      <c r="HU69" s="77"/>
      <c r="NZ69" s="77"/>
      <c r="TR69" s="77"/>
      <c r="UY69" s="77"/>
      <c r="XR69" s="77"/>
      <c r="YO69" s="77"/>
      <c r="AGO69" s="77"/>
      <c r="AIK69" s="77"/>
      <c r="AIV69" s="77"/>
      <c r="AZY69" s="77"/>
      <c r="BDE69" s="77"/>
      <c r="BPJ69" s="77"/>
      <c r="BQE69" s="77"/>
      <c r="BSJ69" s="77"/>
      <c r="BVM69" s="77"/>
      <c r="BXS69" s="77"/>
      <c r="CEJ69" s="77"/>
      <c r="CEV69" s="77"/>
      <c r="CFP69" s="77"/>
      <c r="CJM69" s="77"/>
      <c r="CLG69" s="77"/>
      <c r="COX69" s="77"/>
      <c r="CWI69" s="77"/>
      <c r="CYW69" s="77"/>
      <c r="DBZ69" s="77"/>
      <c r="DFO69" s="77"/>
      <c r="DFR69" s="77"/>
      <c r="DGH69" s="77"/>
      <c r="DLZ69" s="77"/>
      <c r="DMY69" s="77"/>
      <c r="DXU69" s="77"/>
    </row>
    <row r="70" spans="1:1017 1025:1995 2092:3067 3074:3432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R70" s="77"/>
      <c r="GD70" s="77"/>
      <c r="HU70" s="77"/>
      <c r="TR70" s="77"/>
      <c r="UY70" s="77"/>
      <c r="XR70" s="77"/>
      <c r="YO70" s="77"/>
      <c r="AGH70" s="77"/>
      <c r="AGO70" s="77"/>
      <c r="AIK70" s="77"/>
      <c r="AIV70" s="77"/>
      <c r="AMY70" s="77"/>
      <c r="AZY70" s="77"/>
      <c r="BDE70" s="77"/>
      <c r="BQE70" s="77"/>
      <c r="BSJ70" s="77"/>
      <c r="BWA70" s="77"/>
      <c r="BXS70" s="77"/>
      <c r="CEJ70" s="77"/>
      <c r="CJM70" s="77"/>
      <c r="CLG70" s="77"/>
      <c r="COX70" s="77"/>
      <c r="CWI70" s="77"/>
      <c r="DBZ70" s="77"/>
      <c r="DFO70" s="77"/>
      <c r="DFR70" s="77"/>
      <c r="DGH70" s="77"/>
      <c r="DLZ70" s="77"/>
      <c r="DMY70" s="77"/>
      <c r="DOP70" s="77"/>
      <c r="DXU70" s="77"/>
    </row>
    <row r="71" spans="1:1017 1025:1995 2092:3067 3074:3432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B71" s="77"/>
      <c r="DV71" s="77"/>
      <c r="ND71" s="77"/>
      <c r="NJ71" s="77"/>
      <c r="SO71" s="77"/>
      <c r="UF71" s="77"/>
      <c r="UK71" s="77"/>
      <c r="WV71" s="77"/>
      <c r="AAW71" s="77"/>
      <c r="AAZ71" s="77"/>
      <c r="ADK71" s="77"/>
      <c r="ADU71" s="77"/>
      <c r="AED71" s="77"/>
      <c r="AEK71" s="77"/>
      <c r="AEX71" s="77"/>
      <c r="AFI71" s="77"/>
      <c r="AFR71" s="77"/>
      <c r="AGK71" s="77"/>
      <c r="ALW71" s="77"/>
      <c r="AMK71" s="77"/>
      <c r="ANW71" s="77"/>
      <c r="BSC71" s="77"/>
      <c r="DKQ71" s="77"/>
      <c r="DQF71" s="77"/>
    </row>
    <row r="72" spans="1:1017 1025:1995 2092:3067 3074:3432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Q72" s="77"/>
      <c r="RE72" s="77"/>
      <c r="RY72" s="77"/>
      <c r="UY72" s="77"/>
      <c r="VF72" s="77"/>
      <c r="VO72" s="77"/>
      <c r="VX72" s="77"/>
      <c r="YO72" s="77"/>
      <c r="ZC72" s="77"/>
      <c r="AAE72" s="77"/>
      <c r="AAZ72" s="77"/>
      <c r="ABF72" s="77"/>
      <c r="AED72" s="77"/>
      <c r="AEN72" s="77"/>
      <c r="AEZ72" s="77"/>
      <c r="AIV72" s="77"/>
      <c r="ARY72" s="77"/>
      <c r="ASM72" s="77"/>
      <c r="BAT72" s="77"/>
      <c r="BFZ72" s="77"/>
      <c r="BJA72" s="77"/>
      <c r="BNL72" s="77"/>
      <c r="BVZ72" s="77"/>
      <c r="BWC72" s="77"/>
      <c r="BXF72" s="77"/>
      <c r="CBL72" s="77"/>
      <c r="CBW72" s="77"/>
      <c r="CYC72" s="77"/>
      <c r="DAO72" s="77"/>
      <c r="DGB72" s="77"/>
      <c r="DJO72" s="77"/>
      <c r="DSN72" s="77"/>
    </row>
    <row r="73" spans="1:1017 1025:1995 2092:3067 3074:3432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2" t="e">
        <f>#REF!</f>
        <v>#REF!</v>
      </c>
      <c r="AL73" s="2" t="e">
        <f>#REF!</f>
        <v>#REF!</v>
      </c>
      <c r="AM73" s="2" t="e">
        <f>#REF!</f>
        <v>#REF!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F73" s="77"/>
      <c r="NE73" s="77"/>
      <c r="TM73" s="77"/>
      <c r="TW73" s="77"/>
      <c r="UD73" s="77"/>
      <c r="WS73" s="77"/>
      <c r="YG73" s="77"/>
      <c r="AEY73" s="77"/>
      <c r="AJX73" s="77"/>
      <c r="AMC73" s="77"/>
      <c r="ASV73" s="77"/>
      <c r="BEH73" s="77"/>
      <c r="BJL73" s="77"/>
      <c r="BLB73" s="77"/>
      <c r="BLT73" s="77"/>
      <c r="BRB73" s="77"/>
      <c r="BXH73" s="77"/>
      <c r="CBO73" s="77"/>
      <c r="CMB73" s="77"/>
      <c r="CPB73" s="77"/>
      <c r="CUQ73" s="77"/>
      <c r="CWH73" s="77"/>
      <c r="CWM73" s="77"/>
      <c r="CXO73" s="77"/>
      <c r="DGE73" s="77"/>
      <c r="DIK73" s="77"/>
      <c r="DLC73" s="77"/>
      <c r="DMB73" s="77"/>
      <c r="DMG73" s="77"/>
      <c r="DQF73" s="77"/>
      <c r="EAZ73" s="77"/>
    </row>
    <row r="74" spans="1:1017 1025:1995 2092:3067 3074:3432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2" t="e">
        <f>#REF!</f>
        <v>#REF!</v>
      </c>
      <c r="AL74" s="2" t="e">
        <f>#REF!</f>
        <v>#REF!</v>
      </c>
      <c r="AM74" s="2" t="e">
        <f>#REF!</f>
        <v>#REF!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F74" s="77"/>
      <c r="NE74" s="77"/>
      <c r="TM74" s="77"/>
      <c r="TW74" s="77"/>
      <c r="UD74" s="77"/>
      <c r="WS74" s="77"/>
      <c r="YG74" s="77"/>
      <c r="AEY74" s="77"/>
      <c r="AJX74" s="77"/>
      <c r="AMC74" s="77"/>
      <c r="ASV74" s="77"/>
      <c r="BEH74" s="77"/>
      <c r="BJL74" s="77"/>
      <c r="BLB74" s="77"/>
      <c r="BLT74" s="77"/>
      <c r="BRB74" s="77"/>
      <c r="BXH74" s="77"/>
      <c r="CBO74" s="77"/>
      <c r="CMB74" s="77"/>
      <c r="CPB74" s="77"/>
      <c r="CUQ74" s="77"/>
      <c r="CWH74" s="77"/>
      <c r="CWM74" s="77"/>
      <c r="CXO74" s="77"/>
      <c r="DGE74" s="77"/>
      <c r="DIK74" s="77"/>
      <c r="DLC74" s="77"/>
      <c r="DMB74" s="77"/>
      <c r="DMG74" s="77"/>
      <c r="DQF74" s="77"/>
      <c r="EAZ74" s="77"/>
    </row>
    <row r="75" spans="1:1017 1025:1995 2092:3067 3074:3432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2" t="e">
        <f>#REF!</f>
        <v>#REF!</v>
      </c>
      <c r="AL75" s="2" t="e">
        <f>#REF!</f>
        <v>#REF!</v>
      </c>
      <c r="AM75" s="2" t="e">
        <f>#REF!</f>
        <v>#REF!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F75" s="77"/>
      <c r="NE75" s="77"/>
      <c r="TM75" s="77"/>
      <c r="TW75" s="77"/>
      <c r="UD75" s="77"/>
      <c r="WS75" s="77"/>
      <c r="YG75" s="77"/>
      <c r="AEY75" s="77"/>
      <c r="AJX75" s="77"/>
      <c r="AMC75" s="77"/>
      <c r="ASV75" s="77"/>
      <c r="BEH75" s="77"/>
      <c r="BJL75" s="77"/>
      <c r="BLB75" s="77"/>
      <c r="BLT75" s="77"/>
      <c r="BRB75" s="77"/>
      <c r="BXH75" s="77"/>
      <c r="CBO75" s="77"/>
      <c r="CMB75" s="77"/>
      <c r="CPB75" s="77"/>
      <c r="CUQ75" s="77"/>
      <c r="CWH75" s="77"/>
      <c r="CWM75" s="77"/>
      <c r="CXO75" s="77"/>
      <c r="DGE75" s="77"/>
      <c r="DIK75" s="77"/>
      <c r="DLC75" s="77"/>
      <c r="DMB75" s="77"/>
      <c r="DMG75" s="77"/>
      <c r="DQF75" s="77"/>
      <c r="EAZ75" s="77"/>
    </row>
    <row r="76" spans="1:1017 1025:1995 2092:3067 3074:3432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F76" s="77"/>
      <c r="NE76" s="77"/>
      <c r="TM76" s="77"/>
      <c r="TW76" s="77"/>
      <c r="UD76" s="77"/>
      <c r="WS76" s="77"/>
      <c r="YG76" s="77"/>
      <c r="AEY76" s="77"/>
      <c r="AJX76" s="77"/>
      <c r="AMC76" s="77"/>
      <c r="ASV76" s="77"/>
      <c r="BEH76" s="77"/>
      <c r="BJL76" s="77"/>
      <c r="BLB76" s="77"/>
      <c r="BLT76" s="77"/>
      <c r="BRB76" s="77"/>
      <c r="BXH76" s="77"/>
      <c r="CBO76" s="77"/>
      <c r="CMB76" s="77"/>
      <c r="CPB76" s="77"/>
      <c r="CUQ76" s="77"/>
      <c r="CWH76" s="77"/>
      <c r="CWM76" s="77"/>
      <c r="CXO76" s="77"/>
      <c r="DGE76" s="77"/>
      <c r="DIK76" s="77"/>
      <c r="DLC76" s="77"/>
      <c r="DMB76" s="77"/>
      <c r="DMG76" s="77"/>
      <c r="DQF76" s="77"/>
      <c r="EAZ76" s="77"/>
    </row>
    <row r="77" spans="1:1017 1025:1995 2092:3067 3074:3432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2" t="e">
        <f>#REF!</f>
        <v>#REF!</v>
      </c>
      <c r="AL77" s="2" t="e">
        <f>#REF!</f>
        <v>#REF!</v>
      </c>
      <c r="AM77" s="2" t="e">
        <f>#REF!</f>
        <v>#REF!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17 1025:1995 2092:3067 3074:3432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2" t="e">
        <f>#REF!</f>
        <v>#REF!</v>
      </c>
      <c r="AL78" s="2" t="e">
        <f>#REF!</f>
        <v>#REF!</v>
      </c>
      <c r="AM78" s="2" t="e">
        <f>#REF!</f>
        <v>#REF!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17 1025:1995 2092:3067 3074:3432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2" t="e">
        <f>#REF!</f>
        <v>#REF!</v>
      </c>
      <c r="AL79" s="2" t="e">
        <f>#REF!</f>
        <v>#REF!</v>
      </c>
      <c r="AM79" s="2" t="e">
        <f>#REF!</f>
        <v>#REF!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17 1025:1995 2092:3067 3074:3432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2" t="e">
        <f>#REF!</f>
        <v>#REF!</v>
      </c>
      <c r="AL80" s="2" t="e">
        <f>#REF!</f>
        <v>#REF!</v>
      </c>
      <c r="AM80" s="2" t="e">
        <f>#REF!</f>
        <v>#REF!</v>
      </c>
      <c r="AN80" s="2" t="e">
        <f>#REF!</f>
        <v>#REF!</v>
      </c>
      <c r="AO80" s="2" t="e">
        <f>#REF!</f>
        <v>#REF!</v>
      </c>
      <c r="AP80" s="2" t="e">
        <f>#REF!</f>
        <v>#REF!</v>
      </c>
      <c r="AQ80" s="2" t="e">
        <f>#REF!</f>
        <v>#REF!</v>
      </c>
      <c r="AR80" s="2" t="e">
        <f>#REF!</f>
        <v>#REF!</v>
      </c>
      <c r="AS80" s="2" t="e">
        <f>#REF!</f>
        <v>#REF!</v>
      </c>
      <c r="AT80" s="2" t="e">
        <f>#REF!</f>
        <v>#REF!</v>
      </c>
      <c r="AU80" s="2" t="e">
        <f>#REF!</f>
        <v>#REF!</v>
      </c>
      <c r="AV80" s="2" t="e">
        <f>#REF!</f>
        <v>#REF!</v>
      </c>
      <c r="AW80" s="2" t="e">
        <f>#REF!</f>
        <v>#REF!</v>
      </c>
      <c r="AX80" s="2" t="e">
        <f>#REF!</f>
        <v>#REF!</v>
      </c>
      <c r="AY80" s="2" t="e">
        <f>#REF!</f>
        <v>#REF!</v>
      </c>
      <c r="AZ80" s="2" t="e">
        <f>#REF!</f>
        <v>#REF!</v>
      </c>
      <c r="BA80" s="2" t="e">
        <f>#REF!</f>
        <v>#REF!</v>
      </c>
      <c r="BB80" s="2" t="e">
        <f>#REF!</f>
        <v>#REF!</v>
      </c>
      <c r="BC80" s="2" t="e">
        <f>#REF!</f>
        <v>#REF!</v>
      </c>
      <c r="BD80" s="2" t="e">
        <f>#REF!</f>
        <v>#REF!</v>
      </c>
      <c r="BE80" s="2" t="e">
        <f>#REF!</f>
        <v>#REF!</v>
      </c>
      <c r="BF80" s="2" t="e">
        <f>#REF!</f>
        <v>#REF!</v>
      </c>
      <c r="BG80" s="2" t="e">
        <f>#REF!</f>
        <v>#REF!</v>
      </c>
      <c r="BH80" s="2" t="e">
        <f>#REF!</f>
        <v>#REF!</v>
      </c>
      <c r="BI80" s="2" t="e">
        <f>#REF!</f>
        <v>#REF!</v>
      </c>
      <c r="BJ80" s="2" t="e">
        <f>#REF!</f>
        <v>#REF!</v>
      </c>
      <c r="BK80" s="2" t="e">
        <f>#REF!</f>
        <v>#REF!</v>
      </c>
      <c r="BL80" s="2" t="e">
        <f>#REF!</f>
        <v>#REF!</v>
      </c>
      <c r="BM80" s="2" t="e">
        <f>#REF!</f>
        <v>#REF!</v>
      </c>
      <c r="BN80" s="2" t="e">
        <f>#REF!</f>
        <v>#REF!</v>
      </c>
      <c r="BO80" s="2" t="e">
        <f>#REF!</f>
        <v>#REF!</v>
      </c>
      <c r="BP80" s="2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17 1025:1995 2092:3067 3110:3432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2" t="e">
        <f>#REF!</f>
        <v>#REF!</v>
      </c>
      <c r="AL81" s="2" t="e">
        <f>#REF!</f>
        <v>#REF!</v>
      </c>
      <c r="AM81" s="2" t="e">
        <f>#REF!</f>
        <v>#REF!</v>
      </c>
      <c r="AN81" s="2" t="e">
        <f>#REF!</f>
        <v>#REF!</v>
      </c>
      <c r="AO81" s="2" t="e">
        <f>#REF!</f>
        <v>#REF!</v>
      </c>
      <c r="AP81" s="2" t="e">
        <f>#REF!</f>
        <v>#REF!</v>
      </c>
      <c r="AQ81" s="2" t="e">
        <f>#REF!</f>
        <v>#REF!</v>
      </c>
      <c r="AR81" s="2" t="e">
        <f>#REF!</f>
        <v>#REF!</v>
      </c>
      <c r="AS81" s="2" t="e">
        <f>#REF!</f>
        <v>#REF!</v>
      </c>
      <c r="AT81" s="2" t="e">
        <f>#REF!</f>
        <v>#REF!</v>
      </c>
      <c r="AU81" s="2" t="e">
        <f>#REF!</f>
        <v>#REF!</v>
      </c>
      <c r="AV81" s="2" t="e">
        <f>#REF!</f>
        <v>#REF!</v>
      </c>
      <c r="AW81" s="2" t="e">
        <f>#REF!</f>
        <v>#REF!</v>
      </c>
      <c r="AX81" s="2" t="e">
        <f>#REF!</f>
        <v>#REF!</v>
      </c>
      <c r="AY81" s="2" t="e">
        <f>#REF!</f>
        <v>#REF!</v>
      </c>
      <c r="AZ81" s="2" t="e">
        <f>#REF!</f>
        <v>#REF!</v>
      </c>
      <c r="BA81" s="2" t="e">
        <f>#REF!</f>
        <v>#REF!</v>
      </c>
      <c r="BB81" s="2" t="e">
        <f>#REF!</f>
        <v>#REF!</v>
      </c>
      <c r="BC81" s="2" t="e">
        <f>#REF!</f>
        <v>#REF!</v>
      </c>
      <c r="BD81" s="2" t="e">
        <f>#REF!</f>
        <v>#REF!</v>
      </c>
      <c r="BE81" s="2" t="e">
        <f>#REF!</f>
        <v>#REF!</v>
      </c>
      <c r="BF81" s="2" t="e">
        <f>#REF!</f>
        <v>#REF!</v>
      </c>
      <c r="BG81" s="2" t="e">
        <f>#REF!</f>
        <v>#REF!</v>
      </c>
      <c r="BH81" s="2" t="e">
        <f>#REF!</f>
        <v>#REF!</v>
      </c>
      <c r="BI81" s="2" t="e">
        <f>#REF!</f>
        <v>#REF!</v>
      </c>
      <c r="BJ81" s="2" t="e">
        <f>#REF!</f>
        <v>#REF!</v>
      </c>
      <c r="BK81" s="2" t="e">
        <f>#REF!</f>
        <v>#REF!</v>
      </c>
      <c r="BL81" s="2" t="e">
        <f>#REF!</f>
        <v>#REF!</v>
      </c>
      <c r="BM81" s="2" t="e">
        <f>#REF!</f>
        <v>#REF!</v>
      </c>
      <c r="BN81" s="2" t="e">
        <f>#REF!</f>
        <v>#REF!</v>
      </c>
      <c r="BO81" s="2" t="e">
        <f>#REF!</f>
        <v>#REF!</v>
      </c>
      <c r="BP81" s="2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17 1025:1995 2092:3067 3110:3432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2" t="e">
        <f>#REF!</f>
        <v>#REF!</v>
      </c>
      <c r="AO82" s="2" t="e">
        <f>#REF!</f>
        <v>#REF!</v>
      </c>
      <c r="AP82" s="2" t="e">
        <f>#REF!</f>
        <v>#REF!</v>
      </c>
      <c r="AQ82" s="2" t="e">
        <f>#REF!</f>
        <v>#REF!</v>
      </c>
      <c r="AR82" s="2" t="e">
        <f>#REF!</f>
        <v>#REF!</v>
      </c>
      <c r="AS82" s="2" t="e">
        <f>#REF!</f>
        <v>#REF!</v>
      </c>
      <c r="AT82" s="2" t="e">
        <f>#REF!</f>
        <v>#REF!</v>
      </c>
      <c r="AU82" s="2" t="e">
        <f>#REF!</f>
        <v>#REF!</v>
      </c>
      <c r="AV82" s="2" t="e">
        <f>#REF!</f>
        <v>#REF!</v>
      </c>
      <c r="AW82" s="2" t="e">
        <f>#REF!</f>
        <v>#REF!</v>
      </c>
      <c r="AX82" s="2" t="e">
        <f>#REF!</f>
        <v>#REF!</v>
      </c>
      <c r="AY82" s="2" t="e">
        <f>#REF!</f>
        <v>#REF!</v>
      </c>
      <c r="AZ82" s="2" t="e">
        <f>#REF!</f>
        <v>#REF!</v>
      </c>
      <c r="BA82" s="2" t="e">
        <f>#REF!</f>
        <v>#REF!</v>
      </c>
      <c r="BB82" s="2" t="e">
        <f>#REF!</f>
        <v>#REF!</v>
      </c>
      <c r="BC82" s="2" t="e">
        <f>#REF!</f>
        <v>#REF!</v>
      </c>
      <c r="BD82" s="2" t="e">
        <f>#REF!</f>
        <v>#REF!</v>
      </c>
      <c r="BE82" s="2" t="e">
        <f>#REF!</f>
        <v>#REF!</v>
      </c>
      <c r="BF82" s="2" t="e">
        <f>#REF!</f>
        <v>#REF!</v>
      </c>
      <c r="BG82" s="2" t="e">
        <f>#REF!</f>
        <v>#REF!</v>
      </c>
      <c r="BH82" s="2" t="e">
        <f>#REF!</f>
        <v>#REF!</v>
      </c>
      <c r="BI82" s="2" t="e">
        <f>#REF!</f>
        <v>#REF!</v>
      </c>
      <c r="BJ82" s="2" t="e">
        <f>#REF!</f>
        <v>#REF!</v>
      </c>
      <c r="BK82" s="2" t="e">
        <f>#REF!</f>
        <v>#REF!</v>
      </c>
      <c r="BL82" s="2" t="e">
        <f>#REF!</f>
        <v>#REF!</v>
      </c>
      <c r="BM82" s="2" t="e">
        <f>#REF!</f>
        <v>#REF!</v>
      </c>
      <c r="BN82" s="2" t="e">
        <f>#REF!</f>
        <v>#REF!</v>
      </c>
      <c r="BO82" s="2" t="e">
        <f>#REF!</f>
        <v>#REF!</v>
      </c>
      <c r="BP82" s="2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R82" s="77"/>
      <c r="GD82" s="77"/>
      <c r="HU82" s="77"/>
      <c r="NZ82" s="77"/>
      <c r="TR82" s="77"/>
      <c r="UV82" s="77"/>
      <c r="UY82" s="77"/>
      <c r="XR82" s="77"/>
      <c r="AGO82" s="77"/>
      <c r="AIK82" s="77"/>
      <c r="ART82" s="77"/>
      <c r="AZY82" s="77"/>
      <c r="BDE82" s="77"/>
      <c r="BSJ82" s="77"/>
      <c r="BVM82" s="77"/>
      <c r="BXS82" s="77"/>
      <c r="CEJ82" s="77"/>
      <c r="CEW82" s="77"/>
      <c r="CFP82" s="77"/>
      <c r="CIL82" s="77"/>
      <c r="CJM82" s="77"/>
      <c r="CJW82" s="77"/>
      <c r="CLG82" s="77"/>
      <c r="COX82" s="77"/>
      <c r="DBZ82" s="77"/>
      <c r="DFO82" s="77"/>
      <c r="DFR82" s="77"/>
      <c r="DGH82" s="77"/>
      <c r="DMY82" s="77"/>
      <c r="DXU82" s="77"/>
    </row>
    <row r="83" spans="1:1017 1025:1995 2092:3067 3110:3432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2" t="e">
        <f>#REF!</f>
        <v>#REF!</v>
      </c>
      <c r="AO83" s="2" t="e">
        <f>#REF!</f>
        <v>#REF!</v>
      </c>
      <c r="AP83" s="2" t="e">
        <f>#REF!</f>
        <v>#REF!</v>
      </c>
      <c r="AQ83" s="2" t="e">
        <f>#REF!</f>
        <v>#REF!</v>
      </c>
      <c r="AR83" s="2" t="e">
        <f>#REF!</f>
        <v>#REF!</v>
      </c>
      <c r="AS83" s="2" t="e">
        <f>#REF!</f>
        <v>#REF!</v>
      </c>
      <c r="AT83" s="2" t="e">
        <f>#REF!</f>
        <v>#REF!</v>
      </c>
      <c r="AU83" s="2" t="e">
        <f>#REF!</f>
        <v>#REF!</v>
      </c>
      <c r="AV83" s="2" t="e">
        <f>#REF!</f>
        <v>#REF!</v>
      </c>
      <c r="AW83" s="2" t="e">
        <f>#REF!</f>
        <v>#REF!</v>
      </c>
      <c r="AX83" s="2" t="e">
        <f>#REF!</f>
        <v>#REF!</v>
      </c>
      <c r="AY83" s="2" t="e">
        <f>#REF!</f>
        <v>#REF!</v>
      </c>
      <c r="AZ83" s="2" t="e">
        <f>#REF!</f>
        <v>#REF!</v>
      </c>
      <c r="BA83" s="2" t="e">
        <f>#REF!</f>
        <v>#REF!</v>
      </c>
      <c r="BB83" s="2" t="e">
        <f>#REF!</f>
        <v>#REF!</v>
      </c>
      <c r="BC83" s="2" t="e">
        <f>#REF!</f>
        <v>#REF!</v>
      </c>
      <c r="BD83" s="2" t="e">
        <f>#REF!</f>
        <v>#REF!</v>
      </c>
      <c r="BE83" s="2" t="e">
        <f>#REF!</f>
        <v>#REF!</v>
      </c>
      <c r="BF83" s="2" t="e">
        <f>#REF!</f>
        <v>#REF!</v>
      </c>
      <c r="BG83" s="2" t="e">
        <f>#REF!</f>
        <v>#REF!</v>
      </c>
      <c r="BH83" s="2" t="e">
        <f>#REF!</f>
        <v>#REF!</v>
      </c>
      <c r="BI83" s="2" t="e">
        <f>#REF!</f>
        <v>#REF!</v>
      </c>
      <c r="BJ83" s="2" t="e">
        <f>#REF!</f>
        <v>#REF!</v>
      </c>
      <c r="BK83" s="2" t="e">
        <f>#REF!</f>
        <v>#REF!</v>
      </c>
      <c r="BL83" s="2" t="e">
        <f>#REF!</f>
        <v>#REF!</v>
      </c>
      <c r="BM83" s="2" t="e">
        <f>#REF!</f>
        <v>#REF!</v>
      </c>
      <c r="BN83" s="2" t="e">
        <f>#REF!</f>
        <v>#REF!</v>
      </c>
      <c r="BO83" s="2" t="e">
        <f>#REF!</f>
        <v>#REF!</v>
      </c>
      <c r="BP83" s="2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A83" s="77"/>
      <c r="ER83" s="77"/>
      <c r="GD83" s="77"/>
      <c r="HU83" s="77"/>
      <c r="NZ83" s="77"/>
      <c r="TK83" s="77"/>
      <c r="TR83" s="77"/>
      <c r="UV83" s="77"/>
      <c r="UY83" s="77"/>
      <c r="XR83" s="77"/>
      <c r="AGO83" s="77"/>
      <c r="AIK83" s="77"/>
      <c r="ART83" s="77"/>
      <c r="AXF83" s="77"/>
      <c r="AZY83" s="77"/>
      <c r="BDE83" s="77"/>
      <c r="BOM83" s="77"/>
      <c r="BQE83" s="77"/>
      <c r="BSJ83" s="77"/>
      <c r="BVM83" s="77"/>
      <c r="BXS83" s="77"/>
      <c r="CEJ83" s="77"/>
      <c r="CEW83" s="77"/>
      <c r="CFP83" s="77"/>
      <c r="CIM83" s="77"/>
      <c r="CJM83" s="77"/>
      <c r="CJW83" s="77"/>
      <c r="CLG83" s="77"/>
      <c r="COX83" s="77"/>
      <c r="CWI83" s="77"/>
      <c r="CYW83" s="77"/>
      <c r="DBZ83" s="77"/>
      <c r="DCJ83" s="77"/>
      <c r="DFO83" s="77"/>
      <c r="DFR83" s="77"/>
      <c r="DFU83" s="77"/>
      <c r="DGB83" s="77"/>
      <c r="DGH83" s="77"/>
      <c r="DHN83" s="77"/>
      <c r="DLZ83" s="77"/>
      <c r="DMY83" s="77"/>
      <c r="DXU83" s="77"/>
    </row>
    <row r="84" spans="1:1017 1025:1995 2092:3067 3110:3432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2" t="e">
        <f>#REF!</f>
        <v>#REF!</v>
      </c>
      <c r="AO84" s="2" t="e">
        <f>#REF!</f>
        <v>#REF!</v>
      </c>
      <c r="AP84" s="2" t="e">
        <f>#REF!</f>
        <v>#REF!</v>
      </c>
      <c r="AQ84" s="2" t="e">
        <f>#REF!</f>
        <v>#REF!</v>
      </c>
      <c r="AR84" s="2" t="e">
        <f>#REF!</f>
        <v>#REF!</v>
      </c>
      <c r="AS84" s="2" t="e">
        <f>#REF!</f>
        <v>#REF!</v>
      </c>
      <c r="AT84" s="2" t="e">
        <f>#REF!</f>
        <v>#REF!</v>
      </c>
      <c r="AU84" s="2" t="e">
        <f>#REF!</f>
        <v>#REF!</v>
      </c>
      <c r="AV84" s="2" t="e">
        <f>#REF!</f>
        <v>#REF!</v>
      </c>
      <c r="AW84" s="2" t="e">
        <f>#REF!</f>
        <v>#REF!</v>
      </c>
      <c r="AX84" s="2" t="e">
        <f>#REF!</f>
        <v>#REF!</v>
      </c>
      <c r="AY84" s="2" t="e">
        <f>#REF!</f>
        <v>#REF!</v>
      </c>
      <c r="AZ84" s="2" t="e">
        <f>#REF!</f>
        <v>#REF!</v>
      </c>
      <c r="BA84" s="2" t="e">
        <f>#REF!</f>
        <v>#REF!</v>
      </c>
      <c r="BB84" s="2" t="e">
        <f>#REF!</f>
        <v>#REF!</v>
      </c>
      <c r="BC84" s="2" t="e">
        <f>#REF!</f>
        <v>#REF!</v>
      </c>
      <c r="BD84" s="2" t="e">
        <f>#REF!</f>
        <v>#REF!</v>
      </c>
      <c r="BE84" s="2" t="e">
        <f>#REF!</f>
        <v>#REF!</v>
      </c>
      <c r="BF84" s="2" t="e">
        <f>#REF!</f>
        <v>#REF!</v>
      </c>
      <c r="BG84" s="2" t="e">
        <f>#REF!</f>
        <v>#REF!</v>
      </c>
      <c r="BH84" s="2" t="e">
        <f>#REF!</f>
        <v>#REF!</v>
      </c>
      <c r="BI84" s="2" t="e">
        <f>#REF!</f>
        <v>#REF!</v>
      </c>
      <c r="BJ84" s="2" t="e">
        <f>#REF!</f>
        <v>#REF!</v>
      </c>
      <c r="BK84" s="2" t="e">
        <f>#REF!</f>
        <v>#REF!</v>
      </c>
      <c r="BL84" s="2" t="e">
        <f>#REF!</f>
        <v>#REF!</v>
      </c>
      <c r="BM84" s="2" t="e">
        <f>#REF!</f>
        <v>#REF!</v>
      </c>
      <c r="BN84" s="2" t="e">
        <f>#REF!</f>
        <v>#REF!</v>
      </c>
      <c r="BO84" s="2" t="e">
        <f>#REF!</f>
        <v>#REF!</v>
      </c>
      <c r="BP84" s="2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R84" s="77"/>
      <c r="GD84" s="77"/>
      <c r="HU84" s="77"/>
      <c r="NZ84" s="77"/>
      <c r="TR84" s="77"/>
      <c r="UY84" s="77"/>
      <c r="XR84" s="77"/>
      <c r="YO84" s="77"/>
      <c r="AGO84" s="77"/>
      <c r="AIK84" s="77"/>
      <c r="AIV84" s="77"/>
      <c r="AZY84" s="77"/>
      <c r="BDE84" s="77"/>
      <c r="BPJ84" s="77"/>
      <c r="BQE84" s="77"/>
      <c r="BSJ84" s="77"/>
      <c r="BVM84" s="77"/>
      <c r="BXS84" s="77"/>
      <c r="CEJ84" s="77"/>
      <c r="CEV84" s="77"/>
      <c r="CFP84" s="77"/>
      <c r="CJM84" s="77"/>
      <c r="CLG84" s="77"/>
      <c r="COX84" s="77"/>
      <c r="CWI84" s="77"/>
      <c r="CYW84" s="77"/>
      <c r="DBZ84" s="77"/>
      <c r="DFO84" s="77"/>
      <c r="DFR84" s="77"/>
      <c r="DGH84" s="77"/>
      <c r="DLZ84" s="77"/>
      <c r="DMY84" s="77"/>
      <c r="DXU84" s="77"/>
    </row>
    <row r="85" spans="1:1017 1025:1995 2092:3067 3110:3432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2" t="e">
        <f>#REF!</f>
        <v>#REF!</v>
      </c>
      <c r="AO85" s="2" t="e">
        <f>#REF!</f>
        <v>#REF!</v>
      </c>
      <c r="AP85" s="2" t="e">
        <f>#REF!</f>
        <v>#REF!</v>
      </c>
      <c r="AQ85" s="2" t="e">
        <f>#REF!</f>
        <v>#REF!</v>
      </c>
      <c r="AR85" s="2" t="e">
        <f>#REF!</f>
        <v>#REF!</v>
      </c>
      <c r="AS85" s="2" t="e">
        <f>#REF!</f>
        <v>#REF!</v>
      </c>
      <c r="AT85" s="2" t="e">
        <f>#REF!</f>
        <v>#REF!</v>
      </c>
      <c r="AU85" s="2" t="e">
        <f>#REF!</f>
        <v>#REF!</v>
      </c>
      <c r="AV85" s="2" t="e">
        <f>#REF!</f>
        <v>#REF!</v>
      </c>
      <c r="AW85" s="2" t="e">
        <f>#REF!</f>
        <v>#REF!</v>
      </c>
      <c r="AX85" s="2" t="e">
        <f>#REF!</f>
        <v>#REF!</v>
      </c>
      <c r="AY85" s="2" t="e">
        <f>#REF!</f>
        <v>#REF!</v>
      </c>
      <c r="AZ85" s="2" t="e">
        <f>#REF!</f>
        <v>#REF!</v>
      </c>
      <c r="BA85" s="2" t="e">
        <f>#REF!</f>
        <v>#REF!</v>
      </c>
      <c r="BB85" s="2" t="e">
        <f>#REF!</f>
        <v>#REF!</v>
      </c>
      <c r="BC85" s="2" t="e">
        <f>#REF!</f>
        <v>#REF!</v>
      </c>
      <c r="BD85" s="2" t="e">
        <f>#REF!</f>
        <v>#REF!</v>
      </c>
      <c r="BE85" s="2" t="e">
        <f>#REF!</f>
        <v>#REF!</v>
      </c>
      <c r="BF85" s="2" t="e">
        <f>#REF!</f>
        <v>#REF!</v>
      </c>
      <c r="BG85" s="2" t="e">
        <f>#REF!</f>
        <v>#REF!</v>
      </c>
      <c r="BH85" s="2" t="e">
        <f>#REF!</f>
        <v>#REF!</v>
      </c>
      <c r="BI85" s="2" t="e">
        <f>#REF!</f>
        <v>#REF!</v>
      </c>
      <c r="BJ85" s="2" t="e">
        <f>#REF!</f>
        <v>#REF!</v>
      </c>
      <c r="BK85" s="2" t="e">
        <f>#REF!</f>
        <v>#REF!</v>
      </c>
      <c r="BL85" s="2" t="e">
        <f>#REF!</f>
        <v>#REF!</v>
      </c>
      <c r="BM85" s="2" t="e">
        <f>#REF!</f>
        <v>#REF!</v>
      </c>
      <c r="BN85" s="2" t="e">
        <f>#REF!</f>
        <v>#REF!</v>
      </c>
      <c r="BO85" s="2" t="e">
        <f>#REF!</f>
        <v>#REF!</v>
      </c>
      <c r="BP85" s="2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R85" s="77"/>
      <c r="GD85" s="77"/>
      <c r="HU85" s="77"/>
      <c r="TR85" s="77"/>
      <c r="UY85" s="77"/>
      <c r="XR85" s="77"/>
      <c r="YO85" s="77"/>
      <c r="AGH85" s="77"/>
      <c r="AGO85" s="77"/>
      <c r="AIK85" s="77"/>
      <c r="AIV85" s="77"/>
      <c r="AMY85" s="77"/>
      <c r="AZY85" s="77"/>
      <c r="BDE85" s="77"/>
      <c r="BQE85" s="77"/>
      <c r="BSJ85" s="77"/>
      <c r="BWA85" s="77"/>
      <c r="BXS85" s="77"/>
      <c r="CEJ85" s="77"/>
      <c r="CJM85" s="77"/>
      <c r="CLG85" s="77"/>
      <c r="COX85" s="77"/>
      <c r="CWI85" s="77"/>
      <c r="DBZ85" s="77"/>
      <c r="DFO85" s="77"/>
      <c r="DFR85" s="77"/>
      <c r="DGH85" s="77"/>
      <c r="DLZ85" s="77"/>
      <c r="DMY85" s="77"/>
      <c r="DOP85" s="77"/>
      <c r="DXU85" s="77"/>
    </row>
    <row r="86" spans="1:1017 1025:1995 2092:3067 3110:3432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B86" s="77"/>
      <c r="DV86" s="77"/>
      <c r="ND86" s="77"/>
      <c r="NJ86" s="77"/>
      <c r="SO86" s="77"/>
      <c r="UF86" s="77"/>
      <c r="UK86" s="77"/>
      <c r="WV86" s="77"/>
      <c r="AAW86" s="77"/>
      <c r="AAZ86" s="77"/>
      <c r="ADK86" s="77"/>
      <c r="ADU86" s="77"/>
      <c r="AED86" s="77"/>
      <c r="AEK86" s="77"/>
      <c r="AEX86" s="77"/>
      <c r="AFI86" s="77"/>
      <c r="AFR86" s="77"/>
      <c r="AGK86" s="77"/>
      <c r="ALW86" s="77"/>
      <c r="AMK86" s="77"/>
      <c r="ANW86" s="77"/>
      <c r="BSC86" s="77"/>
      <c r="DKQ86" s="77"/>
      <c r="DQF86" s="77"/>
    </row>
    <row r="87" spans="1:1017 1025:1995 2092:3067 3110:3432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Q87" s="77"/>
      <c r="RE87" s="77"/>
      <c r="RY87" s="77"/>
      <c r="UY87" s="77"/>
      <c r="VF87" s="77"/>
      <c r="VO87" s="77"/>
      <c r="VX87" s="77"/>
      <c r="YO87" s="77"/>
      <c r="ZC87" s="77"/>
      <c r="AAE87" s="77"/>
      <c r="AAZ87" s="77"/>
      <c r="ABF87" s="77"/>
      <c r="AED87" s="77"/>
      <c r="AEN87" s="77"/>
      <c r="AEZ87" s="77"/>
      <c r="AIV87" s="77"/>
      <c r="ARY87" s="77"/>
      <c r="ASM87" s="77"/>
      <c r="BAT87" s="77"/>
      <c r="BFZ87" s="77"/>
      <c r="BJA87" s="77"/>
      <c r="BNL87" s="77"/>
      <c r="BVZ87" s="77"/>
      <c r="BWC87" s="77"/>
      <c r="BXF87" s="77"/>
      <c r="CBL87" s="77"/>
      <c r="CBW87" s="77"/>
      <c r="CYC87" s="77"/>
      <c r="DAO87" s="77"/>
      <c r="DGB87" s="77"/>
      <c r="DJO87" s="77"/>
      <c r="DSN87" s="77"/>
    </row>
    <row r="88" spans="1:1017 1025:1995 2092:3067 3110:3432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2" t="e">
        <f>#REF!</f>
        <v>#REF!</v>
      </c>
      <c r="AL88" s="2" t="e">
        <f>#REF!</f>
        <v>#REF!</v>
      </c>
      <c r="AM88" s="2" t="e">
        <f>#REF!</f>
        <v>#REF!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F88" s="77"/>
      <c r="NE88" s="77"/>
      <c r="TM88" s="77"/>
      <c r="TW88" s="77"/>
      <c r="UD88" s="77"/>
      <c r="WS88" s="77"/>
      <c r="YG88" s="77"/>
      <c r="AEY88" s="77"/>
      <c r="AJX88" s="77"/>
      <c r="AMC88" s="77"/>
      <c r="ASV88" s="77"/>
      <c r="BEH88" s="77"/>
      <c r="BJL88" s="77"/>
      <c r="BLB88" s="77"/>
      <c r="BLT88" s="77"/>
      <c r="BRB88" s="77"/>
      <c r="BXH88" s="77"/>
      <c r="CBO88" s="77"/>
      <c r="CMB88" s="77"/>
      <c r="CPB88" s="77"/>
      <c r="CUQ88" s="77"/>
      <c r="CWH88" s="77"/>
      <c r="CWM88" s="77"/>
      <c r="CXO88" s="77"/>
      <c r="DGE88" s="77"/>
      <c r="DIK88" s="77"/>
      <c r="DLC88" s="77"/>
      <c r="DMB88" s="77"/>
      <c r="DMG88" s="77"/>
      <c r="DQF88" s="77"/>
      <c r="EAZ88" s="77"/>
    </row>
    <row r="89" spans="1:1017 1025:1995 2092:3067 3110:3432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F89" s="77"/>
      <c r="NE89" s="77"/>
      <c r="TM89" s="77"/>
      <c r="TW89" s="77"/>
      <c r="UD89" s="77"/>
      <c r="WS89" s="77"/>
      <c r="YG89" s="77"/>
      <c r="AEY89" s="77"/>
      <c r="AJX89" s="77"/>
      <c r="AMC89" s="77"/>
      <c r="ASV89" s="77"/>
      <c r="BEH89" s="77"/>
      <c r="BJL89" s="77"/>
      <c r="BLB89" s="77"/>
      <c r="BLT89" s="77"/>
      <c r="BRB89" s="77"/>
      <c r="BXH89" s="77"/>
      <c r="CBO89" s="77"/>
      <c r="CMB89" s="77"/>
      <c r="CPB89" s="77"/>
      <c r="CUQ89" s="77"/>
      <c r="CWH89" s="77"/>
      <c r="CWM89" s="77"/>
      <c r="CXO89" s="77"/>
      <c r="DGE89" s="77"/>
      <c r="DIK89" s="77"/>
      <c r="DLC89" s="77"/>
      <c r="DMB89" s="77"/>
      <c r="DMG89" s="77"/>
      <c r="DQF89" s="77"/>
      <c r="EAZ89" s="77"/>
    </row>
    <row r="90" spans="1:1017 1025:1995 2092:3067 3110:3432" ht="15" customHeight="1">
      <c r="A90" s="17">
        <v>22</v>
      </c>
      <c r="B90" s="82" t="s">
        <v>194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F90" s="77"/>
      <c r="NE90" s="77"/>
      <c r="TM90" s="77"/>
      <c r="TW90" s="77"/>
      <c r="UD90" s="77"/>
      <c r="WS90" s="77"/>
      <c r="YG90" s="77"/>
      <c r="AEY90" s="77"/>
      <c r="AJX90" s="77"/>
      <c r="AMC90" s="77"/>
      <c r="ASV90" s="77"/>
      <c r="BEH90" s="77"/>
      <c r="BJL90" s="77"/>
      <c r="BLB90" s="77"/>
      <c r="BLT90" s="77"/>
      <c r="BRB90" s="77"/>
      <c r="BXH90" s="77"/>
      <c r="CBO90" s="77"/>
      <c r="CMB90" s="77"/>
      <c r="CPB90" s="77"/>
      <c r="CUQ90" s="77"/>
      <c r="CWH90" s="77"/>
      <c r="CWM90" s="77"/>
      <c r="CXO90" s="77"/>
      <c r="DGE90" s="77"/>
      <c r="DIK90" s="77"/>
      <c r="DLC90" s="77"/>
      <c r="DMB90" s="77"/>
      <c r="DMG90" s="77"/>
      <c r="DQF90" s="77"/>
      <c r="EAZ90" s="77"/>
    </row>
    <row r="91" spans="1:1017 1025:1995 2092:3067 3110:3432" ht="15" customHeight="1">
      <c r="A91" s="17">
        <v>22</v>
      </c>
      <c r="B91" s="82" t="s">
        <v>194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F91" s="77"/>
      <c r="NE91" s="77"/>
      <c r="TM91" s="77"/>
      <c r="TW91" s="77"/>
      <c r="UD91" s="77"/>
      <c r="WS91" s="77"/>
      <c r="YG91" s="77"/>
      <c r="AEY91" s="77"/>
      <c r="AJX91" s="77"/>
      <c r="AMC91" s="77"/>
      <c r="ASV91" s="77"/>
      <c r="BEH91" s="77"/>
      <c r="BJL91" s="77"/>
      <c r="BLB91" s="77"/>
      <c r="BLT91" s="77"/>
      <c r="BRB91" s="77"/>
      <c r="BXH91" s="77"/>
      <c r="CBO91" s="77"/>
      <c r="CMB91" s="77"/>
      <c r="CPB91" s="77"/>
      <c r="CUQ91" s="77"/>
      <c r="CWH91" s="77"/>
      <c r="CWM91" s="77"/>
      <c r="CXO91" s="77"/>
      <c r="DGE91" s="77"/>
      <c r="DIK91" s="77"/>
      <c r="DLC91" s="77"/>
      <c r="DMB91" s="77"/>
      <c r="DMG91" s="77"/>
      <c r="DQF91" s="77"/>
      <c r="EAZ91" s="77"/>
    </row>
    <row r="92" spans="1:1017 1025:1995 2092:3067 3110:3432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17 1025:1995 2092:3067 3110:3432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17 1025:1995 2092:3067 3110:3432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2"/>
      <c r="BS94" s="113"/>
      <c r="BT94" s="113"/>
      <c r="BU94" s="3"/>
      <c r="BV94" s="3"/>
      <c r="BW94" s="3"/>
      <c r="BX94" s="114"/>
    </row>
    <row r="95" spans="1:1017 1025:1995 2092:3067 3110:3432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17 1025:1995 2092:3067 3110:3432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B6:C6"/>
    <mergeCell ref="B5:C5"/>
    <mergeCell ref="AG8:AI8"/>
    <mergeCell ref="O8:AE8"/>
    <mergeCell ref="O5:Q5"/>
    <mergeCell ref="F5:G5"/>
    <mergeCell ref="H5:M5"/>
    <mergeCell ref="F6:G6"/>
    <mergeCell ref="H6:M6"/>
    <mergeCell ref="B8:M8"/>
    <mergeCell ref="A1:AE1"/>
    <mergeCell ref="R4:W4"/>
    <mergeCell ref="V2:W2"/>
    <mergeCell ref="F4:G4"/>
    <mergeCell ref="H4:M4"/>
    <mergeCell ref="O4:Q4"/>
    <mergeCell ref="B4:C4"/>
    <mergeCell ref="Z9:AA9"/>
    <mergeCell ref="R5:W5"/>
    <mergeCell ref="O6:Q6"/>
    <mergeCell ref="R6:W6"/>
    <mergeCell ref="AK8:BP9"/>
  </mergeCells>
  <phoneticPr fontId="14" type="noConversion"/>
  <conditionalFormatting sqref="G41:G56">
    <cfRule type="expression" dxfId="314" priority="60">
      <formula>AND($F41="MIN",$H41&lt;&gt;"")</formula>
    </cfRule>
    <cfRule type="expression" dxfId="313" priority="61">
      <formula>AND($F41="MIN",$H41="")</formula>
    </cfRule>
    <cfRule type="containsBlanks" dxfId="312" priority="62">
      <formula>LEN(TRIM(G41))=0</formula>
    </cfRule>
  </conditionalFormatting>
  <conditionalFormatting sqref="G11:H20 G21:G40 H21:H98 G57:G98 AN11:BP36 AK11:AM32 AK53:BP71">
    <cfRule type="containsBlanks" dxfId="311" priority="53">
      <formula>LEN(TRIM(G11))=0</formula>
    </cfRule>
  </conditionalFormatting>
  <conditionalFormatting sqref="G11:H98">
    <cfRule type="expression" dxfId="310" priority="16">
      <formula>AND($F11="MIN",$H11&lt;&gt;"")</formula>
    </cfRule>
    <cfRule type="expression" dxfId="309" priority="17">
      <formula>AND($F11="MIN",$H11="")</formula>
    </cfRule>
  </conditionalFormatting>
  <conditionalFormatting sqref="I11:I98">
    <cfRule type="expression" dxfId="308" priority="57">
      <formula>AND(OR($F11="GD&amp;T",$F11="MAX"),$I11&lt;&gt;"")</formula>
    </cfRule>
    <cfRule type="expression" dxfId="307" priority="58">
      <formula>AND(OR($F11="GD&amp;T",$F11="MAX"),$I11="")</formula>
    </cfRule>
    <cfRule type="containsBlanks" dxfId="306" priority="59">
      <formula>LEN(TRIM(I11))=0</formula>
    </cfRule>
  </conditionalFormatting>
  <conditionalFormatting sqref="R11:R98">
    <cfRule type="expression" dxfId="305" priority="209">
      <formula>AND($R11&lt;&gt;"",$S11&lt;1.67)</formula>
    </cfRule>
    <cfRule type="notContainsBlanks" dxfId="304" priority="210">
      <formula>LEN(TRIM(R11))&gt;0</formula>
    </cfRule>
  </conditionalFormatting>
  <conditionalFormatting sqref="S11:S98 V11:X98">
    <cfRule type="expression" dxfId="303" priority="737">
      <formula>$K11="Yes"</formula>
    </cfRule>
    <cfRule type="expression" dxfId="302" priority="1158">
      <formula>AND($AD11&lt;0.966,$AD11&lt;&gt;"")</formula>
    </cfRule>
    <cfRule type="cellIs" dxfId="301" priority="1162" operator="lessThan">
      <formula>$E11</formula>
    </cfRule>
    <cfRule type="notContainsBlanks" dxfId="300" priority="1171">
      <formula>LEN(TRIM(S11))&gt;0</formula>
    </cfRule>
  </conditionalFormatting>
  <conditionalFormatting sqref="Y11:Y98">
    <cfRule type="containsBlanks" dxfId="299" priority="1159">
      <formula>LEN(TRIM(Y11))=0</formula>
    </cfRule>
    <cfRule type="cellIs" dxfId="298" priority="1160" operator="between">
      <formula>0.9</formula>
      <formula>0.998</formula>
    </cfRule>
    <cfRule type="cellIs" dxfId="297" priority="1161" operator="greaterThanOrEqual">
      <formula>0.998</formula>
    </cfRule>
    <cfRule type="notContainsBlanks" dxfId="296" priority="1166">
      <formula>LEN(TRIM(Y11))&gt;0</formula>
    </cfRule>
  </conditionalFormatting>
  <conditionalFormatting sqref="AD11:AE98">
    <cfRule type="expression" dxfId="295" priority="23">
      <formula>AND($AD11&lt;0.966,$AD11&lt;&gt;"")</formula>
    </cfRule>
  </conditionalFormatting>
  <conditionalFormatting sqref="AK11:AM20 AL21:AM38 AK21:AK50 AL39:BP50 AK51:BP94">
    <cfRule type="expression" dxfId="294" priority="217">
      <formula>AND($L11&lt;&gt;"",$AK11&lt;&gt;"",AK11&gt;$L11)</formula>
    </cfRule>
    <cfRule type="notContainsBlanks" dxfId="293" priority="218">
      <formula>LEN(TRIM(AK11))&gt;0</formula>
    </cfRule>
  </conditionalFormatting>
  <conditionalFormatting sqref="AK11:AM50 AN39:BP50 AK51:BP94">
    <cfRule type="expression" dxfId="292" priority="216">
      <formula>AND($M11&lt;&gt;"",$AK11&lt;&gt;"",AK11&lt;$M11)</formula>
    </cfRule>
  </conditionalFormatting>
  <conditionalFormatting sqref="AK29:AM33">
    <cfRule type="expression" dxfId="291" priority="318">
      <formula>AND($M29&lt;&gt;"",$AK29&lt;&gt;"",AK29&lt;$M29)</formula>
    </cfRule>
    <cfRule type="expression" dxfId="290" priority="319">
      <formula>AND($L29&lt;&gt;"",$AK29&lt;&gt;"",AK29&gt;$L29)</formula>
    </cfRule>
    <cfRule type="notContainsBlanks" dxfId="289" priority="320">
      <formula>LEN(TRIM(AK29))&gt;0</formula>
    </cfRule>
  </conditionalFormatting>
  <conditionalFormatting sqref="AK29:AM38 AK48:BP56 AK72:BP81 AN81:BP85 AK87:BP94">
    <cfRule type="containsBlanks" dxfId="288" priority="313">
      <formula>LEN(TRIM(AK29))=0</formula>
    </cfRule>
  </conditionalFormatting>
  <conditionalFormatting sqref="AK31:AM31">
    <cfRule type="expression" dxfId="287" priority="1102">
      <formula>AND($M31&lt;&gt;"",AK31&lt;$M31)</formula>
    </cfRule>
    <cfRule type="expression" dxfId="286" priority="1103">
      <formula>AND($L31&lt;&gt;"",AK31&gt;$L31)</formula>
    </cfRule>
    <cfRule type="notContainsBlanks" dxfId="285" priority="1104">
      <formula>LEN(TRIM(AK31))&gt;0</formula>
    </cfRule>
  </conditionalFormatting>
  <conditionalFormatting sqref="AK35:AM35">
    <cfRule type="expression" dxfId="284" priority="502">
      <formula>AND($M35&lt;&gt;"",AK35&lt;$M35)</formula>
    </cfRule>
    <cfRule type="expression" dxfId="283" priority="503">
      <formula>AND($L35&lt;&gt;"",AK35&gt;$L35)</formula>
    </cfRule>
    <cfRule type="notContainsBlanks" dxfId="282" priority="504">
      <formula>LEN(TRIM(AK35))&gt;0</formula>
    </cfRule>
  </conditionalFormatting>
  <conditionalFormatting sqref="AK38:BP47">
    <cfRule type="containsBlanks" dxfId="281" priority="77">
      <formula>LEN(TRIM(AK38))=0</formula>
    </cfRule>
  </conditionalFormatting>
  <conditionalFormatting sqref="AK41:BP45">
    <cfRule type="expression" dxfId="280" priority="171">
      <formula>AND($M41&lt;&gt;"",$AK41&lt;&gt;"",AK41&lt;$M41)</formula>
    </cfRule>
    <cfRule type="expression" dxfId="279" priority="172">
      <formula>AND($L41&lt;&gt;"",$AK41&lt;&gt;"",AK41&gt;$L41)</formula>
    </cfRule>
    <cfRule type="notContainsBlanks" dxfId="278" priority="173">
      <formula>LEN(TRIM(AK41))&gt;0</formula>
    </cfRule>
  </conditionalFormatting>
  <conditionalFormatting sqref="AK42:BP42 AK66:BP66">
    <cfRule type="containsBlanks" dxfId="277" priority="1164">
      <formula>LEN(TRIM(AK42))=0</formula>
    </cfRule>
  </conditionalFormatting>
  <conditionalFormatting sqref="AK43:BP43">
    <cfRule type="expression" dxfId="276" priority="188">
      <formula>AND($M43&lt;&gt;"",AK43&lt;$M43)</formula>
    </cfRule>
    <cfRule type="expression" dxfId="275" priority="189">
      <formula>AND($L43&lt;&gt;"",AK43&gt;$L43)</formula>
    </cfRule>
    <cfRule type="notContainsBlanks" dxfId="274" priority="190">
      <formula>LEN(TRIM(AK43))&gt;0</formula>
    </cfRule>
  </conditionalFormatting>
  <conditionalFormatting sqref="AK43:BP44">
    <cfRule type="containsBlanks" dxfId="273" priority="182">
      <formula>LEN(TRIM(AK43))=0</formula>
    </cfRule>
  </conditionalFormatting>
  <conditionalFormatting sqref="AK47:BP47">
    <cfRule type="expression" dxfId="272" priority="179">
      <formula>AND($M47&lt;&gt;"",AK47&lt;$M47)</formula>
    </cfRule>
    <cfRule type="expression" dxfId="271" priority="180">
      <formula>AND($L47&lt;&gt;"",AK47&gt;$L47)</formula>
    </cfRule>
    <cfRule type="notContainsBlanks" dxfId="270" priority="181">
      <formula>LEN(TRIM(AK47))&gt;0</formula>
    </cfRule>
  </conditionalFormatting>
  <conditionalFormatting sqref="AK65:BP69">
    <cfRule type="expression" dxfId="269" priority="144">
      <formula>AND($M65&lt;&gt;"",$AK65&lt;&gt;"",AK65&lt;$M65)</formula>
    </cfRule>
    <cfRule type="expression" dxfId="268" priority="145">
      <formula>AND($L65&lt;&gt;"",$AK65&lt;&gt;"",AK65&gt;$L65)</formula>
    </cfRule>
    <cfRule type="notContainsBlanks" dxfId="267" priority="146">
      <formula>LEN(TRIM(AK65))&gt;0</formula>
    </cfRule>
  </conditionalFormatting>
  <conditionalFormatting sqref="AK67:BP67">
    <cfRule type="expression" dxfId="266" priority="161">
      <formula>AND($M67&lt;&gt;"",AK67&lt;$M67)</formula>
    </cfRule>
    <cfRule type="expression" dxfId="265" priority="162">
      <formula>AND($L67&lt;&gt;"",AK67&gt;$L67)</formula>
    </cfRule>
    <cfRule type="notContainsBlanks" dxfId="264" priority="163">
      <formula>LEN(TRIM(AK67))&gt;0</formula>
    </cfRule>
  </conditionalFormatting>
  <conditionalFormatting sqref="AK67:BP68">
    <cfRule type="containsBlanks" dxfId="263" priority="155">
      <formula>LEN(TRIM(AK67))=0</formula>
    </cfRule>
  </conditionalFormatting>
  <conditionalFormatting sqref="AK71:BP71">
    <cfRule type="expression" dxfId="262" priority="152">
      <formula>AND($M71&lt;&gt;"",AK71&lt;$M71)</formula>
    </cfRule>
    <cfRule type="expression" dxfId="261" priority="153">
      <formula>AND($L71&lt;&gt;"",AK71&gt;$L71)</formula>
    </cfRule>
    <cfRule type="notContainsBlanks" dxfId="260" priority="154">
      <formula>LEN(TRIM(AK71))&gt;0</formula>
    </cfRule>
  </conditionalFormatting>
  <conditionalFormatting sqref="AK77:BP81 AN81:BP85">
    <cfRule type="containsBlanks" dxfId="259" priority="497">
      <formula>LEN(TRIM(AK77))=0</formula>
    </cfRule>
  </conditionalFormatting>
  <conditionalFormatting sqref="AK82:BP82">
    <cfRule type="expression" dxfId="258" priority="134">
      <formula>AND($M82&lt;&gt;"",AK82&lt;$M82)</formula>
    </cfRule>
    <cfRule type="expression" dxfId="257" priority="135">
      <formula>AND($L82&lt;&gt;"",AK82&gt;$L82)</formula>
    </cfRule>
    <cfRule type="notContainsBlanks" dxfId="256" priority="136">
      <formula>LEN(TRIM(AK82))&gt;0</formula>
    </cfRule>
  </conditionalFormatting>
  <conditionalFormatting sqref="AK82:BP83">
    <cfRule type="containsBlanks" dxfId="255" priority="128">
      <formula>LEN(TRIM(AK82))=0</formula>
    </cfRule>
  </conditionalFormatting>
  <conditionalFormatting sqref="AK82:BP84">
    <cfRule type="expression" dxfId="254" priority="117">
      <formula>AND($M82&lt;&gt;"",$AK82&lt;&gt;"",AK82&lt;$M82)</formula>
    </cfRule>
    <cfRule type="expression" dxfId="253" priority="118">
      <formula>AND($L82&lt;&gt;"",$AK82&lt;&gt;"",AK82&gt;$L82)</formula>
    </cfRule>
    <cfRule type="notContainsBlanks" dxfId="252" priority="119">
      <formula>LEN(TRIM(AK82))&gt;0</formula>
    </cfRule>
  </conditionalFormatting>
  <conditionalFormatting sqref="AK82:BP86">
    <cfRule type="containsBlanks" dxfId="251" priority="116">
      <formula>LEN(TRIM(AK82))=0</formula>
    </cfRule>
  </conditionalFormatting>
  <conditionalFormatting sqref="AK86:BP86">
    <cfRule type="expression" dxfId="250" priority="125">
      <formula>AND($M86&lt;&gt;"",AK86&lt;$M86)</formula>
    </cfRule>
    <cfRule type="expression" dxfId="249" priority="126">
      <formula>AND($L86&lt;&gt;"",AK86&gt;$L86)</formula>
    </cfRule>
    <cfRule type="notContainsBlanks" dxfId="248" priority="127">
      <formula>LEN(TRIM(AK86))&gt;0</formula>
    </cfRule>
  </conditionalFormatting>
  <conditionalFormatting sqref="AK95:BP98">
    <cfRule type="expression" dxfId="247" priority="19">
      <formula>AND($M95&lt;&gt;"",$AK95&lt;&gt;"",AK95&lt;$M95)</formula>
    </cfRule>
    <cfRule type="expression" dxfId="246" priority="20">
      <formula>AND($L95&lt;&gt;"",$AK95&lt;&gt;"",AK95&gt;$L95)</formula>
    </cfRule>
    <cfRule type="notContainsBlanks" dxfId="245" priority="21">
      <formula>LEN(TRIM(AK95))&gt;0</formula>
    </cfRule>
    <cfRule type="containsBlanks" dxfId="244" priority="22">
      <formula>LEN(TRIM(AK95))=0</formula>
    </cfRule>
  </conditionalFormatting>
  <conditionalFormatting sqref="AL48:AM49 AK48:AK50 AL49:BP50 AK51:BP56 AK73:BP81 AN81:BP85 AK88:BP91">
    <cfRule type="expression" dxfId="243" priority="314">
      <formula>AND($M48&lt;&gt;"",$AK48&lt;&gt;"",AK48&lt;$M48)</formula>
    </cfRule>
    <cfRule type="expression" dxfId="242" priority="315">
      <formula>AND($L48&lt;&gt;"",$AK48&lt;&gt;"",AK48&gt;$L48)</formula>
    </cfRule>
    <cfRule type="notContainsBlanks" dxfId="241" priority="316">
      <formula>LEN(TRIM(AK48))&gt;0</formula>
    </cfRule>
  </conditionalFormatting>
  <conditionalFormatting sqref="AN11:BP36 O11:Q98 BU11:BW98">
    <cfRule type="expression" dxfId="240" priority="13">
      <formula>AND($M11&lt;&gt;"",$AK11&lt;&gt;"",O11&lt;$M11)</formula>
    </cfRule>
    <cfRule type="expression" dxfId="239" priority="14">
      <formula>AND($L11&lt;&gt;"",$AK11&lt;&gt;"",O11&gt;$L11)</formula>
    </cfRule>
    <cfRule type="notContainsBlanks" dxfId="238" priority="15">
      <formula>LEN(TRIM(O11))&gt;0</formula>
    </cfRule>
  </conditionalFormatting>
  <conditionalFormatting sqref="AN29:BP33">
    <cfRule type="expression" dxfId="237" priority="67">
      <formula>AND($M29&lt;&gt;"",$AK29&lt;&gt;"",AN29&lt;$M29)</formula>
    </cfRule>
    <cfRule type="expression" dxfId="236" priority="68">
      <formula>AND($L29&lt;&gt;"",$AK29&lt;&gt;"",AN29&gt;$L29)</formula>
    </cfRule>
    <cfRule type="notContainsBlanks" dxfId="235" priority="69">
      <formula>LEN(TRIM(AN29))&gt;0</formula>
    </cfRule>
  </conditionalFormatting>
  <conditionalFormatting sqref="AN31:BP31">
    <cfRule type="expression" dxfId="234" priority="74">
      <formula>AND($M31&lt;&gt;"",AN31&lt;$M31)</formula>
    </cfRule>
    <cfRule type="expression" dxfId="233" priority="75">
      <formula>AND($L31&lt;&gt;"",AN31&gt;$L31)</formula>
    </cfRule>
    <cfRule type="notContainsBlanks" dxfId="232" priority="76">
      <formula>LEN(TRIM(AN31))&gt;0</formula>
    </cfRule>
  </conditionalFormatting>
  <conditionalFormatting sqref="AN35:BP35">
    <cfRule type="expression" dxfId="231" priority="70">
      <formula>AND($M35&lt;&gt;"",AN35&lt;$M35)</formula>
    </cfRule>
    <cfRule type="expression" dxfId="230" priority="71">
      <formula>AND($L35&lt;&gt;"",AN35&gt;$L35)</formula>
    </cfRule>
    <cfRule type="notContainsBlanks" dxfId="229" priority="72">
      <formula>LEN(TRIM(AN35))&gt;0</formula>
    </cfRule>
  </conditionalFormatting>
  <conditionalFormatting sqref="AN37:BP40">
    <cfRule type="expression" dxfId="228" priority="78">
      <formula>AND($M37&lt;&gt;"",$AK37&lt;&gt;"",AN37&lt;$M37)</formula>
    </cfRule>
    <cfRule type="expression" dxfId="227" priority="79">
      <formula>AND($L37&lt;&gt;"",$AK37&lt;&gt;"",AN37&gt;$L37)</formula>
    </cfRule>
    <cfRule type="notContainsBlanks" dxfId="226" priority="80">
      <formula>LEN(TRIM(AN37))&gt;0</formula>
    </cfRule>
    <cfRule type="containsBlanks" dxfId="225" priority="81">
      <formula>LEN(TRIM(AN37))=0</formula>
    </cfRule>
  </conditionalFormatting>
  <conditionalFormatting sqref="BX11:BX98">
    <cfRule type="endsWith" dxfId="224" priority="1" operator="endsWith" text="OK">
      <formula>RIGHT(BX11,LEN("OK"))="OK"</formula>
    </cfRule>
    <cfRule type="endsWith" dxfId="223" priority="2" operator="endsWith" text="OOS">
      <formula>RIGHT(BX11,LEN("OOS"))="OOS"</formula>
    </cfRule>
    <cfRule type="endsWith" dxfId="222" priority="3" operator="endsWith" text="OOC">
      <formula>RIGHT(BX11,LEN("OOC"))="OOC"</formula>
    </cfRule>
  </conditionalFormatting>
  <dataValidations count="3">
    <dataValidation type="list" allowBlank="1" showInputMessage="1" showErrorMessage="1" sqref="J11:J98" xr:uid="{00000000-0002-0000-0100-000000000000}">
      <formula1>insp_meth</formula1>
    </dataValidation>
    <dataValidation type="list" allowBlank="1" showInputMessage="1" showErrorMessage="1" sqref="F11:F98" xr:uid="{00000000-0002-0000-0100-000001000000}">
      <formula1>dim_type</formula1>
    </dataValidation>
    <dataValidation type="list" allowBlank="1" showInputMessage="1" showErrorMessage="1" sqref="K11:K98" xr:uid="{00000000-0002-0000-01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N11 AC11 L21:N38 H95:I98 H11:I11 H21:I93" unlockedFormula="1"/>
    <ignoredError sqref="W11:AB11" unlockedFormula="1" emptyCellReference="1"/>
    <ignoredError sqref="V11" emptyCellReferenc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7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EBE103"/>
  <sheetViews>
    <sheetView showGridLines="0" zoomScaleNormal="100" zoomScalePageLayoutView="125" workbookViewId="0">
      <pane xSplit="14" ySplit="10" topLeftCell="O59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39" max="68" width="8.6640625" customWidth="1"/>
    <col min="70" max="70" width="11" bestFit="1" customWidth="1"/>
  </cols>
  <sheetData>
    <row r="1" spans="1:926 1251:1425 2259:3068 3398:3428" s="1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36"/>
      <c r="AG1" s="36"/>
      <c r="AH1" s="36"/>
      <c r="AI1" s="36"/>
      <c r="AJ1" s="11"/>
    </row>
    <row r="2" spans="1:926 1251:1425 2259:3068 3398:3428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87" t="s">
        <v>13</v>
      </c>
      <c r="W2" s="187"/>
      <c r="X2" s="7"/>
      <c r="AB2" s="8"/>
      <c r="AE2" s="8"/>
      <c r="AF2" s="8"/>
      <c r="AG2" s="8"/>
      <c r="AH2" s="8"/>
      <c r="AI2" s="8"/>
      <c r="AJ2" s="8"/>
    </row>
    <row r="3" spans="1:926 1251:1425 2259:3068 3398:3428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6 1251:1425 2259:3068 3398:3428" s="1" customFormat="1" ht="18.75" customHeight="1">
      <c r="B4" s="174" t="s">
        <v>14</v>
      </c>
      <c r="C4" s="176"/>
      <c r="D4" s="12" t="s">
        <v>227</v>
      </c>
      <c r="E4" s="34"/>
      <c r="F4" s="182" t="s">
        <v>15</v>
      </c>
      <c r="G4" s="183"/>
      <c r="H4" s="194" t="s">
        <v>139</v>
      </c>
      <c r="I4" s="195"/>
      <c r="J4" s="195"/>
      <c r="K4" s="195"/>
      <c r="L4" s="195"/>
      <c r="M4" s="196"/>
      <c r="N4" s="35"/>
      <c r="O4" s="174" t="s">
        <v>82</v>
      </c>
      <c r="P4" s="175"/>
      <c r="Q4" s="176"/>
      <c r="R4" s="189" t="s">
        <v>284</v>
      </c>
      <c r="S4" s="178"/>
      <c r="T4" s="178"/>
      <c r="U4" s="178"/>
      <c r="V4" s="178"/>
      <c r="W4" s="1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6 1251:1425 2259:3068 3398:3428" s="1" customFormat="1" ht="18.75" customHeight="1">
      <c r="B5" s="174" t="s">
        <v>16</v>
      </c>
      <c r="C5" s="176"/>
      <c r="D5" s="12" t="s">
        <v>136</v>
      </c>
      <c r="E5" s="34"/>
      <c r="F5" s="182" t="s">
        <v>17</v>
      </c>
      <c r="G5" s="183"/>
      <c r="H5" s="194"/>
      <c r="I5" s="195"/>
      <c r="J5" s="195"/>
      <c r="K5" s="195"/>
      <c r="L5" s="195"/>
      <c r="M5" s="196"/>
      <c r="N5" s="35"/>
      <c r="O5" s="174" t="s">
        <v>58</v>
      </c>
      <c r="P5" s="175"/>
      <c r="Q5" s="176"/>
      <c r="R5" s="177" t="s">
        <v>283</v>
      </c>
      <c r="S5" s="178"/>
      <c r="T5" s="178"/>
      <c r="U5" s="178"/>
      <c r="V5" s="178"/>
      <c r="W5" s="1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6 1251:1425 2259:3068 3398:3428" s="1" customFormat="1" ht="18.75" customHeight="1">
      <c r="B6" s="174" t="s">
        <v>18</v>
      </c>
      <c r="C6" s="176"/>
      <c r="D6" s="78" t="s">
        <v>228</v>
      </c>
      <c r="E6" s="34"/>
      <c r="F6" s="182" t="s">
        <v>46</v>
      </c>
      <c r="G6" s="183"/>
      <c r="H6" s="205" t="s">
        <v>285</v>
      </c>
      <c r="I6" s="195"/>
      <c r="J6" s="195"/>
      <c r="K6" s="195"/>
      <c r="L6" s="195"/>
      <c r="M6" s="196"/>
      <c r="N6" s="35"/>
      <c r="O6" s="174" t="s">
        <v>57</v>
      </c>
      <c r="P6" s="175"/>
      <c r="Q6" s="176"/>
      <c r="R6" s="177" t="s">
        <v>229</v>
      </c>
      <c r="S6" s="178"/>
      <c r="T6" s="178"/>
      <c r="U6" s="178"/>
      <c r="V6" s="178"/>
      <c r="W6" s="1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6 1251:1425 2259:3068 3398:3428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6 1251:1425 2259:3068 3398:3428" s="16" customFormat="1" ht="15" customHeight="1">
      <c r="A8" s="24"/>
      <c r="B8" s="179" t="s">
        <v>19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  <c r="N8" s="24"/>
      <c r="O8" s="179" t="s">
        <v>25</v>
      </c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  <c r="AG8" s="164" t="s">
        <v>69</v>
      </c>
      <c r="AH8" s="164"/>
      <c r="AI8" s="164"/>
      <c r="AJ8" s="24"/>
      <c r="AK8" s="190" t="s">
        <v>26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200"/>
      <c r="BS8" s="200"/>
      <c r="BT8" s="200"/>
      <c r="BU8" s="200"/>
      <c r="BV8" s="200"/>
      <c r="BW8" s="200"/>
      <c r="BX8" s="202" t="s">
        <v>278</v>
      </c>
    </row>
    <row r="9" spans="1:926 1251:1425 2259:3068 3398:3428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69" t="s">
        <v>77</v>
      </c>
      <c r="AA9" s="170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201"/>
      <c r="BS9" s="201"/>
      <c r="BT9" s="201"/>
      <c r="BU9" s="201"/>
      <c r="BV9" s="201"/>
      <c r="BW9" s="201"/>
      <c r="BX9" s="203"/>
    </row>
    <row r="10" spans="1:926 1251:1425 2259:3068 3398:3428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4"/>
    </row>
    <row r="11" spans="1:926 1251:1425 2259:3068 3398:3428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W11" s="77"/>
      <c r="QP11" s="77"/>
      <c r="RL11" s="77"/>
      <c r="AHJ11" s="77"/>
      <c r="AIP11" s="77"/>
      <c r="AVC11" s="77"/>
      <c r="AVU11" s="77"/>
      <c r="AZY11" s="77"/>
      <c r="BBU11" s="77"/>
      <c r="CHW11" s="77"/>
      <c r="CNX11" s="77"/>
      <c r="DHP11" s="77"/>
      <c r="DMZ11" s="77"/>
      <c r="DZR11" s="77"/>
      <c r="EAV11" s="77"/>
    </row>
    <row r="12" spans="1:926 1251:1425 2259:3068 3398:3428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W12" s="77"/>
      <c r="QP12" s="77"/>
      <c r="RL12" s="77"/>
      <c r="AHJ12" s="77"/>
      <c r="AIP12" s="77"/>
      <c r="AVC12" s="77"/>
      <c r="AVU12" s="77"/>
      <c r="AZY12" s="77"/>
      <c r="BBU12" s="77"/>
      <c r="CHW12" s="77"/>
      <c r="CNX12" s="77"/>
      <c r="DHP12" s="77"/>
      <c r="DMZ12" s="77"/>
      <c r="DZR12" s="77"/>
      <c r="EAV12" s="77"/>
    </row>
    <row r="13" spans="1:926 1251:1425 2259:3068 3398:3428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W13" s="77"/>
      <c r="QP13" s="77"/>
      <c r="RL13" s="77"/>
      <c r="AHJ13" s="77"/>
      <c r="AIP13" s="77"/>
      <c r="AVC13" s="77"/>
      <c r="AVU13" s="77"/>
      <c r="AZY13" s="77"/>
      <c r="BBU13" s="77"/>
      <c r="CHW13" s="77"/>
      <c r="CNX13" s="77"/>
      <c r="DHP13" s="77"/>
      <c r="DMZ13" s="77"/>
      <c r="DZR13" s="77"/>
      <c r="EAV13" s="77"/>
    </row>
    <row r="14" spans="1:926 1251:1425 2259:3068 3398:3428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W14" s="77"/>
      <c r="QP14" s="77"/>
      <c r="RL14" s="77"/>
      <c r="AHJ14" s="77"/>
      <c r="AIP14" s="77"/>
      <c r="AVC14" s="77"/>
      <c r="AVU14" s="77"/>
      <c r="AZY14" s="77"/>
      <c r="BBU14" s="77"/>
      <c r="CHW14" s="77"/>
      <c r="CNX14" s="77"/>
      <c r="DHP14" s="77"/>
      <c r="DMZ14" s="77"/>
      <c r="DZR14" s="77"/>
      <c r="EAV14" s="77"/>
    </row>
    <row r="15" spans="1:926 1251:1425 2259:3068 3398:3428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W15" s="77"/>
      <c r="QP15" s="77"/>
      <c r="RL15" s="77"/>
      <c r="AHJ15" s="77"/>
      <c r="AIP15" s="77"/>
      <c r="AVC15" s="77"/>
      <c r="AVU15" s="77"/>
      <c r="AZY15" s="77"/>
      <c r="BBU15" s="77"/>
      <c r="CHW15" s="77"/>
      <c r="CNX15" s="77"/>
      <c r="DHP15" s="77"/>
      <c r="DMZ15" s="77"/>
      <c r="DZR15" s="77"/>
      <c r="EAV15" s="77"/>
    </row>
    <row r="16" spans="1:926 1251:1425 2259:3068 3398:3428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W16" s="77"/>
      <c r="QP16" s="77"/>
      <c r="RL16" s="77"/>
      <c r="AHJ16" s="77"/>
      <c r="AIP16" s="77"/>
      <c r="AVC16" s="77"/>
      <c r="AVU16" s="77"/>
      <c r="AZY16" s="77"/>
      <c r="BBU16" s="77"/>
      <c r="CHW16" s="77"/>
      <c r="CNX16" s="77"/>
      <c r="DHP16" s="77"/>
      <c r="DMZ16" s="77"/>
      <c r="DZR16" s="77"/>
      <c r="EAV16" s="77"/>
    </row>
    <row r="17" spans="1:991 1027:2003 2054:3072 3079:3436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W17" s="77"/>
      <c r="QP17" s="77"/>
      <c r="RL17" s="77"/>
      <c r="AHJ17" s="77"/>
      <c r="AIP17" s="77"/>
      <c r="AVC17" s="77"/>
      <c r="AVU17" s="77"/>
      <c r="AZY17" s="77"/>
      <c r="BBU17" s="77"/>
      <c r="CHW17" s="77"/>
      <c r="CNX17" s="77"/>
      <c r="DHP17" s="77"/>
      <c r="DMZ17" s="77"/>
      <c r="DZR17" s="77"/>
      <c r="EAV17" s="77"/>
    </row>
    <row r="18" spans="1:991 1027:2003 2054:3072 3079:3436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W18" s="77"/>
      <c r="QP18" s="77"/>
      <c r="RL18" s="77"/>
      <c r="AHJ18" s="77"/>
      <c r="AIP18" s="77"/>
      <c r="AVC18" s="77"/>
      <c r="AVU18" s="77"/>
      <c r="AZY18" s="77"/>
      <c r="BBU18" s="77"/>
      <c r="CHW18" s="77"/>
      <c r="CNX18" s="77"/>
      <c r="DHP18" s="77"/>
      <c r="DMZ18" s="77"/>
      <c r="DZR18" s="77"/>
      <c r="EAV18" s="77"/>
    </row>
    <row r="19" spans="1:991 1027:2003 2054:3072 3079:3436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W19" s="77"/>
      <c r="QP19" s="77"/>
      <c r="RL19" s="77"/>
      <c r="AHJ19" s="77"/>
      <c r="AIP19" s="77"/>
      <c r="AVC19" s="77"/>
      <c r="AVU19" s="77"/>
      <c r="AZY19" s="77"/>
      <c r="BBU19" s="77"/>
      <c r="CHW19" s="77"/>
      <c r="CNX19" s="77"/>
      <c r="DHP19" s="77"/>
      <c r="DMZ19" s="77"/>
      <c r="DZR19" s="77"/>
      <c r="EAV19" s="77"/>
    </row>
    <row r="20" spans="1:991 1027:2003 2054:3072 3079:3436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W20" s="77"/>
      <c r="QP20" s="77"/>
      <c r="RL20" s="77"/>
      <c r="AHJ20" s="77"/>
      <c r="AIP20" s="77"/>
      <c r="AVC20" s="77"/>
      <c r="AVU20" s="77"/>
      <c r="AZY20" s="77"/>
      <c r="BBU20" s="77"/>
      <c r="CHW20" s="77"/>
      <c r="CNX20" s="77"/>
      <c r="DHP20" s="77"/>
      <c r="DMZ20" s="77"/>
      <c r="DZR20" s="77"/>
      <c r="EAV20" s="77"/>
    </row>
    <row r="21" spans="1:991 1027:2003 2054:3072 3079:3436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O21" s="77"/>
      <c r="EW21" s="77"/>
      <c r="HQ21" s="77"/>
      <c r="LK21" s="77"/>
      <c r="QP21" s="77"/>
      <c r="AIP21" s="77"/>
      <c r="AMM21" s="77"/>
      <c r="AQN21" s="77"/>
      <c r="AVK21" s="77"/>
      <c r="BGZ21" s="77"/>
      <c r="BJY21" s="77"/>
      <c r="BMQ21" s="77"/>
      <c r="BNY21" s="77"/>
      <c r="BOA21" s="77"/>
      <c r="BRO21" s="77"/>
      <c r="BRV21" s="77"/>
      <c r="BSP21" s="77"/>
      <c r="BYA21" s="77"/>
      <c r="CMH21" s="77"/>
      <c r="CMK21" s="77"/>
      <c r="CMN21" s="77"/>
      <c r="CTG21" s="77"/>
      <c r="CXI21" s="77"/>
      <c r="CXQ21" s="77"/>
      <c r="DFR21" s="77"/>
      <c r="DGY21" s="77"/>
      <c r="DJZ21" s="77"/>
      <c r="DQV21" s="77"/>
      <c r="DQZ21" s="77"/>
      <c r="DSB21" s="77"/>
      <c r="DWL21" s="77"/>
      <c r="DYZ21" s="77"/>
    </row>
    <row r="22" spans="1:991 1027:2003 2054:3072 3079:3436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P22" s="77"/>
      <c r="HQ22" s="77"/>
      <c r="AEA22" s="77"/>
      <c r="BDK22" s="77"/>
      <c r="BIA22" s="77"/>
      <c r="BND22" s="77"/>
      <c r="BNY22" s="77"/>
      <c r="BPY22" s="77"/>
      <c r="BQE22" s="77"/>
      <c r="BSP22" s="77"/>
      <c r="BUD22" s="77"/>
      <c r="BUL22" s="77"/>
      <c r="BXF22" s="77"/>
      <c r="BYA22" s="77"/>
      <c r="DFU22" s="77"/>
      <c r="DGY22" s="77"/>
      <c r="DNA22" s="77"/>
      <c r="DZY22" s="77"/>
    </row>
    <row r="23" spans="1:991 1027:2003 2054:3072 3079:3436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U23" s="77"/>
      <c r="IY23" s="77"/>
      <c r="ON23" s="77"/>
      <c r="RM23" s="77"/>
      <c r="ZF23" s="77"/>
      <c r="ZT23" s="77"/>
      <c r="AKC23" s="77"/>
      <c r="ALC23" s="77"/>
      <c r="AOL23" s="77"/>
      <c r="APQ23" s="77"/>
      <c r="ATF23" s="77"/>
      <c r="AYL23" s="77"/>
      <c r="AYV23" s="77"/>
      <c r="BEX23" s="77"/>
      <c r="BHL23" s="77"/>
      <c r="BMW23" s="77"/>
      <c r="BQP23" s="77"/>
      <c r="BRE23" s="77"/>
      <c r="BTT23" s="77"/>
      <c r="BTY23" s="77"/>
      <c r="BUI23" s="77"/>
      <c r="BVY23" s="77"/>
      <c r="CAY23" s="77"/>
      <c r="CCV23" s="77"/>
      <c r="CDN23" s="77"/>
      <c r="CDO23" s="77"/>
      <c r="CIK23" s="77"/>
      <c r="CKL23" s="77"/>
      <c r="CMI23" s="77"/>
      <c r="CNY23" s="77"/>
      <c r="CPB23" s="77"/>
      <c r="CPW23" s="77"/>
      <c r="CRP23" s="77"/>
      <c r="CXM23" s="77"/>
      <c r="DBF23" s="77"/>
      <c r="DCQ23" s="77"/>
      <c r="DGA23" s="77"/>
      <c r="DGJ23" s="77"/>
      <c r="DKR23" s="77"/>
      <c r="DQR23" s="77"/>
      <c r="DQS23" s="77"/>
      <c r="DTI23" s="77"/>
      <c r="DZS23" s="77"/>
    </row>
    <row r="24" spans="1:991 1027:2003 2054:3072 3079:3436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U24" s="77"/>
      <c r="DB24" s="77"/>
      <c r="DM24" s="77"/>
      <c r="DY24" s="77"/>
      <c r="SJ24" s="77"/>
      <c r="VO24" s="77"/>
      <c r="WP24" s="77"/>
      <c r="ZF24" s="77"/>
      <c r="AIX24" s="77"/>
      <c r="BHL24" s="77"/>
      <c r="BIL24" s="77"/>
      <c r="BKZ24" s="77"/>
      <c r="BMY24" s="77"/>
      <c r="BNB24" s="77"/>
      <c r="BNI24" s="77"/>
      <c r="BRE24" s="77"/>
      <c r="BTY24" s="77"/>
      <c r="BWF24" s="77"/>
      <c r="CDO24" s="77"/>
      <c r="CIO24" s="77"/>
      <c r="CME24" s="77"/>
      <c r="CMI24" s="77"/>
      <c r="CNV24" s="77"/>
      <c r="COF24" s="77"/>
      <c r="COQ24" s="77"/>
      <c r="CVS24" s="77"/>
      <c r="CXM24" s="77"/>
      <c r="DBF24" s="77"/>
      <c r="DEJ24" s="77"/>
      <c r="DEW24" s="77"/>
      <c r="DEX24" s="77"/>
      <c r="DFU24" s="77"/>
      <c r="DGL24" s="77"/>
      <c r="DQS24" s="77"/>
      <c r="DSC24" s="77"/>
    </row>
    <row r="25" spans="1:991 1027:2003 2054:3072 3079:3436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U25" s="77"/>
      <c r="HM25" s="77"/>
      <c r="AFS25" s="77"/>
      <c r="AMV25" s="77"/>
      <c r="ANK25" s="77"/>
      <c r="ANR25" s="77"/>
      <c r="APF25" s="77"/>
      <c r="AQT25" s="77"/>
      <c r="ASA25" s="77"/>
      <c r="AUO25" s="77"/>
      <c r="AWF25" s="77"/>
      <c r="BAQ25" s="77"/>
      <c r="BZZ25" s="77"/>
      <c r="CAE25" s="77"/>
      <c r="CFG25" s="77"/>
      <c r="CIA25" s="77"/>
      <c r="CJE25" s="77"/>
      <c r="CYX25" s="77"/>
      <c r="CZX25" s="77"/>
      <c r="DDG25" s="77"/>
      <c r="DOG25" s="77"/>
      <c r="DOV25" s="77"/>
      <c r="DTW25" s="77"/>
      <c r="EBD25" s="77"/>
    </row>
    <row r="26" spans="1:991 1027:2003 2054:3072 3079:3436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H26" s="77"/>
      <c r="EW26" s="77"/>
      <c r="HZ26" s="77"/>
      <c r="IY26" s="77"/>
      <c r="NM26" s="77"/>
      <c r="TW26" s="77"/>
      <c r="VK26" s="77"/>
      <c r="WP26" s="77"/>
      <c r="AGT26" s="77"/>
      <c r="AIP26" s="77"/>
      <c r="AJA26" s="77"/>
      <c r="AKG26" s="77"/>
      <c r="AKY26" s="77"/>
      <c r="AOL26" s="77"/>
      <c r="APW26" s="77"/>
      <c r="AUB26" s="77"/>
      <c r="AWS26" s="77"/>
      <c r="BAD26" s="77"/>
      <c r="BBU26" s="77"/>
      <c r="BDJ26" s="77"/>
      <c r="BMK26" s="77"/>
      <c r="BPO26" s="77"/>
      <c r="BQJ26" s="77"/>
      <c r="BQY26" s="77"/>
      <c r="BVS26" s="77"/>
      <c r="BWF26" s="77"/>
      <c r="CEL26" s="77"/>
      <c r="CEO26" s="77"/>
      <c r="CJR26" s="77"/>
      <c r="CLC26" s="77"/>
      <c r="CWF26" s="77"/>
      <c r="CWN26" s="77"/>
      <c r="DCE26" s="77"/>
      <c r="DFT26" s="77"/>
      <c r="DFW26" s="77"/>
      <c r="DGM26" s="77"/>
      <c r="DHM26" s="77"/>
      <c r="DLW26" s="77"/>
      <c r="DNK26" s="77"/>
      <c r="DNO26" s="77"/>
      <c r="DOR26" s="77"/>
      <c r="DXZ26" s="77"/>
      <c r="EAN26" s="77"/>
    </row>
    <row r="27" spans="1:991 1027:2003 2054:3072 3079:3436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H27" s="77"/>
      <c r="EW27" s="77"/>
      <c r="HZ27" s="77"/>
      <c r="IY27" s="77"/>
      <c r="NM27" s="77"/>
      <c r="TW27" s="77"/>
      <c r="VK27" s="77"/>
      <c r="WP27" s="77"/>
      <c r="AGT27" s="77"/>
      <c r="AJA27" s="77"/>
      <c r="AKG27" s="77"/>
      <c r="AKY27" s="77"/>
      <c r="ANY27" s="77"/>
      <c r="AOL27" s="77"/>
      <c r="APA27" s="77"/>
      <c r="APW27" s="77"/>
      <c r="AUB27" s="77"/>
      <c r="BAD27" s="77"/>
      <c r="BBU27" s="77"/>
      <c r="BDJ27" s="77"/>
      <c r="BHQ27" s="77"/>
      <c r="BMK27" s="77"/>
      <c r="BPO27" s="77"/>
      <c r="BQJ27" s="77"/>
      <c r="BQY27" s="77"/>
      <c r="BVS27" s="77"/>
      <c r="BWF27" s="77"/>
      <c r="CEL27" s="77"/>
      <c r="CEO27" s="77"/>
      <c r="CJR27" s="77"/>
      <c r="CLC27" s="77"/>
      <c r="CTX27" s="77"/>
      <c r="CWN27" s="77"/>
      <c r="DFT27" s="77"/>
      <c r="DFW27" s="77"/>
      <c r="DGM27" s="77"/>
      <c r="DHM27" s="77"/>
      <c r="DMK27" s="77"/>
      <c r="DNK27" s="77"/>
      <c r="DNO27" s="77"/>
      <c r="DOR27" s="77"/>
      <c r="DXF27" s="77"/>
      <c r="DXZ27" s="77"/>
      <c r="DZR27" s="77"/>
      <c r="EAN27" s="77"/>
    </row>
    <row r="28" spans="1:991 1027:2003 2054:3072 3079:3436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H28" s="77"/>
      <c r="EW28" s="77"/>
      <c r="IY28" s="77"/>
      <c r="NM28" s="77"/>
      <c r="TW28" s="77"/>
      <c r="VK28" s="77"/>
      <c r="WP28" s="77"/>
      <c r="AGT28" s="77"/>
      <c r="AJA28" s="77"/>
      <c r="AKG28" s="77"/>
      <c r="AKY28" s="77"/>
      <c r="ANY28" s="77"/>
      <c r="APW28" s="77"/>
      <c r="AUB28" s="77"/>
      <c r="BAD28" s="77"/>
      <c r="BBU28" s="77"/>
      <c r="BDJ28" s="77"/>
      <c r="BIN28" s="77"/>
      <c r="BMK28" s="77"/>
      <c r="BPO28" s="77"/>
      <c r="BQJ28" s="77"/>
      <c r="BQY28" s="77"/>
      <c r="BVS28" s="77"/>
      <c r="BWF28" s="77"/>
      <c r="CEL28" s="77"/>
      <c r="CEO28" s="77"/>
      <c r="CRP28" s="77"/>
      <c r="DFT28" s="77"/>
      <c r="DFW28" s="77"/>
      <c r="DGM28" s="77"/>
      <c r="DHM28" s="77"/>
      <c r="DNK28" s="77"/>
      <c r="DNO28" s="77"/>
      <c r="DOR28" s="77"/>
      <c r="DXF28" s="77"/>
      <c r="DXZ28" s="77"/>
      <c r="EAN28" s="77"/>
    </row>
    <row r="29" spans="1:991 1027:2003 2054:3072 3079:3436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W29" s="77"/>
      <c r="IY29" s="77"/>
      <c r="VK29" s="77"/>
      <c r="WP29" s="77"/>
      <c r="AGT29" s="77"/>
      <c r="AIP29" s="77"/>
      <c r="AJA29" s="77"/>
      <c r="AKG29" s="77"/>
      <c r="AKY29" s="77"/>
      <c r="ANY29" s="77"/>
      <c r="AOL29" s="77"/>
      <c r="APW29" s="77"/>
      <c r="AUB29" s="77"/>
      <c r="AWS29" s="77"/>
      <c r="BAD29" s="77"/>
      <c r="BBU29" s="77"/>
      <c r="BDJ29" s="77"/>
      <c r="BHQ29" s="77"/>
      <c r="BMK29" s="77"/>
      <c r="BPO29" s="77"/>
      <c r="BQJ29" s="77"/>
      <c r="BVS29" s="77"/>
      <c r="BWF29" s="77"/>
      <c r="CEL29" s="77"/>
      <c r="DFT29" s="77"/>
      <c r="DFW29" s="77"/>
      <c r="DGM29" s="77"/>
      <c r="DHM29" s="77"/>
      <c r="DNK29" s="77"/>
      <c r="DNO29" s="77"/>
      <c r="DOR29" s="77"/>
      <c r="DQH29" s="77"/>
      <c r="DXF29" s="77"/>
      <c r="DXZ29" s="77"/>
    </row>
    <row r="30" spans="1:991 1027:2003 2054:3072 3079:3436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W30" s="77"/>
      <c r="IY30" s="77"/>
      <c r="NM30" s="77"/>
      <c r="NW30" s="77"/>
      <c r="VK30" s="77"/>
      <c r="WP30" s="77"/>
      <c r="AGT30" s="77"/>
      <c r="AJA30" s="77"/>
      <c r="AKG30" s="77"/>
      <c r="AKY30" s="77"/>
      <c r="ANY30" s="77"/>
      <c r="AOL30" s="77"/>
      <c r="APW30" s="77"/>
      <c r="AUB30" s="77"/>
      <c r="AWS30" s="77"/>
      <c r="BAD30" s="77"/>
      <c r="BBU30" s="77"/>
      <c r="BDJ30" s="77"/>
      <c r="BMK30" s="77"/>
      <c r="BPO30" s="77"/>
      <c r="BQJ30" s="77"/>
      <c r="BQY30" s="77"/>
      <c r="BVS30" s="77"/>
      <c r="BWF30" s="77"/>
      <c r="CEL30" s="77"/>
      <c r="DFT30" s="77"/>
      <c r="DFW30" s="77"/>
      <c r="DGM30" s="77"/>
      <c r="DHM30" s="77"/>
      <c r="DNK30" s="77"/>
      <c r="DNO30" s="77"/>
      <c r="DXF30" s="77"/>
      <c r="DXZ30" s="77"/>
    </row>
    <row r="31" spans="1:991 1027:2003 2054:3072 3079:3436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W31" s="77"/>
      <c r="GI31" s="77"/>
      <c r="HZ31" s="77"/>
      <c r="OE31" s="77"/>
      <c r="TW31" s="77"/>
      <c r="VA31" s="77"/>
      <c r="VD31" s="77"/>
      <c r="XW31" s="77"/>
      <c r="AGT31" s="77"/>
      <c r="AIP31" s="77"/>
      <c r="ARY31" s="77"/>
      <c r="BAD31" s="77"/>
      <c r="BDJ31" s="77"/>
      <c r="BSO31" s="77"/>
      <c r="BVR31" s="77"/>
      <c r="BXX31" s="77"/>
      <c r="CEO31" s="77"/>
      <c r="CFB31" s="77"/>
      <c r="CFU31" s="77"/>
      <c r="CIQ31" s="77"/>
      <c r="CJR31" s="77"/>
      <c r="CKB31" s="77"/>
      <c r="CLL31" s="77"/>
      <c r="CPC31" s="77"/>
      <c r="DCE31" s="77"/>
      <c r="DFT31" s="77"/>
      <c r="DFW31" s="77"/>
      <c r="DGM31" s="77"/>
      <c r="DND31" s="77"/>
      <c r="DXZ31" s="77"/>
    </row>
    <row r="32" spans="1:991 1027:2003 2054:3072 3079:3436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F32" s="77"/>
      <c r="EW32" s="77"/>
      <c r="GI32" s="77"/>
      <c r="HZ32" s="77"/>
      <c r="OE32" s="77"/>
      <c r="TP32" s="77"/>
      <c r="TW32" s="77"/>
      <c r="VA32" s="77"/>
      <c r="VD32" s="77"/>
      <c r="XW32" s="77"/>
      <c r="AGT32" s="77"/>
      <c r="AIP32" s="77"/>
      <c r="ARY32" s="77"/>
      <c r="AXK32" s="77"/>
      <c r="BAD32" s="77"/>
      <c r="BDJ32" s="77"/>
      <c r="BOR32" s="77"/>
      <c r="BQJ32" s="77"/>
      <c r="BSO32" s="77"/>
      <c r="BVR32" s="77"/>
      <c r="BXX32" s="77"/>
      <c r="CEO32" s="77"/>
      <c r="CFB32" s="77"/>
      <c r="CFU32" s="77"/>
      <c r="CIR32" s="77"/>
      <c r="CJR32" s="77"/>
      <c r="CKB32" s="77"/>
      <c r="CLL32" s="77"/>
      <c r="CPC32" s="77"/>
      <c r="CWN32" s="77"/>
      <c r="CZB32" s="77"/>
      <c r="DCE32" s="77"/>
      <c r="DCO32" s="77"/>
      <c r="DFT32" s="77"/>
      <c r="DFW32" s="77"/>
      <c r="DFZ32" s="77"/>
      <c r="DGG32" s="77"/>
      <c r="DGM32" s="77"/>
      <c r="DHS32" s="77"/>
      <c r="DME32" s="77"/>
      <c r="DND32" s="77"/>
      <c r="DXZ32" s="77"/>
    </row>
    <row r="33" spans="1:1022 1027:2003 2054:3072 3079:3437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W33" s="77"/>
      <c r="GI33" s="77"/>
      <c r="HZ33" s="77"/>
      <c r="OE33" s="77"/>
      <c r="TW33" s="77"/>
      <c r="VD33" s="77"/>
      <c r="XW33" s="77"/>
      <c r="YT33" s="77"/>
      <c r="AGT33" s="77"/>
      <c r="AIP33" s="77"/>
      <c r="AJA33" s="77"/>
      <c r="BAD33" s="77"/>
      <c r="BDJ33" s="77"/>
      <c r="BPO33" s="77"/>
      <c r="BQJ33" s="77"/>
      <c r="BSO33" s="77"/>
      <c r="BVR33" s="77"/>
      <c r="BXX33" s="77"/>
      <c r="CEO33" s="77"/>
      <c r="CFA33" s="77"/>
      <c r="CFU33" s="77"/>
      <c r="CJR33" s="77"/>
      <c r="CLL33" s="77"/>
      <c r="CPC33" s="77"/>
      <c r="CWN33" s="77"/>
      <c r="CZB33" s="77"/>
      <c r="DCE33" s="77"/>
      <c r="DFT33" s="77"/>
      <c r="DFW33" s="77"/>
      <c r="DGM33" s="77"/>
      <c r="DME33" s="77"/>
      <c r="DND33" s="77"/>
      <c r="DXZ33" s="77"/>
    </row>
    <row r="34" spans="1:1022 1027:2003 2054:3072 3079:3437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W34" s="77"/>
      <c r="GI34" s="77"/>
      <c r="HZ34" s="77"/>
      <c r="TW34" s="77"/>
      <c r="VD34" s="77"/>
      <c r="XW34" s="77"/>
      <c r="YT34" s="77"/>
      <c r="AGM34" s="77"/>
      <c r="AGT34" s="77"/>
      <c r="AIP34" s="77"/>
      <c r="AJA34" s="77"/>
      <c r="AND34" s="77"/>
      <c r="BAD34" s="77"/>
      <c r="BDJ34" s="77"/>
      <c r="BQJ34" s="77"/>
      <c r="BSO34" s="77"/>
      <c r="BWF34" s="77"/>
      <c r="BXX34" s="77"/>
      <c r="CEO34" s="77"/>
      <c r="CJR34" s="77"/>
      <c r="CLL34" s="77"/>
      <c r="CPC34" s="77"/>
      <c r="CWN34" s="77"/>
      <c r="DCE34" s="77"/>
      <c r="DFT34" s="77"/>
      <c r="DFW34" s="77"/>
      <c r="DGM34" s="77"/>
      <c r="DME34" s="77"/>
      <c r="DND34" s="77"/>
      <c r="DOU34" s="77"/>
      <c r="DXZ34" s="77"/>
    </row>
    <row r="35" spans="1:1022 1027:2003 2054:3072 3079:3437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G35" s="77"/>
      <c r="EA35" s="77"/>
      <c r="NI35" s="77"/>
      <c r="NO35" s="77"/>
      <c r="ST35" s="77"/>
      <c r="UK35" s="77"/>
      <c r="UP35" s="77"/>
      <c r="XA35" s="77"/>
      <c r="ABB35" s="77"/>
      <c r="ABE35" s="77"/>
      <c r="ADP35" s="77"/>
      <c r="ADZ35" s="77"/>
      <c r="AEI35" s="77"/>
      <c r="AEP35" s="77"/>
      <c r="AFC35" s="77"/>
      <c r="AFN35" s="77"/>
      <c r="AFW35" s="77"/>
      <c r="AGP35" s="77"/>
      <c r="AMB35" s="77"/>
      <c r="AMP35" s="77"/>
      <c r="AOB35" s="77"/>
      <c r="BSH35" s="77"/>
      <c r="DKV35" s="77"/>
      <c r="DQK35" s="77"/>
    </row>
    <row r="36" spans="1:1022 1027:2003 2054:3072 3079:3437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V36" s="77"/>
      <c r="RJ36" s="77"/>
      <c r="SD36" s="77"/>
      <c r="VD36" s="77"/>
      <c r="VK36" s="77"/>
      <c r="VT36" s="77"/>
      <c r="WC36" s="77"/>
      <c r="YT36" s="77"/>
      <c r="ZH36" s="77"/>
      <c r="AAJ36" s="77"/>
      <c r="ABE36" s="77"/>
      <c r="ABK36" s="77"/>
      <c r="AEI36" s="77"/>
      <c r="AES36" s="77"/>
      <c r="AFE36" s="77"/>
      <c r="AJA36" s="77"/>
      <c r="ASD36" s="77"/>
      <c r="ASR36" s="77"/>
      <c r="BAY36" s="77"/>
      <c r="BGE36" s="77"/>
      <c r="BJF36" s="77"/>
      <c r="BNQ36" s="77"/>
      <c r="BWE36" s="77"/>
      <c r="BWH36" s="77"/>
      <c r="BXK36" s="77"/>
      <c r="CBQ36" s="77"/>
      <c r="CCB36" s="77"/>
      <c r="CYH36" s="77"/>
      <c r="DAT36" s="77"/>
      <c r="DGG36" s="77"/>
      <c r="DJT36" s="77"/>
      <c r="DSS36" s="77"/>
    </row>
    <row r="37" spans="1:1022 1027:2003 2054:3072 3079:3437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K37" s="77"/>
      <c r="NJ37" s="77"/>
      <c r="TR37" s="77"/>
      <c r="UB37" s="77"/>
      <c r="UI37" s="77"/>
      <c r="WX37" s="77"/>
      <c r="YL37" s="77"/>
      <c r="AFD37" s="77"/>
      <c r="AKC37" s="77"/>
      <c r="AMH37" s="77"/>
      <c r="ATA37" s="77"/>
      <c r="BEM37" s="77"/>
      <c r="BJQ37" s="77"/>
      <c r="BLG37" s="77"/>
      <c r="BLY37" s="77"/>
      <c r="BRG37" s="77"/>
      <c r="BXM37" s="77"/>
      <c r="CBT37" s="77"/>
      <c r="CMG37" s="77"/>
      <c r="CPG37" s="77"/>
      <c r="CUV37" s="77"/>
      <c r="CWM37" s="77"/>
      <c r="CWR37" s="77"/>
      <c r="CXT37" s="77"/>
      <c r="DGJ37" s="77"/>
      <c r="DIP37" s="77"/>
      <c r="DLH37" s="77"/>
      <c r="DMG37" s="77"/>
      <c r="DML37" s="77"/>
      <c r="DQK37" s="77"/>
      <c r="EBE37" s="77"/>
    </row>
    <row r="38" spans="1:1022 1027:2003 2054:3072 3079:3437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7:2003 2054:3072 3079:3437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O39" s="77"/>
      <c r="EW39" s="77"/>
      <c r="HQ39" s="77"/>
      <c r="LK39" s="77"/>
      <c r="QP39" s="77"/>
      <c r="AIP39" s="77"/>
      <c r="AMM39" s="77"/>
      <c r="AQN39" s="77"/>
      <c r="AVK39" s="77"/>
      <c r="BGZ39" s="77"/>
      <c r="BJY39" s="77"/>
      <c r="BMQ39" s="77"/>
      <c r="BNY39" s="77"/>
      <c r="BOA39" s="77"/>
      <c r="BRO39" s="77"/>
      <c r="BRV39" s="77"/>
      <c r="BSP39" s="77"/>
      <c r="BYA39" s="77"/>
      <c r="CMH39" s="77"/>
      <c r="CMK39" s="77"/>
      <c r="CMN39" s="77"/>
      <c r="CTG39" s="77"/>
      <c r="CXI39" s="77"/>
      <c r="CXQ39" s="77"/>
      <c r="DFR39" s="77"/>
      <c r="DGY39" s="77"/>
      <c r="DJZ39" s="77"/>
      <c r="DQV39" s="77"/>
      <c r="DQZ39" s="77"/>
      <c r="DSB39" s="77"/>
      <c r="DWL39" s="77"/>
      <c r="DYZ39" s="77"/>
    </row>
    <row r="40" spans="1:1022 1027:2003 2054:3072 3079:3437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U40" s="77"/>
      <c r="HM40" s="77"/>
      <c r="AFS40" s="77"/>
      <c r="AMV40" s="77"/>
      <c r="ANK40" s="77"/>
      <c r="ANR40" s="77"/>
      <c r="APF40" s="77"/>
      <c r="AQT40" s="77"/>
      <c r="ASA40" s="77"/>
      <c r="AUO40" s="77"/>
      <c r="AWF40" s="77"/>
      <c r="BAQ40" s="77"/>
      <c r="BZZ40" s="77"/>
      <c r="CAE40" s="77"/>
      <c r="CFG40" s="77"/>
      <c r="CIA40" s="77"/>
      <c r="CJE40" s="77"/>
      <c r="CYX40" s="77"/>
      <c r="CZX40" s="77"/>
      <c r="DDG40" s="77"/>
      <c r="DOG40" s="77"/>
      <c r="DOV40" s="77"/>
      <c r="DTW40" s="77"/>
      <c r="EBD40" s="77"/>
    </row>
    <row r="41" spans="1:1022 1027:2003 2054:3072 3079:3437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W41" s="77"/>
      <c r="IY41" s="77"/>
      <c r="VK41" s="77"/>
      <c r="WP41" s="77"/>
      <c r="AGT41" s="77"/>
      <c r="AIP41" s="77"/>
      <c r="AJA41" s="77"/>
      <c r="AKG41" s="77"/>
      <c r="AKY41" s="77"/>
      <c r="ANY41" s="77"/>
      <c r="AOL41" s="77"/>
      <c r="APW41" s="77"/>
      <c r="AUB41" s="77"/>
      <c r="AWS41" s="77"/>
      <c r="BAD41" s="77"/>
      <c r="BBU41" s="77"/>
      <c r="BDJ41" s="77"/>
      <c r="BHQ41" s="77"/>
      <c r="BMK41" s="77"/>
      <c r="BPO41" s="77"/>
      <c r="BQJ41" s="77"/>
      <c r="BVS41" s="77"/>
      <c r="BWF41" s="77"/>
      <c r="CEL41" s="77"/>
      <c r="DFT41" s="77"/>
      <c r="DFW41" s="77"/>
      <c r="DGM41" s="77"/>
      <c r="DHM41" s="77"/>
      <c r="DNK41" s="77"/>
      <c r="DNO41" s="77"/>
      <c r="DOR41" s="77"/>
      <c r="DQH41" s="77"/>
      <c r="DXF41" s="77"/>
      <c r="DXZ41" s="77"/>
    </row>
    <row r="42" spans="1:1022 1027:2003 2054:3072 3079:3437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W42" s="77"/>
      <c r="IY42" s="77"/>
      <c r="NM42" s="77"/>
      <c r="NW42" s="77"/>
      <c r="VK42" s="77"/>
      <c r="WP42" s="77"/>
      <c r="AGT42" s="77"/>
      <c r="AJA42" s="77"/>
      <c r="AKG42" s="77"/>
      <c r="AKY42" s="77"/>
      <c r="ANY42" s="77"/>
      <c r="AOL42" s="77"/>
      <c r="APW42" s="77"/>
      <c r="AUB42" s="77"/>
      <c r="AWS42" s="77"/>
      <c r="BAD42" s="77"/>
      <c r="BBU42" s="77"/>
      <c r="BDJ42" s="77"/>
      <c r="BMK42" s="77"/>
      <c r="BPO42" s="77"/>
      <c r="BQJ42" s="77"/>
      <c r="BQY42" s="77"/>
      <c r="BVS42" s="77"/>
      <c r="BWF42" s="77"/>
      <c r="CEL42" s="77"/>
      <c r="DFT42" s="77"/>
      <c r="DFW42" s="77"/>
      <c r="DGM42" s="77"/>
      <c r="DHM42" s="77"/>
      <c r="DNK42" s="77"/>
      <c r="DNO42" s="77"/>
      <c r="DXF42" s="77"/>
      <c r="DXZ42" s="77"/>
    </row>
    <row r="43" spans="1:1022 1027:2003 2054:3072 3079:3437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W43" s="77"/>
      <c r="GI43" s="77"/>
      <c r="HZ43" s="77"/>
      <c r="OE43" s="77"/>
      <c r="TW43" s="77"/>
      <c r="VA43" s="77"/>
      <c r="VD43" s="77"/>
      <c r="XW43" s="77"/>
      <c r="AGT43" s="77"/>
      <c r="AIP43" s="77"/>
      <c r="ARY43" s="77"/>
      <c r="BAD43" s="77"/>
      <c r="BDJ43" s="77"/>
      <c r="BSO43" s="77"/>
      <c r="BVR43" s="77"/>
      <c r="BXX43" s="77"/>
      <c r="CEO43" s="77"/>
      <c r="CFB43" s="77"/>
      <c r="CFU43" s="77"/>
      <c r="CIQ43" s="77"/>
      <c r="CJR43" s="77"/>
      <c r="CKB43" s="77"/>
      <c r="CLL43" s="77"/>
      <c r="CPC43" s="77"/>
      <c r="DCE43" s="77"/>
      <c r="DFT43" s="77"/>
      <c r="DFW43" s="77"/>
      <c r="DGM43" s="77"/>
      <c r="DND43" s="77"/>
      <c r="DXZ43" s="77"/>
    </row>
    <row r="44" spans="1:1022 1027:2003 2054:3072 3079:3437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F44" s="77"/>
      <c r="EW44" s="77"/>
      <c r="GI44" s="77"/>
      <c r="HZ44" s="77"/>
      <c r="OE44" s="77"/>
      <c r="TP44" s="77"/>
      <c r="TW44" s="77"/>
      <c r="VA44" s="77"/>
      <c r="VD44" s="77"/>
      <c r="XW44" s="77"/>
      <c r="AGT44" s="77"/>
      <c r="AIP44" s="77"/>
      <c r="ARY44" s="77"/>
      <c r="AXK44" s="77"/>
      <c r="BAD44" s="77"/>
      <c r="BDJ44" s="77"/>
      <c r="BOR44" s="77"/>
      <c r="BQJ44" s="77"/>
      <c r="BSO44" s="77"/>
      <c r="BVR44" s="77"/>
      <c r="BXX44" s="77"/>
      <c r="CEO44" s="77"/>
      <c r="CFB44" s="77"/>
      <c r="CFU44" s="77"/>
      <c r="CIR44" s="77"/>
      <c r="CJR44" s="77"/>
      <c r="CKB44" s="77"/>
      <c r="CLL44" s="77"/>
      <c r="CPC44" s="77"/>
      <c r="CWN44" s="77"/>
      <c r="CZB44" s="77"/>
      <c r="DCE44" s="77"/>
      <c r="DCO44" s="77"/>
      <c r="DFT44" s="77"/>
      <c r="DFW44" s="77"/>
      <c r="DFZ44" s="77"/>
      <c r="DGG44" s="77"/>
      <c r="DGM44" s="77"/>
      <c r="DHS44" s="77"/>
      <c r="DME44" s="77"/>
      <c r="DND44" s="77"/>
      <c r="DXZ44" s="77"/>
    </row>
    <row r="45" spans="1:1022 1027:2003 2054:3072 3079:3437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W45" s="77"/>
      <c r="GI45" s="77"/>
      <c r="HZ45" s="77"/>
      <c r="OE45" s="77"/>
      <c r="TW45" s="77"/>
      <c r="VD45" s="77"/>
      <c r="XW45" s="77"/>
      <c r="YT45" s="77"/>
      <c r="AGT45" s="77"/>
      <c r="AIP45" s="77"/>
      <c r="AJA45" s="77"/>
      <c r="BAD45" s="77"/>
      <c r="BDJ45" s="77"/>
      <c r="BPO45" s="77"/>
      <c r="BQJ45" s="77"/>
      <c r="BSO45" s="77"/>
      <c r="BVR45" s="77"/>
      <c r="BXX45" s="77"/>
      <c r="CEO45" s="77"/>
      <c r="CFA45" s="77"/>
      <c r="CFU45" s="77"/>
      <c r="CJR45" s="77"/>
      <c r="CLL45" s="77"/>
      <c r="CPC45" s="77"/>
      <c r="CWN45" s="77"/>
      <c r="CZB45" s="77"/>
      <c r="DCE45" s="77"/>
      <c r="DFT45" s="77"/>
      <c r="DFW45" s="77"/>
      <c r="DGM45" s="77"/>
      <c r="DME45" s="77"/>
      <c r="DND45" s="77"/>
      <c r="DXZ45" s="77"/>
    </row>
    <row r="46" spans="1:1022 1027:2003 2054:3072 3079:3437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W46" s="77"/>
      <c r="GI46" s="77"/>
      <c r="HZ46" s="77"/>
      <c r="TW46" s="77"/>
      <c r="VD46" s="77"/>
      <c r="XW46" s="77"/>
      <c r="YT46" s="77"/>
      <c r="AGM46" s="77"/>
      <c r="AGT46" s="77"/>
      <c r="AIP46" s="77"/>
      <c r="AJA46" s="77"/>
      <c r="AND46" s="77"/>
      <c r="BAD46" s="77"/>
      <c r="BDJ46" s="77"/>
      <c r="BQJ46" s="77"/>
      <c r="BSO46" s="77"/>
      <c r="BWF46" s="77"/>
      <c r="BXX46" s="77"/>
      <c r="CEO46" s="77"/>
      <c r="CJR46" s="77"/>
      <c r="CLL46" s="77"/>
      <c r="CPC46" s="77"/>
      <c r="CWN46" s="77"/>
      <c r="DCE46" s="77"/>
      <c r="DFT46" s="77"/>
      <c r="DFW46" s="77"/>
      <c r="DGM46" s="77"/>
      <c r="DME46" s="77"/>
      <c r="DND46" s="77"/>
      <c r="DOU46" s="77"/>
      <c r="DXZ46" s="77"/>
    </row>
    <row r="47" spans="1:1022 1027:2003 2054:3072 3079:3437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G47" s="77"/>
      <c r="EA47" s="77"/>
      <c r="NI47" s="77"/>
      <c r="NO47" s="77"/>
      <c r="ST47" s="77"/>
      <c r="UK47" s="77"/>
      <c r="UP47" s="77"/>
      <c r="XA47" s="77"/>
      <c r="ABB47" s="77"/>
      <c r="ABE47" s="77"/>
      <c r="ADP47" s="77"/>
      <c r="ADZ47" s="77"/>
      <c r="AEI47" s="77"/>
      <c r="AEP47" s="77"/>
      <c r="AFC47" s="77"/>
      <c r="AFN47" s="77"/>
      <c r="AFW47" s="77"/>
      <c r="AGP47" s="77"/>
      <c r="AMB47" s="77"/>
      <c r="AMP47" s="77"/>
      <c r="AOB47" s="77"/>
      <c r="BSH47" s="77"/>
      <c r="DKV47" s="77"/>
      <c r="DQK47" s="77"/>
    </row>
    <row r="48" spans="1:1022 1027:2003 2054:3072 3079:3437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V48" s="77"/>
      <c r="RJ48" s="77"/>
      <c r="SD48" s="77"/>
      <c r="VD48" s="77"/>
      <c r="VK48" s="77"/>
      <c r="VT48" s="77"/>
      <c r="WC48" s="77"/>
      <c r="YT48" s="77"/>
      <c r="ZH48" s="77"/>
      <c r="AAJ48" s="77"/>
      <c r="ABE48" s="77"/>
      <c r="ABK48" s="77"/>
      <c r="AEI48" s="77"/>
      <c r="AES48" s="77"/>
      <c r="AFE48" s="77"/>
      <c r="AJA48" s="77"/>
      <c r="ASD48" s="77"/>
      <c r="ASR48" s="77"/>
      <c r="BAY48" s="77"/>
      <c r="BGE48" s="77"/>
      <c r="BJF48" s="77"/>
      <c r="BNQ48" s="77"/>
      <c r="BWE48" s="77"/>
      <c r="BWH48" s="77"/>
      <c r="BXK48" s="77"/>
      <c r="CBQ48" s="77"/>
      <c r="CCB48" s="77"/>
      <c r="CYH48" s="77"/>
      <c r="DAT48" s="77"/>
      <c r="DGG48" s="77"/>
      <c r="DJT48" s="77"/>
      <c r="DSS48" s="77"/>
    </row>
    <row r="49" spans="1:1022 1027:2003 2054:3069 3079:3437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K49" s="77"/>
      <c r="NJ49" s="77"/>
      <c r="TR49" s="77"/>
      <c r="UB49" s="77"/>
      <c r="UI49" s="77"/>
      <c r="WX49" s="77"/>
      <c r="YL49" s="77"/>
      <c r="AFD49" s="77"/>
      <c r="AKC49" s="77"/>
      <c r="AMH49" s="77"/>
      <c r="ATA49" s="77"/>
      <c r="BEM49" s="77"/>
      <c r="BJQ49" s="77"/>
      <c r="BLG49" s="77"/>
      <c r="BLY49" s="77"/>
      <c r="BRG49" s="77"/>
      <c r="BXM49" s="77"/>
      <c r="CBT49" s="77"/>
      <c r="CMG49" s="77"/>
      <c r="CPG49" s="77"/>
      <c r="CUV49" s="77"/>
      <c r="CWM49" s="77"/>
      <c r="CWR49" s="77"/>
      <c r="CXT49" s="77"/>
      <c r="DGJ49" s="77"/>
      <c r="DIP49" s="77"/>
      <c r="DLH49" s="77"/>
      <c r="DMG49" s="77"/>
      <c r="DML49" s="77"/>
      <c r="DQK49" s="77"/>
      <c r="EBE49" s="77"/>
    </row>
    <row r="50" spans="1:1022 1027:2003 2054:3069 3079:3437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K50" s="77"/>
      <c r="NJ50" s="77"/>
      <c r="TR50" s="77"/>
      <c r="UB50" s="77"/>
      <c r="UI50" s="77"/>
      <c r="WX50" s="77"/>
      <c r="YL50" s="77"/>
      <c r="AFD50" s="77"/>
      <c r="AKC50" s="77"/>
      <c r="AMH50" s="77"/>
      <c r="ATA50" s="77"/>
      <c r="BEM50" s="77"/>
      <c r="BJQ50" s="77"/>
      <c r="BLG50" s="77"/>
      <c r="BLY50" s="77"/>
      <c r="BRG50" s="77"/>
      <c r="BXM50" s="77"/>
      <c r="CBT50" s="77"/>
      <c r="CMG50" s="77"/>
      <c r="CPG50" s="77"/>
      <c r="CUV50" s="77"/>
      <c r="CWM50" s="77"/>
      <c r="CWR50" s="77"/>
      <c r="CXT50" s="77"/>
      <c r="DGJ50" s="77"/>
      <c r="DIP50" s="77"/>
      <c r="DLH50" s="77"/>
      <c r="DMG50" s="77"/>
      <c r="DML50" s="77"/>
      <c r="DQK50" s="77"/>
      <c r="EBE50" s="77"/>
    </row>
    <row r="51" spans="1:1022 1027:2003 2054:3069 3079:3437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K51" s="77"/>
      <c r="NJ51" s="77"/>
      <c r="TR51" s="77"/>
      <c r="UB51" s="77"/>
      <c r="UI51" s="77"/>
      <c r="WX51" s="77"/>
      <c r="YL51" s="77"/>
      <c r="AFD51" s="77"/>
      <c r="AKC51" s="77"/>
      <c r="AMH51" s="77"/>
      <c r="ATA51" s="77"/>
      <c r="BEM51" s="77"/>
      <c r="BJQ51" s="77"/>
      <c r="BLG51" s="77"/>
      <c r="BLY51" s="77"/>
      <c r="BRG51" s="77"/>
      <c r="BXM51" s="77"/>
      <c r="CBT51" s="77"/>
      <c r="CMG51" s="77"/>
      <c r="CPG51" s="77"/>
      <c r="CUV51" s="77"/>
      <c r="CWM51" s="77"/>
      <c r="CWR51" s="77"/>
      <c r="CXT51" s="77"/>
      <c r="DGJ51" s="77"/>
      <c r="DIP51" s="77"/>
      <c r="DLH51" s="77"/>
      <c r="DMG51" s="77"/>
      <c r="DML51" s="77"/>
      <c r="DQK51" s="77"/>
      <c r="EBE51" s="77"/>
    </row>
    <row r="52" spans="1:1022 1027:2003 2054:3069 3079:3437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K52" s="77"/>
      <c r="NJ52" s="77"/>
      <c r="TR52" s="77"/>
      <c r="UB52" s="77"/>
      <c r="UI52" s="77"/>
      <c r="WX52" s="77"/>
      <c r="YL52" s="77"/>
      <c r="AFD52" s="77"/>
      <c r="AKC52" s="77"/>
      <c r="AMH52" s="77"/>
      <c r="ATA52" s="77"/>
      <c r="BEM52" s="77"/>
      <c r="BJQ52" s="77"/>
      <c r="BLG52" s="77"/>
      <c r="BLY52" s="77"/>
      <c r="BRG52" s="77"/>
      <c r="BXM52" s="77"/>
      <c r="CBT52" s="77"/>
      <c r="CMG52" s="77"/>
      <c r="CPG52" s="77"/>
      <c r="CUV52" s="77"/>
      <c r="CWM52" s="77"/>
      <c r="CWR52" s="77"/>
      <c r="CXT52" s="77"/>
      <c r="DGJ52" s="77"/>
      <c r="DIP52" s="77"/>
      <c r="DLH52" s="77"/>
      <c r="DMG52" s="77"/>
      <c r="DML52" s="77"/>
      <c r="DQK52" s="77"/>
      <c r="EBE52" s="77"/>
    </row>
    <row r="53" spans="1:1022 1027:2003 2054:3069 3079:3437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27:2003 2054:3069 3079:3437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27:2003 2054:3069 3079:3437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27:2003 2054:3069 3079:3437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27:2003 2054:3069 3079:3437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O57" s="77"/>
      <c r="EW57" s="77"/>
      <c r="HQ57" s="77"/>
      <c r="LK57" s="77"/>
      <c r="QP57" s="77"/>
      <c r="AIP57" s="77"/>
      <c r="AMM57" s="77"/>
      <c r="AQN57" s="77"/>
      <c r="AVK57" s="77"/>
      <c r="BGZ57" s="77"/>
      <c r="BJY57" s="77"/>
      <c r="BMQ57" s="77"/>
      <c r="BNY57" s="77"/>
      <c r="BOA57" s="77"/>
      <c r="BRO57" s="77"/>
      <c r="BRV57" s="77"/>
      <c r="BSP57" s="77"/>
      <c r="BYA57" s="77"/>
      <c r="CMH57" s="77"/>
      <c r="CMK57" s="77"/>
      <c r="CMN57" s="77"/>
      <c r="CTG57" s="77"/>
      <c r="CXI57" s="77"/>
      <c r="CXQ57" s="77"/>
      <c r="DFR57" s="77"/>
      <c r="DGY57" s="77"/>
      <c r="DJZ57" s="77"/>
      <c r="DQV57" s="77"/>
      <c r="DQZ57" s="77"/>
      <c r="DSB57" s="77"/>
      <c r="DWL57" s="77"/>
      <c r="DYZ57" s="77"/>
    </row>
    <row r="58" spans="1:1022 1027:2003 2054:3069 3079:3437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P58" s="77"/>
      <c r="HQ58" s="77"/>
      <c r="AEA58" s="77"/>
      <c r="BDK58" s="77"/>
      <c r="BIA58" s="77"/>
      <c r="BND58" s="77"/>
      <c r="BNY58" s="77"/>
      <c r="BPY58" s="77"/>
      <c r="BQE58" s="77"/>
      <c r="BSP58" s="77"/>
      <c r="BUD58" s="77"/>
      <c r="BUL58" s="77"/>
      <c r="BXF58" s="77"/>
      <c r="BYA58" s="77"/>
      <c r="DFU58" s="77"/>
      <c r="DGY58" s="77"/>
      <c r="DNA58" s="77"/>
      <c r="DZY58" s="77"/>
    </row>
    <row r="59" spans="1:1022 1027:2003 2054:3069 3079:3437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U59" s="77"/>
      <c r="IY59" s="77"/>
      <c r="ON59" s="77"/>
      <c r="RM59" s="77"/>
      <c r="ZF59" s="77"/>
      <c r="ZT59" s="77"/>
      <c r="AKC59" s="77"/>
      <c r="ALC59" s="77"/>
      <c r="AOL59" s="77"/>
      <c r="APQ59" s="77"/>
      <c r="ATF59" s="77"/>
      <c r="AYL59" s="77"/>
      <c r="AYV59" s="77"/>
      <c r="BEX59" s="77"/>
      <c r="BHL59" s="77"/>
      <c r="BMW59" s="77"/>
      <c r="BQP59" s="77"/>
      <c r="BRE59" s="77"/>
      <c r="BTT59" s="77"/>
      <c r="BTY59" s="77"/>
      <c r="BUI59" s="77"/>
      <c r="BVY59" s="77"/>
      <c r="CAY59" s="77"/>
      <c r="CCV59" s="77"/>
      <c r="CDN59" s="77"/>
      <c r="CDO59" s="77"/>
      <c r="CIK59" s="77"/>
      <c r="CKL59" s="77"/>
      <c r="CMI59" s="77"/>
      <c r="CNY59" s="77"/>
      <c r="CPB59" s="77"/>
      <c r="CPW59" s="77"/>
      <c r="CRP59" s="77"/>
      <c r="CXM59" s="77"/>
      <c r="DBF59" s="77"/>
      <c r="DCQ59" s="77"/>
      <c r="DGA59" s="77"/>
      <c r="DGJ59" s="77"/>
      <c r="DKR59" s="77"/>
      <c r="DQR59" s="77"/>
      <c r="DQS59" s="77"/>
      <c r="DTI59" s="77"/>
      <c r="DZS59" s="77"/>
    </row>
    <row r="60" spans="1:1022 1027:2003 2054:3069 3079:3437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U60" s="77"/>
      <c r="DB60" s="77"/>
      <c r="DM60" s="77"/>
      <c r="DY60" s="77"/>
      <c r="SJ60" s="77"/>
      <c r="VO60" s="77"/>
      <c r="WP60" s="77"/>
      <c r="ZF60" s="77"/>
      <c r="AIX60" s="77"/>
      <c r="BHL60" s="77"/>
      <c r="BIL60" s="77"/>
      <c r="BKZ60" s="77"/>
      <c r="BMY60" s="77"/>
      <c r="BNB60" s="77"/>
      <c r="BNI60" s="77"/>
      <c r="BRE60" s="77"/>
      <c r="BTY60" s="77"/>
      <c r="BWF60" s="77"/>
      <c r="CDO60" s="77"/>
      <c r="CIO60" s="77"/>
      <c r="CME60" s="77"/>
      <c r="CMI60" s="77"/>
      <c r="CNV60" s="77"/>
      <c r="COF60" s="77"/>
      <c r="COQ60" s="77"/>
      <c r="CVS60" s="77"/>
      <c r="CXM60" s="77"/>
      <c r="DBF60" s="77"/>
      <c r="DEJ60" s="77"/>
      <c r="DEW60" s="77"/>
      <c r="DEX60" s="77"/>
      <c r="DFU60" s="77"/>
      <c r="DGL60" s="77"/>
      <c r="DQS60" s="77"/>
      <c r="DSC60" s="77"/>
    </row>
    <row r="61" spans="1:1022 1027:2003 2054:3069 3079:3437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U61" s="77"/>
      <c r="HM61" s="77"/>
      <c r="AFS61" s="77"/>
      <c r="AMV61" s="77"/>
      <c r="ANK61" s="77"/>
      <c r="ANR61" s="77"/>
      <c r="APF61" s="77"/>
      <c r="AQT61" s="77"/>
      <c r="ASA61" s="77"/>
      <c r="AUO61" s="77"/>
      <c r="AWF61" s="77"/>
      <c r="BAQ61" s="77"/>
      <c r="BZZ61" s="77"/>
      <c r="CAE61" s="77"/>
      <c r="CFG61" s="77"/>
      <c r="CIA61" s="77"/>
      <c r="CJE61" s="77"/>
      <c r="CYX61" s="77"/>
      <c r="CZX61" s="77"/>
      <c r="DDG61" s="77"/>
      <c r="DOG61" s="77"/>
      <c r="DOV61" s="77"/>
      <c r="DTW61" s="77"/>
      <c r="EBD61" s="77"/>
    </row>
    <row r="62" spans="1:1022 1027:2003 2054:3069 3079:3437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H62" s="77"/>
      <c r="EW62" s="77"/>
      <c r="HZ62" s="77"/>
      <c r="IY62" s="77"/>
      <c r="NM62" s="77"/>
      <c r="TW62" s="77"/>
      <c r="VK62" s="77"/>
      <c r="WP62" s="77"/>
      <c r="AGT62" s="77"/>
      <c r="AIP62" s="77"/>
      <c r="AJA62" s="77"/>
      <c r="AKG62" s="77"/>
      <c r="AKY62" s="77"/>
      <c r="AOL62" s="77"/>
      <c r="APW62" s="77"/>
      <c r="AUB62" s="77"/>
      <c r="AWS62" s="77"/>
      <c r="BAD62" s="77"/>
      <c r="BBU62" s="77"/>
      <c r="BDJ62" s="77"/>
      <c r="BMK62" s="77"/>
      <c r="BPO62" s="77"/>
      <c r="BQJ62" s="77"/>
      <c r="BQY62" s="77"/>
      <c r="BVS62" s="77"/>
      <c r="BWF62" s="77"/>
      <c r="CEL62" s="77"/>
      <c r="CEO62" s="77"/>
      <c r="CJR62" s="77"/>
      <c r="CLC62" s="77"/>
      <c r="CWF62" s="77"/>
      <c r="CWN62" s="77"/>
      <c r="DCE62" s="77"/>
      <c r="DFT62" s="77"/>
      <c r="DFW62" s="77"/>
      <c r="DGM62" s="77"/>
      <c r="DHM62" s="77"/>
      <c r="DLW62" s="77"/>
      <c r="DNK62" s="77"/>
      <c r="DNO62" s="77"/>
      <c r="DOR62" s="77"/>
      <c r="DXZ62" s="77"/>
      <c r="EAN62" s="77"/>
    </row>
    <row r="63" spans="1:1022 1027:2003 2054:3069 3079:3437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H63" s="77"/>
      <c r="EW63" s="77"/>
      <c r="HZ63" s="77"/>
      <c r="IY63" s="77"/>
      <c r="NM63" s="77"/>
      <c r="TW63" s="77"/>
      <c r="VK63" s="77"/>
      <c r="WP63" s="77"/>
      <c r="AGT63" s="77"/>
      <c r="AJA63" s="77"/>
      <c r="AKG63" s="77"/>
      <c r="AKY63" s="77"/>
      <c r="ANY63" s="77"/>
      <c r="AOL63" s="77"/>
      <c r="APA63" s="77"/>
      <c r="APW63" s="77"/>
      <c r="AUB63" s="77"/>
      <c r="BAD63" s="77"/>
      <c r="BBU63" s="77"/>
      <c r="BDJ63" s="77"/>
      <c r="BHQ63" s="77"/>
      <c r="BMK63" s="77"/>
      <c r="BPO63" s="77"/>
      <c r="BQJ63" s="77"/>
      <c r="BQY63" s="77"/>
      <c r="BVS63" s="77"/>
      <c r="BWF63" s="77"/>
      <c r="CEL63" s="77"/>
      <c r="CEO63" s="77"/>
      <c r="CJR63" s="77"/>
      <c r="CLC63" s="77"/>
      <c r="CTX63" s="77"/>
      <c r="CWN63" s="77"/>
      <c r="DFT63" s="77"/>
      <c r="DFW63" s="77"/>
      <c r="DGM63" s="77"/>
      <c r="DHM63" s="77"/>
      <c r="DMK63" s="77"/>
      <c r="DNK63" s="77"/>
      <c r="DNO63" s="77"/>
      <c r="DOR63" s="77"/>
      <c r="DXF63" s="77"/>
      <c r="DXZ63" s="77"/>
      <c r="DZR63" s="77"/>
      <c r="EAN63" s="77"/>
    </row>
    <row r="64" spans="1:1022 1027:2003 2054:3069 3079:3437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H64" s="77"/>
      <c r="EW64" s="77"/>
      <c r="IY64" s="77"/>
      <c r="NM64" s="77"/>
      <c r="TW64" s="77"/>
      <c r="VK64" s="77"/>
      <c r="WP64" s="77"/>
      <c r="AGT64" s="77"/>
      <c r="AJA64" s="77"/>
      <c r="AKG64" s="77"/>
      <c r="AKY64" s="77"/>
      <c r="ANY64" s="77"/>
      <c r="APW64" s="77"/>
      <c r="AUB64" s="77"/>
      <c r="BAD64" s="77"/>
      <c r="BBU64" s="77"/>
      <c r="BDJ64" s="77"/>
      <c r="BIN64" s="77"/>
      <c r="BMK64" s="77"/>
      <c r="BPO64" s="77"/>
      <c r="BQJ64" s="77"/>
      <c r="BQY64" s="77"/>
      <c r="BVS64" s="77"/>
      <c r="BWF64" s="77"/>
      <c r="CEL64" s="77"/>
      <c r="CEO64" s="77"/>
      <c r="CRP64" s="77"/>
      <c r="DFT64" s="77"/>
      <c r="DFW64" s="77"/>
      <c r="DGM64" s="77"/>
      <c r="DHM64" s="77"/>
      <c r="DNK64" s="77"/>
      <c r="DNO64" s="77"/>
      <c r="DOR64" s="77"/>
      <c r="DXF64" s="77"/>
      <c r="DXZ64" s="77"/>
      <c r="EAN64" s="77"/>
    </row>
    <row r="65" spans="1:1022 1030:2000 2097:3072 3079:3437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W65" s="77"/>
      <c r="IY65" s="77"/>
      <c r="VK65" s="77"/>
      <c r="WP65" s="77"/>
      <c r="AGT65" s="77"/>
      <c r="AIP65" s="77"/>
      <c r="AJA65" s="77"/>
      <c r="AKG65" s="77"/>
      <c r="AKY65" s="77"/>
      <c r="ANY65" s="77"/>
      <c r="AOL65" s="77"/>
      <c r="APW65" s="77"/>
      <c r="AUB65" s="77"/>
      <c r="AWS65" s="77"/>
      <c r="BAD65" s="77"/>
      <c r="BBU65" s="77"/>
      <c r="BDJ65" s="77"/>
      <c r="BHQ65" s="77"/>
      <c r="BMK65" s="77"/>
      <c r="BPO65" s="77"/>
      <c r="BQJ65" s="77"/>
      <c r="BVS65" s="77"/>
      <c r="BWF65" s="77"/>
      <c r="CEL65" s="77"/>
      <c r="DFT65" s="77"/>
      <c r="DFW65" s="77"/>
      <c r="DGM65" s="77"/>
      <c r="DHM65" s="77"/>
      <c r="DNK65" s="77"/>
      <c r="DNO65" s="77"/>
      <c r="DOR65" s="77"/>
      <c r="DQH65" s="77"/>
      <c r="DXF65" s="77"/>
      <c r="DXZ65" s="77"/>
    </row>
    <row r="66" spans="1:1022 1030:2000 2097:3072 3079:3437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W66" s="77"/>
      <c r="IY66" s="77"/>
      <c r="NM66" s="77"/>
      <c r="NW66" s="77"/>
      <c r="VK66" s="77"/>
      <c r="WP66" s="77"/>
      <c r="AGT66" s="77"/>
      <c r="AJA66" s="77"/>
      <c r="AKG66" s="77"/>
      <c r="AKY66" s="77"/>
      <c r="ANY66" s="77"/>
      <c r="AOL66" s="77"/>
      <c r="APW66" s="77"/>
      <c r="AUB66" s="77"/>
      <c r="AWS66" s="77"/>
      <c r="BAD66" s="77"/>
      <c r="BBU66" s="77"/>
      <c r="BDJ66" s="77"/>
      <c r="BMK66" s="77"/>
      <c r="BPO66" s="77"/>
      <c r="BQJ66" s="77"/>
      <c r="BQY66" s="77"/>
      <c r="BVS66" s="77"/>
      <c r="BWF66" s="77"/>
      <c r="CEL66" s="77"/>
      <c r="DFT66" s="77"/>
      <c r="DFW66" s="77"/>
      <c r="DGM66" s="77"/>
      <c r="DHM66" s="77"/>
      <c r="DNK66" s="77"/>
      <c r="DNO66" s="77"/>
      <c r="DXF66" s="77"/>
      <c r="DXZ66" s="77"/>
    </row>
    <row r="67" spans="1:1022 1030:2000 2097:3072 3079:3437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W67" s="77"/>
      <c r="GI67" s="77"/>
      <c r="HZ67" s="77"/>
      <c r="OE67" s="77"/>
      <c r="TW67" s="77"/>
      <c r="VA67" s="77"/>
      <c r="VD67" s="77"/>
      <c r="XW67" s="77"/>
      <c r="AGT67" s="77"/>
      <c r="AIP67" s="77"/>
      <c r="ARY67" s="77"/>
      <c r="BAD67" s="77"/>
      <c r="BDJ67" s="77"/>
      <c r="BSO67" s="77"/>
      <c r="BVR67" s="77"/>
      <c r="BXX67" s="77"/>
      <c r="CEO67" s="77"/>
      <c r="CFB67" s="77"/>
      <c r="CFU67" s="77"/>
      <c r="CIQ67" s="77"/>
      <c r="CJR67" s="77"/>
      <c r="CKB67" s="77"/>
      <c r="CLL67" s="77"/>
      <c r="CPC67" s="77"/>
      <c r="DCE67" s="77"/>
      <c r="DFT67" s="77"/>
      <c r="DFW67" s="77"/>
      <c r="DGM67" s="77"/>
      <c r="DND67" s="77"/>
      <c r="DXZ67" s="77"/>
    </row>
    <row r="68" spans="1:1022 1030:2000 2097:3072 3079:3437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F68" s="77"/>
      <c r="EW68" s="77"/>
      <c r="GI68" s="77"/>
      <c r="HZ68" s="77"/>
      <c r="OE68" s="77"/>
      <c r="TP68" s="77"/>
      <c r="TW68" s="77"/>
      <c r="VA68" s="77"/>
      <c r="VD68" s="77"/>
      <c r="XW68" s="77"/>
      <c r="AGT68" s="77"/>
      <c r="AIP68" s="77"/>
      <c r="ARY68" s="77"/>
      <c r="AXK68" s="77"/>
      <c r="BAD68" s="77"/>
      <c r="BDJ68" s="77"/>
      <c r="BOR68" s="77"/>
      <c r="BQJ68" s="77"/>
      <c r="BSO68" s="77"/>
      <c r="BVR68" s="77"/>
      <c r="BXX68" s="77"/>
      <c r="CEO68" s="77"/>
      <c r="CFB68" s="77"/>
      <c r="CFU68" s="77"/>
      <c r="CIR68" s="77"/>
      <c r="CJR68" s="77"/>
      <c r="CKB68" s="77"/>
      <c r="CLL68" s="77"/>
      <c r="CPC68" s="77"/>
      <c r="CWN68" s="77"/>
      <c r="CZB68" s="77"/>
      <c r="DCE68" s="77"/>
      <c r="DCO68" s="77"/>
      <c r="DFT68" s="77"/>
      <c r="DFW68" s="77"/>
      <c r="DFZ68" s="77"/>
      <c r="DGG68" s="77"/>
      <c r="DGM68" s="77"/>
      <c r="DHS68" s="77"/>
      <c r="DME68" s="77"/>
      <c r="DND68" s="77"/>
      <c r="DXZ68" s="77"/>
    </row>
    <row r="69" spans="1:1022 1030:2000 2097:3072 3079:3437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W69" s="77"/>
      <c r="GI69" s="77"/>
      <c r="HZ69" s="77"/>
      <c r="OE69" s="77"/>
      <c r="TW69" s="77"/>
      <c r="VD69" s="77"/>
      <c r="XW69" s="77"/>
      <c r="YT69" s="77"/>
      <c r="AGT69" s="77"/>
      <c r="AIP69" s="77"/>
      <c r="AJA69" s="77"/>
      <c r="BAD69" s="77"/>
      <c r="BDJ69" s="77"/>
      <c r="BPO69" s="77"/>
      <c r="BQJ69" s="77"/>
      <c r="BSO69" s="77"/>
      <c r="BVR69" s="77"/>
      <c r="BXX69" s="77"/>
      <c r="CEO69" s="77"/>
      <c r="CFA69" s="77"/>
      <c r="CFU69" s="77"/>
      <c r="CJR69" s="77"/>
      <c r="CLL69" s="77"/>
      <c r="CPC69" s="77"/>
      <c r="CWN69" s="77"/>
      <c r="CZB69" s="77"/>
      <c r="DCE69" s="77"/>
      <c r="DFT69" s="77"/>
      <c r="DFW69" s="77"/>
      <c r="DGM69" s="77"/>
      <c r="DME69" s="77"/>
      <c r="DND69" s="77"/>
      <c r="DXZ69" s="77"/>
    </row>
    <row r="70" spans="1:1022 1030:2000 2097:3072 3079:3437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W70" s="77"/>
      <c r="GI70" s="77"/>
      <c r="HZ70" s="77"/>
      <c r="TW70" s="77"/>
      <c r="VD70" s="77"/>
      <c r="XW70" s="77"/>
      <c r="YT70" s="77"/>
      <c r="AGM70" s="77"/>
      <c r="AGT70" s="77"/>
      <c r="AIP70" s="77"/>
      <c r="AJA70" s="77"/>
      <c r="AND70" s="77"/>
      <c r="BAD70" s="77"/>
      <c r="BDJ70" s="77"/>
      <c r="BQJ70" s="77"/>
      <c r="BSO70" s="77"/>
      <c r="BWF70" s="77"/>
      <c r="BXX70" s="77"/>
      <c r="CEO70" s="77"/>
      <c r="CJR70" s="77"/>
      <c r="CLL70" s="77"/>
      <c r="CPC70" s="77"/>
      <c r="CWN70" s="77"/>
      <c r="DCE70" s="77"/>
      <c r="DFT70" s="77"/>
      <c r="DFW70" s="77"/>
      <c r="DGM70" s="77"/>
      <c r="DME70" s="77"/>
      <c r="DND70" s="77"/>
      <c r="DOU70" s="77"/>
      <c r="DXZ70" s="77"/>
    </row>
    <row r="71" spans="1:1022 1030:2000 2097:3072 3079:3437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G71" s="77"/>
      <c r="EA71" s="77"/>
      <c r="NI71" s="77"/>
      <c r="NO71" s="77"/>
      <c r="ST71" s="77"/>
      <c r="UK71" s="77"/>
      <c r="UP71" s="77"/>
      <c r="XA71" s="77"/>
      <c r="ABB71" s="77"/>
      <c r="ABE71" s="77"/>
      <c r="ADP71" s="77"/>
      <c r="ADZ71" s="77"/>
      <c r="AEI71" s="77"/>
      <c r="AEP71" s="77"/>
      <c r="AFC71" s="77"/>
      <c r="AFN71" s="77"/>
      <c r="AFW71" s="77"/>
      <c r="AGP71" s="77"/>
      <c r="AMB71" s="77"/>
      <c r="AMP71" s="77"/>
      <c r="AOB71" s="77"/>
      <c r="BSH71" s="77"/>
      <c r="DKV71" s="77"/>
      <c r="DQK71" s="77"/>
    </row>
    <row r="72" spans="1:1022 1030:2000 2097:3072 3079:3437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V72" s="77"/>
      <c r="RJ72" s="77"/>
      <c r="SD72" s="77"/>
      <c r="VD72" s="77"/>
      <c r="VK72" s="77"/>
      <c r="VT72" s="77"/>
      <c r="WC72" s="77"/>
      <c r="YT72" s="77"/>
      <c r="ZH72" s="77"/>
      <c r="AAJ72" s="77"/>
      <c r="ABE72" s="77"/>
      <c r="ABK72" s="77"/>
      <c r="AEI72" s="77"/>
      <c r="AES72" s="77"/>
      <c r="AFE72" s="77"/>
      <c r="AJA72" s="77"/>
      <c r="ASD72" s="77"/>
      <c r="ASR72" s="77"/>
      <c r="BAY72" s="77"/>
      <c r="BGE72" s="77"/>
      <c r="BJF72" s="77"/>
      <c r="BNQ72" s="77"/>
      <c r="BWE72" s="77"/>
      <c r="BWH72" s="77"/>
      <c r="BXK72" s="77"/>
      <c r="CBQ72" s="77"/>
      <c r="CCB72" s="77"/>
      <c r="CYH72" s="77"/>
      <c r="DAT72" s="77"/>
      <c r="DGG72" s="77"/>
      <c r="DJT72" s="77"/>
      <c r="DSS72" s="77"/>
    </row>
    <row r="73" spans="1:1022 1030:2000 2097:3072 3079:3437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K73" s="77"/>
      <c r="NJ73" s="77"/>
      <c r="TR73" s="77"/>
      <c r="UB73" s="77"/>
      <c r="UI73" s="77"/>
      <c r="WX73" s="77"/>
      <c r="YL73" s="77"/>
      <c r="AFD73" s="77"/>
      <c r="AKC73" s="77"/>
      <c r="AMH73" s="77"/>
      <c r="ATA73" s="77"/>
      <c r="BEM73" s="77"/>
      <c r="BJQ73" s="77"/>
      <c r="BLG73" s="77"/>
      <c r="BLY73" s="77"/>
      <c r="BRG73" s="77"/>
      <c r="BXM73" s="77"/>
      <c r="CBT73" s="77"/>
      <c r="CMG73" s="77"/>
      <c r="CPG73" s="77"/>
      <c r="CUV73" s="77"/>
      <c r="CWM73" s="77"/>
      <c r="CWR73" s="77"/>
      <c r="CXT73" s="77"/>
      <c r="DGJ73" s="77"/>
      <c r="DIP73" s="77"/>
      <c r="DLH73" s="77"/>
      <c r="DMG73" s="77"/>
      <c r="DML73" s="77"/>
      <c r="DQK73" s="77"/>
      <c r="EBE73" s="77"/>
    </row>
    <row r="74" spans="1:1022 1030:2000 2097:3072 3079:3437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K74" s="77"/>
      <c r="NJ74" s="77"/>
      <c r="TR74" s="77"/>
      <c r="UB74" s="77"/>
      <c r="UI74" s="77"/>
      <c r="WX74" s="77"/>
      <c r="YL74" s="77"/>
      <c r="AFD74" s="77"/>
      <c r="AKC74" s="77"/>
      <c r="AMH74" s="77"/>
      <c r="ATA74" s="77"/>
      <c r="BEM74" s="77"/>
      <c r="BJQ74" s="77"/>
      <c r="BLG74" s="77"/>
      <c r="BLY74" s="77"/>
      <c r="BRG74" s="77"/>
      <c r="BXM74" s="77"/>
      <c r="CBT74" s="77"/>
      <c r="CMG74" s="77"/>
      <c r="CPG74" s="77"/>
      <c r="CUV74" s="77"/>
      <c r="CWM74" s="77"/>
      <c r="CWR74" s="77"/>
      <c r="CXT74" s="77"/>
      <c r="DGJ74" s="77"/>
      <c r="DIP74" s="77"/>
      <c r="DLH74" s="77"/>
      <c r="DMG74" s="77"/>
      <c r="DML74" s="77"/>
      <c r="DQK74" s="77"/>
      <c r="EBE74" s="77"/>
    </row>
    <row r="75" spans="1:1022 1030:2000 2097:3072 3079:3437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K75" s="77"/>
      <c r="NJ75" s="77"/>
      <c r="TR75" s="77"/>
      <c r="UB75" s="77"/>
      <c r="UI75" s="77"/>
      <c r="WX75" s="77"/>
      <c r="YL75" s="77"/>
      <c r="AFD75" s="77"/>
      <c r="AKC75" s="77"/>
      <c r="AMH75" s="77"/>
      <c r="ATA75" s="77"/>
      <c r="BEM75" s="77"/>
      <c r="BJQ75" s="77"/>
      <c r="BLG75" s="77"/>
      <c r="BLY75" s="77"/>
      <c r="BRG75" s="77"/>
      <c r="BXM75" s="77"/>
      <c r="CBT75" s="77"/>
      <c r="CMG75" s="77"/>
      <c r="CPG75" s="77"/>
      <c r="CUV75" s="77"/>
      <c r="CWM75" s="77"/>
      <c r="CWR75" s="77"/>
      <c r="CXT75" s="77"/>
      <c r="DGJ75" s="77"/>
      <c r="DIP75" s="77"/>
      <c r="DLH75" s="77"/>
      <c r="DMG75" s="77"/>
      <c r="DML75" s="77"/>
      <c r="DQK75" s="77"/>
      <c r="EBE75" s="77"/>
    </row>
    <row r="76" spans="1:1022 1030:2000 2097:3072 3079:3437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K76" s="77"/>
      <c r="NJ76" s="77"/>
      <c r="TR76" s="77"/>
      <c r="UB76" s="77"/>
      <c r="UI76" s="77"/>
      <c r="WX76" s="77"/>
      <c r="YL76" s="77"/>
      <c r="AFD76" s="77"/>
      <c r="AKC76" s="77"/>
      <c r="AMH76" s="77"/>
      <c r="ATA76" s="77"/>
      <c r="BEM76" s="77"/>
      <c r="BJQ76" s="77"/>
      <c r="BLG76" s="77"/>
      <c r="BLY76" s="77"/>
      <c r="BRG76" s="77"/>
      <c r="BXM76" s="77"/>
      <c r="CBT76" s="77"/>
      <c r="CMG76" s="77"/>
      <c r="CPG76" s="77"/>
      <c r="CUV76" s="77"/>
      <c r="CWM76" s="77"/>
      <c r="CWR76" s="77"/>
      <c r="CXT76" s="77"/>
      <c r="DGJ76" s="77"/>
      <c r="DIP76" s="77"/>
      <c r="DLH76" s="77"/>
      <c r="DMG76" s="77"/>
      <c r="DML76" s="77"/>
      <c r="DQK76" s="77"/>
      <c r="EBE76" s="77"/>
    </row>
    <row r="77" spans="1:1022 1030:2000 2097:3072 3079:3437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0:2000 2097:3072 3079:3437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0:2000 2097:3072 3079:3437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0:2000 2097:3072 3079:3437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0:2000 2097:3072 3115:3437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0:2000 2097:3072 3115:3437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W82" s="77"/>
      <c r="GI82" s="77"/>
      <c r="HZ82" s="77"/>
      <c r="OE82" s="77"/>
      <c r="TW82" s="77"/>
      <c r="VA82" s="77"/>
      <c r="VD82" s="77"/>
      <c r="XW82" s="77"/>
      <c r="AGT82" s="77"/>
      <c r="AIP82" s="77"/>
      <c r="ARY82" s="77"/>
      <c r="BAD82" s="77"/>
      <c r="BDJ82" s="77"/>
      <c r="BSO82" s="77"/>
      <c r="BVR82" s="77"/>
      <c r="BXX82" s="77"/>
      <c r="CEO82" s="77"/>
      <c r="CFB82" s="77"/>
      <c r="CFU82" s="77"/>
      <c r="CIQ82" s="77"/>
      <c r="CJR82" s="77"/>
      <c r="CKB82" s="77"/>
      <c r="CLL82" s="77"/>
      <c r="CPC82" s="77"/>
      <c r="DCE82" s="77"/>
      <c r="DFT82" s="77"/>
      <c r="DFW82" s="77"/>
      <c r="DGM82" s="77"/>
      <c r="DND82" s="77"/>
      <c r="DXZ82" s="77"/>
    </row>
    <row r="83" spans="1:1022 1030:2000 2097:3072 3115:3437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F83" s="77"/>
      <c r="EW83" s="77"/>
      <c r="GI83" s="77"/>
      <c r="HZ83" s="77"/>
      <c r="OE83" s="77"/>
      <c r="TP83" s="77"/>
      <c r="TW83" s="77"/>
      <c r="VA83" s="77"/>
      <c r="VD83" s="77"/>
      <c r="XW83" s="77"/>
      <c r="AGT83" s="77"/>
      <c r="AIP83" s="77"/>
      <c r="ARY83" s="77"/>
      <c r="AXK83" s="77"/>
      <c r="BAD83" s="77"/>
      <c r="BDJ83" s="77"/>
      <c r="BOR83" s="77"/>
      <c r="BQJ83" s="77"/>
      <c r="BSO83" s="77"/>
      <c r="BVR83" s="77"/>
      <c r="BXX83" s="77"/>
      <c r="CEO83" s="77"/>
      <c r="CFB83" s="77"/>
      <c r="CFU83" s="77"/>
      <c r="CIR83" s="77"/>
      <c r="CJR83" s="77"/>
      <c r="CKB83" s="77"/>
      <c r="CLL83" s="77"/>
      <c r="CPC83" s="77"/>
      <c r="CWN83" s="77"/>
      <c r="CZB83" s="77"/>
      <c r="DCE83" s="77"/>
      <c r="DCO83" s="77"/>
      <c r="DFT83" s="77"/>
      <c r="DFW83" s="77"/>
      <c r="DFZ83" s="77"/>
      <c r="DGG83" s="77"/>
      <c r="DGM83" s="77"/>
      <c r="DHS83" s="77"/>
      <c r="DME83" s="77"/>
      <c r="DND83" s="77"/>
      <c r="DXZ83" s="77"/>
    </row>
    <row r="84" spans="1:1022 1030:2000 2097:3072 3115:3437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W84" s="77"/>
      <c r="GI84" s="77"/>
      <c r="HZ84" s="77"/>
      <c r="OE84" s="77"/>
      <c r="TW84" s="77"/>
      <c r="VD84" s="77"/>
      <c r="XW84" s="77"/>
      <c r="YT84" s="77"/>
      <c r="AGT84" s="77"/>
      <c r="AIP84" s="77"/>
      <c r="AJA84" s="77"/>
      <c r="BAD84" s="77"/>
      <c r="BDJ84" s="77"/>
      <c r="BPO84" s="77"/>
      <c r="BQJ84" s="77"/>
      <c r="BSO84" s="77"/>
      <c r="BVR84" s="77"/>
      <c r="BXX84" s="77"/>
      <c r="CEO84" s="77"/>
      <c r="CFA84" s="77"/>
      <c r="CFU84" s="77"/>
      <c r="CJR84" s="77"/>
      <c r="CLL84" s="77"/>
      <c r="CPC84" s="77"/>
      <c r="CWN84" s="77"/>
      <c r="CZB84" s="77"/>
      <c r="DCE84" s="77"/>
      <c r="DFT84" s="77"/>
      <c r="DFW84" s="77"/>
      <c r="DGM84" s="77"/>
      <c r="DME84" s="77"/>
      <c r="DND84" s="77"/>
      <c r="DXZ84" s="77"/>
    </row>
    <row r="85" spans="1:1022 1030:2000 2097:3072 3115:3437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W85" s="77"/>
      <c r="GI85" s="77"/>
      <c r="HZ85" s="77"/>
      <c r="TW85" s="77"/>
      <c r="VD85" s="77"/>
      <c r="XW85" s="77"/>
      <c r="YT85" s="77"/>
      <c r="AGM85" s="77"/>
      <c r="AGT85" s="77"/>
      <c r="AIP85" s="77"/>
      <c r="AJA85" s="77"/>
      <c r="AND85" s="77"/>
      <c r="BAD85" s="77"/>
      <c r="BDJ85" s="77"/>
      <c r="BQJ85" s="77"/>
      <c r="BSO85" s="77"/>
      <c r="BWF85" s="77"/>
      <c r="BXX85" s="77"/>
      <c r="CEO85" s="77"/>
      <c r="CJR85" s="77"/>
      <c r="CLL85" s="77"/>
      <c r="CPC85" s="77"/>
      <c r="CWN85" s="77"/>
      <c r="DCE85" s="77"/>
      <c r="DFT85" s="77"/>
      <c r="DFW85" s="77"/>
      <c r="DGM85" s="77"/>
      <c r="DME85" s="77"/>
      <c r="DND85" s="77"/>
      <c r="DOU85" s="77"/>
      <c r="DXZ85" s="77"/>
    </row>
    <row r="86" spans="1:1022 1030:2000 2097:3072 3115:3437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G86" s="77"/>
      <c r="EA86" s="77"/>
      <c r="NI86" s="77"/>
      <c r="NO86" s="77"/>
      <c r="ST86" s="77"/>
      <c r="UK86" s="77"/>
      <c r="UP86" s="77"/>
      <c r="XA86" s="77"/>
      <c r="ABB86" s="77"/>
      <c r="ABE86" s="77"/>
      <c r="ADP86" s="77"/>
      <c r="ADZ86" s="77"/>
      <c r="AEI86" s="77"/>
      <c r="AEP86" s="77"/>
      <c r="AFC86" s="77"/>
      <c r="AFN86" s="77"/>
      <c r="AFW86" s="77"/>
      <c r="AGP86" s="77"/>
      <c r="AMB86" s="77"/>
      <c r="AMP86" s="77"/>
      <c r="AOB86" s="77"/>
      <c r="BSH86" s="77"/>
      <c r="DKV86" s="77"/>
      <c r="DQK86" s="77"/>
    </row>
    <row r="87" spans="1:1022 1030:2000 2097:3072 3115:3437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V87" s="77"/>
      <c r="RJ87" s="77"/>
      <c r="SD87" s="77"/>
      <c r="VD87" s="77"/>
      <c r="VK87" s="77"/>
      <c r="VT87" s="77"/>
      <c r="WC87" s="77"/>
      <c r="YT87" s="77"/>
      <c r="ZH87" s="77"/>
      <c r="AAJ87" s="77"/>
      <c r="ABE87" s="77"/>
      <c r="ABK87" s="77"/>
      <c r="AEI87" s="77"/>
      <c r="AES87" s="77"/>
      <c r="AFE87" s="77"/>
      <c r="AJA87" s="77"/>
      <c r="ASD87" s="77"/>
      <c r="ASR87" s="77"/>
      <c r="BAY87" s="77"/>
      <c r="BGE87" s="77"/>
      <c r="BJF87" s="77"/>
      <c r="BNQ87" s="77"/>
      <c r="BWE87" s="77"/>
      <c r="BWH87" s="77"/>
      <c r="BXK87" s="77"/>
      <c r="CBQ87" s="77"/>
      <c r="CCB87" s="77"/>
      <c r="CYH87" s="77"/>
      <c r="DAT87" s="77"/>
      <c r="DGG87" s="77"/>
      <c r="DJT87" s="77"/>
      <c r="DSS87" s="77"/>
    </row>
    <row r="88" spans="1:1022 1030:2000 2097:3072 3115:3437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K88" s="77"/>
      <c r="NJ88" s="77"/>
      <c r="TR88" s="77"/>
      <c r="UB88" s="77"/>
      <c r="UI88" s="77"/>
      <c r="WX88" s="77"/>
      <c r="YL88" s="77"/>
      <c r="AFD88" s="77"/>
      <c r="AKC88" s="77"/>
      <c r="AMH88" s="77"/>
      <c r="ATA88" s="77"/>
      <c r="BEM88" s="77"/>
      <c r="BJQ88" s="77"/>
      <c r="BLG88" s="77"/>
      <c r="BLY88" s="77"/>
      <c r="BRG88" s="77"/>
      <c r="BXM88" s="77"/>
      <c r="CBT88" s="77"/>
      <c r="CMG88" s="77"/>
      <c r="CPG88" s="77"/>
      <c r="CUV88" s="77"/>
      <c r="CWM88" s="77"/>
      <c r="CWR88" s="77"/>
      <c r="CXT88" s="77"/>
      <c r="DGJ88" s="77"/>
      <c r="DIP88" s="77"/>
      <c r="DLH88" s="77"/>
      <c r="DMG88" s="77"/>
      <c r="DML88" s="77"/>
      <c r="DQK88" s="77"/>
      <c r="EBE88" s="77"/>
    </row>
    <row r="89" spans="1:1022 1030:2000 2097:3072 3115:3437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K89" s="77"/>
      <c r="NJ89" s="77"/>
      <c r="TR89" s="77"/>
      <c r="UB89" s="77"/>
      <c r="UI89" s="77"/>
      <c r="WX89" s="77"/>
      <c r="YL89" s="77"/>
      <c r="AFD89" s="77"/>
      <c r="AKC89" s="77"/>
      <c r="AMH89" s="77"/>
      <c r="ATA89" s="77"/>
      <c r="BEM89" s="77"/>
      <c r="BJQ89" s="77"/>
      <c r="BLG89" s="77"/>
      <c r="BLY89" s="77"/>
      <c r="BRG89" s="77"/>
      <c r="BXM89" s="77"/>
      <c r="CBT89" s="77"/>
      <c r="CMG89" s="77"/>
      <c r="CPG89" s="77"/>
      <c r="CUV89" s="77"/>
      <c r="CWM89" s="77"/>
      <c r="CWR89" s="77"/>
      <c r="CXT89" s="77"/>
      <c r="DGJ89" s="77"/>
      <c r="DIP89" s="77"/>
      <c r="DLH89" s="77"/>
      <c r="DMG89" s="77"/>
      <c r="DML89" s="77"/>
      <c r="DQK89" s="77"/>
      <c r="EBE89" s="77"/>
    </row>
    <row r="90" spans="1:1022 1030:2000 2097:3072 3115:3437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K90" s="77"/>
      <c r="NJ90" s="77"/>
      <c r="TR90" s="77"/>
      <c r="UB90" s="77"/>
      <c r="UI90" s="77"/>
      <c r="WX90" s="77"/>
      <c r="YL90" s="77"/>
      <c r="AFD90" s="77"/>
      <c r="AKC90" s="77"/>
      <c r="AMH90" s="77"/>
      <c r="ATA90" s="77"/>
      <c r="BEM90" s="77"/>
      <c r="BJQ90" s="77"/>
      <c r="BLG90" s="77"/>
      <c r="BLY90" s="77"/>
      <c r="BRG90" s="77"/>
      <c r="BXM90" s="77"/>
      <c r="CBT90" s="77"/>
      <c r="CMG90" s="77"/>
      <c r="CPG90" s="77"/>
      <c r="CUV90" s="77"/>
      <c r="CWM90" s="77"/>
      <c r="CWR90" s="77"/>
      <c r="CXT90" s="77"/>
      <c r="DGJ90" s="77"/>
      <c r="DIP90" s="77"/>
      <c r="DLH90" s="77"/>
      <c r="DMG90" s="77"/>
      <c r="DML90" s="77"/>
      <c r="DQK90" s="77"/>
      <c r="EBE90" s="77"/>
    </row>
    <row r="91" spans="1:1022 1030:2000 2097:3072 3115:3437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K91" s="77"/>
      <c r="NJ91" s="77"/>
      <c r="TR91" s="77"/>
      <c r="UB91" s="77"/>
      <c r="UI91" s="77"/>
      <c r="WX91" s="77"/>
      <c r="YL91" s="77"/>
      <c r="AFD91" s="77"/>
      <c r="AKC91" s="77"/>
      <c r="AMH91" s="77"/>
      <c r="ATA91" s="77"/>
      <c r="BEM91" s="77"/>
      <c r="BJQ91" s="77"/>
      <c r="BLG91" s="77"/>
      <c r="BLY91" s="77"/>
      <c r="BRG91" s="77"/>
      <c r="BXM91" s="77"/>
      <c r="CBT91" s="77"/>
      <c r="CMG91" s="77"/>
      <c r="CPG91" s="77"/>
      <c r="CUV91" s="77"/>
      <c r="CWM91" s="77"/>
      <c r="CWR91" s="77"/>
      <c r="CXT91" s="77"/>
      <c r="DGJ91" s="77"/>
      <c r="DIP91" s="77"/>
      <c r="DLH91" s="77"/>
      <c r="DMG91" s="77"/>
      <c r="DML91" s="77"/>
      <c r="DQK91" s="77"/>
      <c r="EBE91" s="77"/>
    </row>
    <row r="92" spans="1:1022 1030:2000 2097:3072 3115:3437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0:2000 2097:3072 3115:3437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0:2000 2097:3072 3115:3437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0:2000 2097:3072 3115:3437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0:2000 2097:3072 3115:3437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expression" dxfId="221" priority="60">
      <formula>AND($F41="MIN",$H41&lt;&gt;"")</formula>
    </cfRule>
    <cfRule type="expression" dxfId="220" priority="61">
      <formula>AND($F41="MIN",$H41="")</formula>
    </cfRule>
    <cfRule type="containsBlanks" dxfId="219" priority="62">
      <formula>LEN(TRIM(G41))=0</formula>
    </cfRule>
  </conditionalFormatting>
  <conditionalFormatting sqref="G11:H20 G21:G40 H21:H98 G57:G98 AK11:AM32 AN11:BP33 AK29:BP64">
    <cfRule type="containsBlanks" dxfId="218" priority="53">
      <formula>LEN(TRIM(G11))=0</formula>
    </cfRule>
  </conditionalFormatting>
  <conditionalFormatting sqref="G11:H98">
    <cfRule type="expression" dxfId="217" priority="16">
      <formula>AND($F11="MIN",$H11&lt;&gt;"")</formula>
    </cfRule>
    <cfRule type="expression" dxfId="216" priority="17">
      <formula>AND($F11="MIN",$H11="")</formula>
    </cfRule>
  </conditionalFormatting>
  <conditionalFormatting sqref="I11:I98">
    <cfRule type="expression" dxfId="215" priority="57">
      <formula>AND(OR($F11="GD&amp;T",$F11="MAX"),$I11&lt;&gt;"")</formula>
    </cfRule>
    <cfRule type="expression" dxfId="214" priority="58">
      <formula>AND(OR($F11="GD&amp;T",$F11="MAX"),$I11="")</formula>
    </cfRule>
    <cfRule type="containsBlanks" dxfId="213" priority="59">
      <formula>LEN(TRIM(I11))=0</formula>
    </cfRule>
  </conditionalFormatting>
  <conditionalFormatting sqref="O11:Q98 AK11:BP98 BU11:BW98">
    <cfRule type="expression" dxfId="212" priority="13">
      <formula>AND($M11&lt;&gt;"",$AK11&lt;&gt;"",O11&lt;$M11)</formula>
    </cfRule>
    <cfRule type="expression" dxfId="211" priority="14">
      <formula>AND($L11&lt;&gt;"",$AK11&lt;&gt;"",O11&gt;$L11)</formula>
    </cfRule>
    <cfRule type="notContainsBlanks" dxfId="210" priority="15">
      <formula>LEN(TRIM(O11))&gt;0</formula>
    </cfRule>
  </conditionalFormatting>
  <conditionalFormatting sqref="R11:R98">
    <cfRule type="expression" dxfId="209" priority="216">
      <formula>AND($R11&lt;&gt;"",$S11&lt;1.67)</formula>
    </cfRule>
    <cfRule type="notContainsBlanks" dxfId="208" priority="217">
      <formula>LEN(TRIM(R11))&gt;0</formula>
    </cfRule>
  </conditionalFormatting>
  <conditionalFormatting sqref="S11:S98 V11:X98">
    <cfRule type="expression" dxfId="207" priority="252">
      <formula>$K11="Yes"</formula>
    </cfRule>
    <cfRule type="expression" dxfId="206" priority="284">
      <formula>AND($AD11&lt;0.966,$AD11&lt;&gt;"")</formula>
    </cfRule>
    <cfRule type="cellIs" dxfId="205" priority="288" operator="lessThan">
      <formula>$E11</formula>
    </cfRule>
    <cfRule type="notContainsBlanks" dxfId="204" priority="292">
      <formula>LEN(TRIM(S11))&gt;0</formula>
    </cfRule>
  </conditionalFormatting>
  <conditionalFormatting sqref="Y11:Y98">
    <cfRule type="containsBlanks" dxfId="203" priority="285">
      <formula>LEN(TRIM(Y11))=0</formula>
    </cfRule>
    <cfRule type="cellIs" dxfId="202" priority="286" operator="between">
      <formula>0.9</formula>
      <formula>0.998</formula>
    </cfRule>
    <cfRule type="cellIs" dxfId="201" priority="287" operator="greaterThanOrEqual">
      <formula>0.998</formula>
    </cfRule>
    <cfRule type="notContainsBlanks" dxfId="200" priority="291">
      <formula>LEN(TRIM(Y11))&gt;0</formula>
    </cfRule>
  </conditionalFormatting>
  <conditionalFormatting sqref="AD11:AE98">
    <cfRule type="expression" dxfId="199" priority="23">
      <formula>AND($AD11&lt;0.966,$AD11&lt;&gt;"")</formula>
    </cfRule>
  </conditionalFormatting>
  <conditionalFormatting sqref="AK29:BP33">
    <cfRule type="expression" dxfId="198" priority="67">
      <formula>AND($M29&lt;&gt;"",$AK29&lt;&gt;"",AK29&lt;$M29)</formula>
    </cfRule>
    <cfRule type="expression" dxfId="197" priority="68">
      <formula>AND($L29&lt;&gt;"",$AK29&lt;&gt;"",AK29&gt;$L29)</formula>
    </cfRule>
    <cfRule type="notContainsBlanks" dxfId="196" priority="69">
      <formula>LEN(TRIM(AK29))&gt;0</formula>
    </cfRule>
  </conditionalFormatting>
  <conditionalFormatting sqref="AK31:BP31">
    <cfRule type="expression" dxfId="195" priority="74">
      <formula>AND($M31&lt;&gt;"",AK31&lt;$M31)</formula>
    </cfRule>
    <cfRule type="expression" dxfId="194" priority="75">
      <formula>AND($L31&lt;&gt;"",AK31&gt;$L31)</formula>
    </cfRule>
    <cfRule type="notContainsBlanks" dxfId="193" priority="76">
      <formula>LEN(TRIM(AK31))&gt;0</formula>
    </cfRule>
  </conditionalFormatting>
  <conditionalFormatting sqref="AK35:BP35">
    <cfRule type="expression" dxfId="192" priority="70">
      <formula>AND($M35&lt;&gt;"",AK35&lt;$M35)</formula>
    </cfRule>
    <cfRule type="expression" dxfId="191" priority="71">
      <formula>AND($L35&lt;&gt;"",AK35&gt;$L35)</formula>
    </cfRule>
    <cfRule type="notContainsBlanks" dxfId="190" priority="72">
      <formula>LEN(TRIM(AK35))&gt;0</formula>
    </cfRule>
  </conditionalFormatting>
  <conditionalFormatting sqref="AK41:BP45">
    <cfRule type="expression" dxfId="189" priority="184">
      <formula>AND($M41&lt;&gt;"",$AK41&lt;&gt;"",AK41&lt;$M41)</formula>
    </cfRule>
    <cfRule type="expression" dxfId="188" priority="185">
      <formula>AND($L41&lt;&gt;"",$AK41&lt;&gt;"",AK41&gt;$L41)</formula>
    </cfRule>
    <cfRule type="notContainsBlanks" dxfId="187" priority="186">
      <formula>LEN(TRIM(AK41))&gt;0</formula>
    </cfRule>
  </conditionalFormatting>
  <conditionalFormatting sqref="AK42:BP44">
    <cfRule type="containsBlanks" dxfId="186" priority="195">
      <formula>LEN(TRIM(AK42))=0</formula>
    </cfRule>
  </conditionalFormatting>
  <conditionalFormatting sqref="AK43:BP43">
    <cfRule type="expression" dxfId="185" priority="201">
      <formula>AND($M43&lt;&gt;"",AK43&lt;$M43)</formula>
    </cfRule>
    <cfRule type="expression" dxfId="184" priority="202">
      <formula>AND($L43&lt;&gt;"",AK43&gt;$L43)</formula>
    </cfRule>
    <cfRule type="notContainsBlanks" dxfId="183" priority="203">
      <formula>LEN(TRIM(AK43))&gt;0</formula>
    </cfRule>
  </conditionalFormatting>
  <conditionalFormatting sqref="AK47:BP47">
    <cfRule type="expression" dxfId="182" priority="192">
      <formula>AND($M47&lt;&gt;"",AK47&lt;$M47)</formula>
    </cfRule>
    <cfRule type="expression" dxfId="181" priority="193">
      <formula>AND($L47&lt;&gt;"",AK47&gt;$L47)</formula>
    </cfRule>
    <cfRule type="notContainsBlanks" dxfId="180" priority="194">
      <formula>LEN(TRIM(AK47))&gt;0</formula>
    </cfRule>
  </conditionalFormatting>
  <conditionalFormatting sqref="AK49:BP56 AK73:BP81 AN81:BP85 AK88:BP91">
    <cfRule type="expression" dxfId="179" priority="230">
      <formula>AND($L49&lt;&gt;"",$AK49&lt;&gt;"",AK49&gt;$L49)</formula>
    </cfRule>
    <cfRule type="notContainsBlanks" dxfId="178" priority="231">
      <formula>LEN(TRIM(AK49))&gt;0</formula>
    </cfRule>
  </conditionalFormatting>
  <conditionalFormatting sqref="AK65:BP69">
    <cfRule type="expression" dxfId="177" priority="157">
      <formula>AND($M65&lt;&gt;"",$AK65&lt;&gt;"",AK65&lt;$M65)</formula>
    </cfRule>
    <cfRule type="expression" dxfId="176" priority="158">
      <formula>AND($L65&lt;&gt;"",$AK65&lt;&gt;"",AK65&gt;$L65)</formula>
    </cfRule>
    <cfRule type="notContainsBlanks" dxfId="175" priority="159">
      <formula>LEN(TRIM(AK65))&gt;0</formula>
    </cfRule>
  </conditionalFormatting>
  <conditionalFormatting sqref="AK65:BP83">
    <cfRule type="containsBlanks" dxfId="174" priority="141">
      <formula>LEN(TRIM(AK65))=0</formula>
    </cfRule>
  </conditionalFormatting>
  <conditionalFormatting sqref="AK66:BP68">
    <cfRule type="containsBlanks" dxfId="173" priority="168">
      <formula>LEN(TRIM(AK66))=0</formula>
    </cfRule>
  </conditionalFormatting>
  <conditionalFormatting sqref="AK67:BP67">
    <cfRule type="expression" dxfId="172" priority="174">
      <formula>AND($M67&lt;&gt;"",AK67&lt;$M67)</formula>
    </cfRule>
    <cfRule type="expression" dxfId="171" priority="175">
      <formula>AND($L67&lt;&gt;"",AK67&gt;$L67)</formula>
    </cfRule>
    <cfRule type="notContainsBlanks" dxfId="170" priority="176">
      <formula>LEN(TRIM(AK67))&gt;0</formula>
    </cfRule>
  </conditionalFormatting>
  <conditionalFormatting sqref="AK71:BP71">
    <cfRule type="expression" dxfId="169" priority="165">
      <formula>AND($M71&lt;&gt;"",AK71&lt;$M71)</formula>
    </cfRule>
    <cfRule type="expression" dxfId="168" priority="166">
      <formula>AND($L71&lt;&gt;"",AK71&gt;$L71)</formula>
    </cfRule>
    <cfRule type="notContainsBlanks" dxfId="167" priority="167">
      <formula>LEN(TRIM(AK71))&gt;0</formula>
    </cfRule>
  </conditionalFormatting>
  <conditionalFormatting sqref="AK73:BP81 AN81:BP85 AK49:BP56 AK88:BP91">
    <cfRule type="expression" dxfId="166" priority="229">
      <formula>AND($M49&lt;&gt;"",$AK49&lt;&gt;"",AK49&lt;$M49)</formula>
    </cfRule>
  </conditionalFormatting>
  <conditionalFormatting sqref="AK77:BP81 AN81:BP85">
    <cfRule type="containsBlanks" dxfId="165" priority="240">
      <formula>LEN(TRIM(AK77))=0</formula>
    </cfRule>
  </conditionalFormatting>
  <conditionalFormatting sqref="AK82:BP82">
    <cfRule type="expression" dxfId="164" priority="147">
      <formula>AND($M82&lt;&gt;"",AK82&lt;$M82)</formula>
    </cfRule>
    <cfRule type="expression" dxfId="163" priority="148">
      <formula>AND($L82&lt;&gt;"",AK82&gt;$L82)</formula>
    </cfRule>
    <cfRule type="notContainsBlanks" dxfId="162" priority="149">
      <formula>LEN(TRIM(AK82))&gt;0</formula>
    </cfRule>
  </conditionalFormatting>
  <conditionalFormatting sqref="AK82:BP84">
    <cfRule type="expression" dxfId="161" priority="130">
      <formula>AND($M82&lt;&gt;"",$AK82&lt;&gt;"",AK82&lt;$M82)</formula>
    </cfRule>
    <cfRule type="expression" dxfId="160" priority="131">
      <formula>AND($L82&lt;&gt;"",$AK82&lt;&gt;"",AK82&gt;$L82)</formula>
    </cfRule>
    <cfRule type="notContainsBlanks" dxfId="159" priority="132">
      <formula>LEN(TRIM(AK82))&gt;0</formula>
    </cfRule>
  </conditionalFormatting>
  <conditionalFormatting sqref="AK82:BP98">
    <cfRule type="containsBlanks" dxfId="158" priority="22">
      <formula>LEN(TRIM(AK82))=0</formula>
    </cfRule>
  </conditionalFormatting>
  <conditionalFormatting sqref="AK86:BP86">
    <cfRule type="expression" dxfId="157" priority="138">
      <formula>AND($M86&lt;&gt;"",AK86&lt;$M86)</formula>
    </cfRule>
    <cfRule type="expression" dxfId="156" priority="139">
      <formula>AND($L86&lt;&gt;"",AK86&gt;$L86)</formula>
    </cfRule>
    <cfRule type="notContainsBlanks" dxfId="155" priority="140">
      <formula>LEN(TRIM(AK86))&gt;0</formula>
    </cfRule>
  </conditionalFormatting>
  <conditionalFormatting sqref="AN39:BP40">
    <cfRule type="expression" dxfId="154" priority="78">
      <formula>AND($M39&lt;&gt;"",$AK39&lt;&gt;"",AN39&lt;$M39)</formula>
    </cfRule>
    <cfRule type="expression" dxfId="153" priority="79">
      <formula>AND($L39&lt;&gt;"",$AK39&lt;&gt;"",AN39&gt;$L39)</formula>
    </cfRule>
    <cfRule type="notContainsBlanks" dxfId="152" priority="80">
      <formula>LEN(TRIM(AN39))&gt;0</formula>
    </cfRule>
    <cfRule type="containsBlanks" dxfId="151" priority="81">
      <formula>LEN(TRIM(AN39))=0</formula>
    </cfRule>
  </conditionalFormatting>
  <conditionalFormatting sqref="AN81:BP85">
    <cfRule type="containsBlanks" dxfId="150" priority="228">
      <formula>LEN(TRIM(AN81))=0</formula>
    </cfRule>
  </conditionalFormatting>
  <conditionalFormatting sqref="BX11:BX98">
    <cfRule type="endsWith" dxfId="149" priority="1" operator="endsWith" text="OK">
      <formula>RIGHT(BX11,LEN("OK"))="OK"</formula>
    </cfRule>
    <cfRule type="endsWith" dxfId="148" priority="2" operator="endsWith" text="OOS">
      <formula>RIGHT(BX11,LEN("OOS"))="OOS"</formula>
    </cfRule>
    <cfRule type="endsWith" dxfId="147" priority="3" operator="endsWith" text="OOC">
      <formula>RIGHT(BX11,LEN("OOC"))="OOC"</formula>
    </cfRule>
  </conditionalFormatting>
  <dataValidations disablePrompts="1" count="3">
    <dataValidation type="list" allowBlank="1" showInputMessage="1" showErrorMessage="1" sqref="K11:K98" xr:uid="{00000000-0002-0000-0200-000000000000}">
      <formula1>gauging</formula1>
    </dataValidation>
    <dataValidation type="list" allowBlank="1" showInputMessage="1" showErrorMessage="1" sqref="F11:F98" xr:uid="{00000000-0002-0000-0200-000001000000}">
      <formula1>dim_type</formula1>
    </dataValidation>
    <dataValidation type="list" allowBlank="1" showInputMessage="1" showErrorMessage="1" sqref="J11:J98" xr:uid="{00000000-0002-0000-0200-000002000000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95:I98 H11:I11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EBE103"/>
  <sheetViews>
    <sheetView showGridLines="0" zoomScaleNormal="100" zoomScalePageLayoutView="125" workbookViewId="0">
      <pane xSplit="14" ySplit="10" topLeftCell="O11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39" max="68" width="8.6640625" customWidth="1"/>
    <col min="70" max="70" width="11" bestFit="1" customWidth="1"/>
  </cols>
  <sheetData>
    <row r="1" spans="1:926 1251:1425 2259:3068 3398:3428" s="1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36"/>
      <c r="AG1" s="36"/>
      <c r="AH1" s="36"/>
      <c r="AI1" s="36"/>
      <c r="AJ1" s="11"/>
    </row>
    <row r="2" spans="1:926 1251:1425 2259:3068 3398:3428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87" t="s">
        <v>13</v>
      </c>
      <c r="W2" s="187"/>
      <c r="X2" s="7"/>
      <c r="AB2" s="8"/>
      <c r="AE2" s="8"/>
      <c r="AF2" s="8"/>
      <c r="AG2" s="8"/>
      <c r="AH2" s="8"/>
      <c r="AI2" s="8"/>
      <c r="AJ2" s="8"/>
    </row>
    <row r="3" spans="1:926 1251:1425 2259:3068 3398:3428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6 1251:1425 2259:3068 3398:3428" s="1" customFormat="1" ht="18.75" customHeight="1">
      <c r="B4" s="174" t="s">
        <v>14</v>
      </c>
      <c r="C4" s="176"/>
      <c r="D4" s="12" t="s">
        <v>227</v>
      </c>
      <c r="E4" s="34"/>
      <c r="F4" s="182" t="s">
        <v>15</v>
      </c>
      <c r="G4" s="183"/>
      <c r="H4" s="194" t="s">
        <v>139</v>
      </c>
      <c r="I4" s="195"/>
      <c r="J4" s="195"/>
      <c r="K4" s="195"/>
      <c r="L4" s="195"/>
      <c r="M4" s="196"/>
      <c r="N4" s="35"/>
      <c r="O4" s="174" t="s">
        <v>82</v>
      </c>
      <c r="P4" s="175"/>
      <c r="Q4" s="176"/>
      <c r="R4" s="189" t="s">
        <v>284</v>
      </c>
      <c r="S4" s="178"/>
      <c r="T4" s="178"/>
      <c r="U4" s="178"/>
      <c r="V4" s="178"/>
      <c r="W4" s="1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6 1251:1425 2259:3068 3398:3428" s="1" customFormat="1" ht="18.75" customHeight="1">
      <c r="B5" s="174" t="s">
        <v>16</v>
      </c>
      <c r="C5" s="176"/>
      <c r="D5" s="12" t="s">
        <v>136</v>
      </c>
      <c r="E5" s="34"/>
      <c r="F5" s="182" t="s">
        <v>17</v>
      </c>
      <c r="G5" s="183"/>
      <c r="H5" s="194"/>
      <c r="I5" s="195"/>
      <c r="J5" s="195"/>
      <c r="K5" s="195"/>
      <c r="L5" s="195"/>
      <c r="M5" s="196"/>
      <c r="N5" s="35"/>
      <c r="O5" s="174" t="s">
        <v>58</v>
      </c>
      <c r="P5" s="175"/>
      <c r="Q5" s="176"/>
      <c r="R5" s="177" t="s">
        <v>283</v>
      </c>
      <c r="S5" s="178"/>
      <c r="T5" s="178"/>
      <c r="U5" s="178"/>
      <c r="V5" s="178"/>
      <c r="W5" s="1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6 1251:1425 2259:3068 3398:3428" s="1" customFormat="1" ht="18.75" customHeight="1">
      <c r="B6" s="174" t="s">
        <v>18</v>
      </c>
      <c r="C6" s="176"/>
      <c r="D6" s="78" t="s">
        <v>228</v>
      </c>
      <c r="E6" s="34"/>
      <c r="F6" s="182" t="s">
        <v>46</v>
      </c>
      <c r="G6" s="183"/>
      <c r="H6" s="205" t="s">
        <v>285</v>
      </c>
      <c r="I6" s="195"/>
      <c r="J6" s="195"/>
      <c r="K6" s="195"/>
      <c r="L6" s="195"/>
      <c r="M6" s="196"/>
      <c r="N6" s="35"/>
      <c r="O6" s="174" t="s">
        <v>57</v>
      </c>
      <c r="P6" s="175"/>
      <c r="Q6" s="176"/>
      <c r="R6" s="177" t="s">
        <v>229</v>
      </c>
      <c r="S6" s="178"/>
      <c r="T6" s="178"/>
      <c r="U6" s="178"/>
      <c r="V6" s="178"/>
      <c r="W6" s="1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6 1251:1425 2259:3068 3398:3428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6 1251:1425 2259:3068 3398:3428" s="16" customFormat="1" ht="15" customHeight="1">
      <c r="A8" s="24"/>
      <c r="B8" s="179" t="s">
        <v>19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  <c r="N8" s="24"/>
      <c r="O8" s="179" t="s">
        <v>25</v>
      </c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1"/>
      <c r="AG8" s="164" t="s">
        <v>69</v>
      </c>
      <c r="AH8" s="164"/>
      <c r="AI8" s="164"/>
      <c r="AJ8" s="24"/>
      <c r="AK8" s="190" t="s">
        <v>26</v>
      </c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R8" s="200"/>
      <c r="BS8" s="200"/>
      <c r="BT8" s="200"/>
      <c r="BU8" s="200"/>
      <c r="BV8" s="200"/>
      <c r="BW8" s="200"/>
      <c r="BX8" s="202" t="s">
        <v>278</v>
      </c>
    </row>
    <row r="9" spans="1:926 1251:1425 2259:3068 3398:3428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69" t="s">
        <v>77</v>
      </c>
      <c r="AA9" s="170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92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R9" s="201"/>
      <c r="BS9" s="201"/>
      <c r="BT9" s="201"/>
      <c r="BU9" s="201"/>
      <c r="BV9" s="201"/>
      <c r="BW9" s="201"/>
      <c r="BX9" s="203"/>
    </row>
    <row r="10" spans="1:926 1251:1425 2259:3068 3398:3428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204"/>
    </row>
    <row r="11" spans="1:926 1251:1425 2259:3068 3398:3428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W11" s="77"/>
      <c r="QP11" s="77"/>
      <c r="RL11" s="77"/>
      <c r="AHJ11" s="77"/>
      <c r="AIP11" s="77"/>
      <c r="AVC11" s="77"/>
      <c r="AVU11" s="77"/>
      <c r="AZY11" s="77"/>
      <c r="BBU11" s="77"/>
      <c r="CHW11" s="77"/>
      <c r="CNX11" s="77"/>
      <c r="DHP11" s="77"/>
      <c r="DMZ11" s="77"/>
      <c r="DZR11" s="77"/>
      <c r="EAV11" s="77"/>
    </row>
    <row r="12" spans="1:926 1251:1425 2259:3068 3398:3428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W12" s="77"/>
      <c r="QP12" s="77"/>
      <c r="RL12" s="77"/>
      <c r="AHJ12" s="77"/>
      <c r="AIP12" s="77"/>
      <c r="AVC12" s="77"/>
      <c r="AVU12" s="77"/>
      <c r="AZY12" s="77"/>
      <c r="BBU12" s="77"/>
      <c r="CHW12" s="77"/>
      <c r="CNX12" s="77"/>
      <c r="DHP12" s="77"/>
      <c r="DMZ12" s="77"/>
      <c r="DZR12" s="77"/>
      <c r="EAV12" s="77"/>
    </row>
    <row r="13" spans="1:926 1251:1425 2259:3068 3398:3428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W13" s="77"/>
      <c r="QP13" s="77"/>
      <c r="RL13" s="77"/>
      <c r="AHJ13" s="77"/>
      <c r="AIP13" s="77"/>
      <c r="AVC13" s="77"/>
      <c r="AVU13" s="77"/>
      <c r="AZY13" s="77"/>
      <c r="BBU13" s="77"/>
      <c r="CHW13" s="77"/>
      <c r="CNX13" s="77"/>
      <c r="DHP13" s="77"/>
      <c r="DMZ13" s="77"/>
      <c r="DZR13" s="77"/>
      <c r="EAV13" s="77"/>
    </row>
    <row r="14" spans="1:926 1251:1425 2259:3068 3398:3428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W14" s="77"/>
      <c r="QP14" s="77"/>
      <c r="RL14" s="77"/>
      <c r="AHJ14" s="77"/>
      <c r="AIP14" s="77"/>
      <c r="AVC14" s="77"/>
      <c r="AVU14" s="77"/>
      <c r="AZY14" s="77"/>
      <c r="BBU14" s="77"/>
      <c r="CHW14" s="77"/>
      <c r="CNX14" s="77"/>
      <c r="DHP14" s="77"/>
      <c r="DMZ14" s="77"/>
      <c r="DZR14" s="77"/>
      <c r="EAV14" s="77"/>
    </row>
    <row r="15" spans="1:926 1251:1425 2259:3068 3398:3428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W15" s="77"/>
      <c r="QP15" s="77"/>
      <c r="RL15" s="77"/>
      <c r="AHJ15" s="77"/>
      <c r="AIP15" s="77"/>
      <c r="AVC15" s="77"/>
      <c r="AVU15" s="77"/>
      <c r="AZY15" s="77"/>
      <c r="BBU15" s="77"/>
      <c r="CHW15" s="77"/>
      <c r="CNX15" s="77"/>
      <c r="DHP15" s="77"/>
      <c r="DMZ15" s="77"/>
      <c r="DZR15" s="77"/>
      <c r="EAV15" s="77"/>
    </row>
    <row r="16" spans="1:926 1251:1425 2259:3068 3398:3428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W16" s="77"/>
      <c r="QP16" s="77"/>
      <c r="RL16" s="77"/>
      <c r="AHJ16" s="77"/>
      <c r="AIP16" s="77"/>
      <c r="AVC16" s="77"/>
      <c r="AVU16" s="77"/>
      <c r="AZY16" s="77"/>
      <c r="BBU16" s="77"/>
      <c r="CHW16" s="77"/>
      <c r="CNX16" s="77"/>
      <c r="DHP16" s="77"/>
      <c r="DMZ16" s="77"/>
      <c r="DZR16" s="77"/>
      <c r="EAV16" s="77"/>
    </row>
    <row r="17" spans="1:991 1027:2003 2054:3072 3079:3436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W17" s="77"/>
      <c r="QP17" s="77"/>
      <c r="RL17" s="77"/>
      <c r="AHJ17" s="77"/>
      <c r="AIP17" s="77"/>
      <c r="AVC17" s="77"/>
      <c r="AVU17" s="77"/>
      <c r="AZY17" s="77"/>
      <c r="BBU17" s="77"/>
      <c r="CHW17" s="77"/>
      <c r="CNX17" s="77"/>
      <c r="DHP17" s="77"/>
      <c r="DMZ17" s="77"/>
      <c r="DZR17" s="77"/>
      <c r="EAV17" s="77"/>
    </row>
    <row r="18" spans="1:991 1027:2003 2054:3072 3079:3436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W18" s="77"/>
      <c r="QP18" s="77"/>
      <c r="RL18" s="77"/>
      <c r="AHJ18" s="77"/>
      <c r="AIP18" s="77"/>
      <c r="AVC18" s="77"/>
      <c r="AVU18" s="77"/>
      <c r="AZY18" s="77"/>
      <c r="BBU18" s="77"/>
      <c r="CHW18" s="77"/>
      <c r="CNX18" s="77"/>
      <c r="DHP18" s="77"/>
      <c r="DMZ18" s="77"/>
      <c r="DZR18" s="77"/>
      <c r="EAV18" s="77"/>
    </row>
    <row r="19" spans="1:991 1027:2003 2054:3072 3079:3436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W19" s="77"/>
      <c r="QP19" s="77"/>
      <c r="RL19" s="77"/>
      <c r="AHJ19" s="77"/>
      <c r="AIP19" s="77"/>
      <c r="AVC19" s="77"/>
      <c r="AVU19" s="77"/>
      <c r="AZY19" s="77"/>
      <c r="BBU19" s="77"/>
      <c r="CHW19" s="77"/>
      <c r="CNX19" s="77"/>
      <c r="DHP19" s="77"/>
      <c r="DMZ19" s="77"/>
      <c r="DZR19" s="77"/>
      <c r="EAV19" s="77"/>
    </row>
    <row r="20" spans="1:991 1027:2003 2054:3072 3079:3436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W20" s="77"/>
      <c r="QP20" s="77"/>
      <c r="RL20" s="77"/>
      <c r="AHJ20" s="77"/>
      <c r="AIP20" s="77"/>
      <c r="AVC20" s="77"/>
      <c r="AVU20" s="77"/>
      <c r="AZY20" s="77"/>
      <c r="BBU20" s="77"/>
      <c r="CHW20" s="77"/>
      <c r="CNX20" s="77"/>
      <c r="DHP20" s="77"/>
      <c r="DMZ20" s="77"/>
      <c r="DZR20" s="77"/>
      <c r="EAV20" s="77"/>
    </row>
    <row r="21" spans="1:991 1027:2003 2054:3072 3079:3436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O21" s="77"/>
      <c r="EW21" s="77"/>
      <c r="HQ21" s="77"/>
      <c r="LK21" s="77"/>
      <c r="QP21" s="77"/>
      <c r="AIP21" s="77"/>
      <c r="AMM21" s="77"/>
      <c r="AQN21" s="77"/>
      <c r="AVK21" s="77"/>
      <c r="BGZ21" s="77"/>
      <c r="BJY21" s="77"/>
      <c r="BMQ21" s="77"/>
      <c r="BNY21" s="77"/>
      <c r="BOA21" s="77"/>
      <c r="BRO21" s="77"/>
      <c r="BRV21" s="77"/>
      <c r="BSP21" s="77"/>
      <c r="BYA21" s="77"/>
      <c r="CMH21" s="77"/>
      <c r="CMK21" s="77"/>
      <c r="CMN21" s="77"/>
      <c r="CTG21" s="77"/>
      <c r="CXI21" s="77"/>
      <c r="CXQ21" s="77"/>
      <c r="DFR21" s="77"/>
      <c r="DGY21" s="77"/>
      <c r="DJZ21" s="77"/>
      <c r="DQV21" s="77"/>
      <c r="DQZ21" s="77"/>
      <c r="DSB21" s="77"/>
      <c r="DWL21" s="77"/>
      <c r="DYZ21" s="77"/>
    </row>
    <row r="22" spans="1:991 1027:2003 2054:3072 3079:3436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P22" s="77"/>
      <c r="HQ22" s="77"/>
      <c r="AEA22" s="77"/>
      <c r="BDK22" s="77"/>
      <c r="BIA22" s="77"/>
      <c r="BND22" s="77"/>
      <c r="BNY22" s="77"/>
      <c r="BPY22" s="77"/>
      <c r="BQE22" s="77"/>
      <c r="BSP22" s="77"/>
      <c r="BUD22" s="77"/>
      <c r="BUL22" s="77"/>
      <c r="BXF22" s="77"/>
      <c r="BYA22" s="77"/>
      <c r="DFU22" s="77"/>
      <c r="DGY22" s="77"/>
      <c r="DNA22" s="77"/>
      <c r="DZY22" s="77"/>
    </row>
    <row r="23" spans="1:991 1027:2003 2054:3072 3079:3436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U23" s="77"/>
      <c r="IY23" s="77"/>
      <c r="ON23" s="77"/>
      <c r="RM23" s="77"/>
      <c r="ZF23" s="77"/>
      <c r="ZT23" s="77"/>
      <c r="AKC23" s="77"/>
      <c r="ALC23" s="77"/>
      <c r="AOL23" s="77"/>
      <c r="APQ23" s="77"/>
      <c r="ATF23" s="77"/>
      <c r="AYL23" s="77"/>
      <c r="AYV23" s="77"/>
      <c r="BEX23" s="77"/>
      <c r="BHL23" s="77"/>
      <c r="BMW23" s="77"/>
      <c r="BQP23" s="77"/>
      <c r="BRE23" s="77"/>
      <c r="BTT23" s="77"/>
      <c r="BTY23" s="77"/>
      <c r="BUI23" s="77"/>
      <c r="BVY23" s="77"/>
      <c r="CAY23" s="77"/>
      <c r="CCV23" s="77"/>
      <c r="CDN23" s="77"/>
      <c r="CDO23" s="77"/>
      <c r="CIK23" s="77"/>
      <c r="CKL23" s="77"/>
      <c r="CMI23" s="77"/>
      <c r="CNY23" s="77"/>
      <c r="CPB23" s="77"/>
      <c r="CPW23" s="77"/>
      <c r="CRP23" s="77"/>
      <c r="CXM23" s="77"/>
      <c r="DBF23" s="77"/>
      <c r="DCQ23" s="77"/>
      <c r="DGA23" s="77"/>
      <c r="DGJ23" s="77"/>
      <c r="DKR23" s="77"/>
      <c r="DQR23" s="77"/>
      <c r="DQS23" s="77"/>
      <c r="DTI23" s="77"/>
      <c r="DZS23" s="77"/>
    </row>
    <row r="24" spans="1:991 1027:2003 2054:3072 3079:3436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U24" s="77"/>
      <c r="DB24" s="77"/>
      <c r="DM24" s="77"/>
      <c r="DY24" s="77"/>
      <c r="SJ24" s="77"/>
      <c r="VO24" s="77"/>
      <c r="WP24" s="77"/>
      <c r="ZF24" s="77"/>
      <c r="AIX24" s="77"/>
      <c r="BHL24" s="77"/>
      <c r="BIL24" s="77"/>
      <c r="BKZ24" s="77"/>
      <c r="BMY24" s="77"/>
      <c r="BNB24" s="77"/>
      <c r="BNI24" s="77"/>
      <c r="BRE24" s="77"/>
      <c r="BTY24" s="77"/>
      <c r="BWF24" s="77"/>
      <c r="CDO24" s="77"/>
      <c r="CIO24" s="77"/>
      <c r="CME24" s="77"/>
      <c r="CMI24" s="77"/>
      <c r="CNV24" s="77"/>
      <c r="COF24" s="77"/>
      <c r="COQ24" s="77"/>
      <c r="CVS24" s="77"/>
      <c r="CXM24" s="77"/>
      <c r="DBF24" s="77"/>
      <c r="DEJ24" s="77"/>
      <c r="DEW24" s="77"/>
      <c r="DEX24" s="77"/>
      <c r="DFU24" s="77"/>
      <c r="DGL24" s="77"/>
      <c r="DQS24" s="77"/>
      <c r="DSC24" s="77"/>
    </row>
    <row r="25" spans="1:991 1027:2003 2054:3072 3079:3436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U25" s="77"/>
      <c r="HM25" s="77"/>
      <c r="AFS25" s="77"/>
      <c r="AMV25" s="77"/>
      <c r="ANK25" s="77"/>
      <c r="ANR25" s="77"/>
      <c r="APF25" s="77"/>
      <c r="AQT25" s="77"/>
      <c r="ASA25" s="77"/>
      <c r="AUO25" s="77"/>
      <c r="AWF25" s="77"/>
      <c r="BAQ25" s="77"/>
      <c r="BZZ25" s="77"/>
      <c r="CAE25" s="77"/>
      <c r="CFG25" s="77"/>
      <c r="CIA25" s="77"/>
      <c r="CJE25" s="77"/>
      <c r="CYX25" s="77"/>
      <c r="CZX25" s="77"/>
      <c r="DDG25" s="77"/>
      <c r="DOG25" s="77"/>
      <c r="DOV25" s="77"/>
      <c r="DTW25" s="77"/>
      <c r="EBD25" s="77"/>
    </row>
    <row r="26" spans="1:991 1027:2003 2054:3072 3079:3436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H26" s="77"/>
      <c r="EW26" s="77"/>
      <c r="HZ26" s="77"/>
      <c r="IY26" s="77"/>
      <c r="NM26" s="77"/>
      <c r="TW26" s="77"/>
      <c r="VK26" s="77"/>
      <c r="WP26" s="77"/>
      <c r="AGT26" s="77"/>
      <c r="AIP26" s="77"/>
      <c r="AJA26" s="77"/>
      <c r="AKG26" s="77"/>
      <c r="AKY26" s="77"/>
      <c r="AOL26" s="77"/>
      <c r="APW26" s="77"/>
      <c r="AUB26" s="77"/>
      <c r="AWS26" s="77"/>
      <c r="BAD26" s="77"/>
      <c r="BBU26" s="77"/>
      <c r="BDJ26" s="77"/>
      <c r="BMK26" s="77"/>
      <c r="BPO26" s="77"/>
      <c r="BQJ26" s="77"/>
      <c r="BQY26" s="77"/>
      <c r="BVS26" s="77"/>
      <c r="BWF26" s="77"/>
      <c r="CEL26" s="77"/>
      <c r="CEO26" s="77"/>
      <c r="CJR26" s="77"/>
      <c r="CLC26" s="77"/>
      <c r="CWF26" s="77"/>
      <c r="CWN26" s="77"/>
      <c r="DCE26" s="77"/>
      <c r="DFT26" s="77"/>
      <c r="DFW26" s="77"/>
      <c r="DGM26" s="77"/>
      <c r="DHM26" s="77"/>
      <c r="DLW26" s="77"/>
      <c r="DNK26" s="77"/>
      <c r="DNO26" s="77"/>
      <c r="DOR26" s="77"/>
      <c r="DXZ26" s="77"/>
      <c r="EAN26" s="77"/>
    </row>
    <row r="27" spans="1:991 1027:2003 2054:3072 3079:3436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H27" s="77"/>
      <c r="EW27" s="77"/>
      <c r="HZ27" s="77"/>
      <c r="IY27" s="77"/>
      <c r="NM27" s="77"/>
      <c r="TW27" s="77"/>
      <c r="VK27" s="77"/>
      <c r="WP27" s="77"/>
      <c r="AGT27" s="77"/>
      <c r="AJA27" s="77"/>
      <c r="AKG27" s="77"/>
      <c r="AKY27" s="77"/>
      <c r="ANY27" s="77"/>
      <c r="AOL27" s="77"/>
      <c r="APA27" s="77"/>
      <c r="APW27" s="77"/>
      <c r="AUB27" s="77"/>
      <c r="BAD27" s="77"/>
      <c r="BBU27" s="77"/>
      <c r="BDJ27" s="77"/>
      <c r="BHQ27" s="77"/>
      <c r="BMK27" s="77"/>
      <c r="BPO27" s="77"/>
      <c r="BQJ27" s="77"/>
      <c r="BQY27" s="77"/>
      <c r="BVS27" s="77"/>
      <c r="BWF27" s="77"/>
      <c r="CEL27" s="77"/>
      <c r="CEO27" s="77"/>
      <c r="CJR27" s="77"/>
      <c r="CLC27" s="77"/>
      <c r="CTX27" s="77"/>
      <c r="CWN27" s="77"/>
      <c r="DFT27" s="77"/>
      <c r="DFW27" s="77"/>
      <c r="DGM27" s="77"/>
      <c r="DHM27" s="77"/>
      <c r="DMK27" s="77"/>
      <c r="DNK27" s="77"/>
      <c r="DNO27" s="77"/>
      <c r="DOR27" s="77"/>
      <c r="DXF27" s="77"/>
      <c r="DXZ27" s="77"/>
      <c r="DZR27" s="77"/>
      <c r="EAN27" s="77"/>
    </row>
    <row r="28" spans="1:991 1027:2003 2054:3072 3079:3436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H28" s="77"/>
      <c r="EW28" s="77"/>
      <c r="IY28" s="77"/>
      <c r="NM28" s="77"/>
      <c r="TW28" s="77"/>
      <c r="VK28" s="77"/>
      <c r="WP28" s="77"/>
      <c r="AGT28" s="77"/>
      <c r="AJA28" s="77"/>
      <c r="AKG28" s="77"/>
      <c r="AKY28" s="77"/>
      <c r="ANY28" s="77"/>
      <c r="APW28" s="77"/>
      <c r="AUB28" s="77"/>
      <c r="BAD28" s="77"/>
      <c r="BBU28" s="77"/>
      <c r="BDJ28" s="77"/>
      <c r="BIN28" s="77"/>
      <c r="BMK28" s="77"/>
      <c r="BPO28" s="77"/>
      <c r="BQJ28" s="77"/>
      <c r="BQY28" s="77"/>
      <c r="BVS28" s="77"/>
      <c r="BWF28" s="77"/>
      <c r="CEL28" s="77"/>
      <c r="CEO28" s="77"/>
      <c r="CRP28" s="77"/>
      <c r="DFT28" s="77"/>
      <c r="DFW28" s="77"/>
      <c r="DGM28" s="77"/>
      <c r="DHM28" s="77"/>
      <c r="DNK28" s="77"/>
      <c r="DNO28" s="77"/>
      <c r="DOR28" s="77"/>
      <c r="DXF28" s="77"/>
      <c r="DXZ28" s="77"/>
      <c r="EAN28" s="77"/>
    </row>
    <row r="29" spans="1:991 1027:2003 2054:3072 3079:3436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W29" s="77"/>
      <c r="IY29" s="77"/>
      <c r="VK29" s="77"/>
      <c r="WP29" s="77"/>
      <c r="AGT29" s="77"/>
      <c r="AIP29" s="77"/>
      <c r="AJA29" s="77"/>
      <c r="AKG29" s="77"/>
      <c r="AKY29" s="77"/>
      <c r="ANY29" s="77"/>
      <c r="AOL29" s="77"/>
      <c r="APW29" s="77"/>
      <c r="AUB29" s="77"/>
      <c r="AWS29" s="77"/>
      <c r="BAD29" s="77"/>
      <c r="BBU29" s="77"/>
      <c r="BDJ29" s="77"/>
      <c r="BHQ29" s="77"/>
      <c r="BMK29" s="77"/>
      <c r="BPO29" s="77"/>
      <c r="BQJ29" s="77"/>
      <c r="BVS29" s="77"/>
      <c r="BWF29" s="77"/>
      <c r="CEL29" s="77"/>
      <c r="DFT29" s="77"/>
      <c r="DFW29" s="77"/>
      <c r="DGM29" s="77"/>
      <c r="DHM29" s="77"/>
      <c r="DNK29" s="77"/>
      <c r="DNO29" s="77"/>
      <c r="DOR29" s="77"/>
      <c r="DQH29" s="77"/>
      <c r="DXF29" s="77"/>
      <c r="DXZ29" s="77"/>
    </row>
    <row r="30" spans="1:991 1027:2003 2054:3072 3079:3436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W30" s="77"/>
      <c r="IY30" s="77"/>
      <c r="NM30" s="77"/>
      <c r="NW30" s="77"/>
      <c r="VK30" s="77"/>
      <c r="WP30" s="77"/>
      <c r="AGT30" s="77"/>
      <c r="AJA30" s="77"/>
      <c r="AKG30" s="77"/>
      <c r="AKY30" s="77"/>
      <c r="ANY30" s="77"/>
      <c r="AOL30" s="77"/>
      <c r="APW30" s="77"/>
      <c r="AUB30" s="77"/>
      <c r="AWS30" s="77"/>
      <c r="BAD30" s="77"/>
      <c r="BBU30" s="77"/>
      <c r="BDJ30" s="77"/>
      <c r="BMK30" s="77"/>
      <c r="BPO30" s="77"/>
      <c r="BQJ30" s="77"/>
      <c r="BQY30" s="77"/>
      <c r="BVS30" s="77"/>
      <c r="BWF30" s="77"/>
      <c r="CEL30" s="77"/>
      <c r="DFT30" s="77"/>
      <c r="DFW30" s="77"/>
      <c r="DGM30" s="77"/>
      <c r="DHM30" s="77"/>
      <c r="DNK30" s="77"/>
      <c r="DNO30" s="77"/>
      <c r="DXF30" s="77"/>
      <c r="DXZ30" s="77"/>
    </row>
    <row r="31" spans="1:991 1027:2003 2054:3072 3079:3436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W31" s="77"/>
      <c r="GI31" s="77"/>
      <c r="HZ31" s="77"/>
      <c r="OE31" s="77"/>
      <c r="TW31" s="77"/>
      <c r="VA31" s="77"/>
      <c r="VD31" s="77"/>
      <c r="XW31" s="77"/>
      <c r="AGT31" s="77"/>
      <c r="AIP31" s="77"/>
      <c r="ARY31" s="77"/>
      <c r="BAD31" s="77"/>
      <c r="BDJ31" s="77"/>
      <c r="BSO31" s="77"/>
      <c r="BVR31" s="77"/>
      <c r="BXX31" s="77"/>
      <c r="CEO31" s="77"/>
      <c r="CFB31" s="77"/>
      <c r="CFU31" s="77"/>
      <c r="CIQ31" s="77"/>
      <c r="CJR31" s="77"/>
      <c r="CKB31" s="77"/>
      <c r="CLL31" s="77"/>
      <c r="CPC31" s="77"/>
      <c r="DCE31" s="77"/>
      <c r="DFT31" s="77"/>
      <c r="DFW31" s="77"/>
      <c r="DGM31" s="77"/>
      <c r="DND31" s="77"/>
      <c r="DXZ31" s="77"/>
    </row>
    <row r="32" spans="1:991 1027:2003 2054:3072 3079:3436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F32" s="77"/>
      <c r="EW32" s="77"/>
      <c r="GI32" s="77"/>
      <c r="HZ32" s="77"/>
      <c r="OE32" s="77"/>
      <c r="TP32" s="77"/>
      <c r="TW32" s="77"/>
      <c r="VA32" s="77"/>
      <c r="VD32" s="77"/>
      <c r="XW32" s="77"/>
      <c r="AGT32" s="77"/>
      <c r="AIP32" s="77"/>
      <c r="ARY32" s="77"/>
      <c r="AXK32" s="77"/>
      <c r="BAD32" s="77"/>
      <c r="BDJ32" s="77"/>
      <c r="BOR32" s="77"/>
      <c r="BQJ32" s="77"/>
      <c r="BSO32" s="77"/>
      <c r="BVR32" s="77"/>
      <c r="BXX32" s="77"/>
      <c r="CEO32" s="77"/>
      <c r="CFB32" s="77"/>
      <c r="CFU32" s="77"/>
      <c r="CIR32" s="77"/>
      <c r="CJR32" s="77"/>
      <c r="CKB32" s="77"/>
      <c r="CLL32" s="77"/>
      <c r="CPC32" s="77"/>
      <c r="CWN32" s="77"/>
      <c r="CZB32" s="77"/>
      <c r="DCE32" s="77"/>
      <c r="DCO32" s="77"/>
      <c r="DFT32" s="77"/>
      <c r="DFW32" s="77"/>
      <c r="DFZ32" s="77"/>
      <c r="DGG32" s="77"/>
      <c r="DGM32" s="77"/>
      <c r="DHS32" s="77"/>
      <c r="DME32" s="77"/>
      <c r="DND32" s="77"/>
      <c r="DXZ32" s="77"/>
    </row>
    <row r="33" spans="1:1022 1027:2003 2054:3072 3079:3437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W33" s="77"/>
      <c r="GI33" s="77"/>
      <c r="HZ33" s="77"/>
      <c r="OE33" s="77"/>
      <c r="TW33" s="77"/>
      <c r="VD33" s="77"/>
      <c r="XW33" s="77"/>
      <c r="YT33" s="77"/>
      <c r="AGT33" s="77"/>
      <c r="AIP33" s="77"/>
      <c r="AJA33" s="77"/>
      <c r="BAD33" s="77"/>
      <c r="BDJ33" s="77"/>
      <c r="BPO33" s="77"/>
      <c r="BQJ33" s="77"/>
      <c r="BSO33" s="77"/>
      <c r="BVR33" s="77"/>
      <c r="BXX33" s="77"/>
      <c r="CEO33" s="77"/>
      <c r="CFA33" s="77"/>
      <c r="CFU33" s="77"/>
      <c r="CJR33" s="77"/>
      <c r="CLL33" s="77"/>
      <c r="CPC33" s="77"/>
      <c r="CWN33" s="77"/>
      <c r="CZB33" s="77"/>
      <c r="DCE33" s="77"/>
      <c r="DFT33" s="77"/>
      <c r="DFW33" s="77"/>
      <c r="DGM33" s="77"/>
      <c r="DME33" s="77"/>
      <c r="DND33" s="77"/>
      <c r="DXZ33" s="77"/>
    </row>
    <row r="34" spans="1:1022 1027:2003 2054:3072 3079:3437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W34" s="77"/>
      <c r="GI34" s="77"/>
      <c r="HZ34" s="77"/>
      <c r="TW34" s="77"/>
      <c r="VD34" s="77"/>
      <c r="XW34" s="77"/>
      <c r="YT34" s="77"/>
      <c r="AGM34" s="77"/>
      <c r="AGT34" s="77"/>
      <c r="AIP34" s="77"/>
      <c r="AJA34" s="77"/>
      <c r="AND34" s="77"/>
      <c r="BAD34" s="77"/>
      <c r="BDJ34" s="77"/>
      <c r="BQJ34" s="77"/>
      <c r="BSO34" s="77"/>
      <c r="BWF34" s="77"/>
      <c r="BXX34" s="77"/>
      <c r="CEO34" s="77"/>
      <c r="CJR34" s="77"/>
      <c r="CLL34" s="77"/>
      <c r="CPC34" s="77"/>
      <c r="CWN34" s="77"/>
      <c r="DCE34" s="77"/>
      <c r="DFT34" s="77"/>
      <c r="DFW34" s="77"/>
      <c r="DGM34" s="77"/>
      <c r="DME34" s="77"/>
      <c r="DND34" s="77"/>
      <c r="DOU34" s="77"/>
      <c r="DXZ34" s="77"/>
    </row>
    <row r="35" spans="1:1022 1027:2003 2054:3072 3079:3437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G35" s="77"/>
      <c r="EA35" s="77"/>
      <c r="NI35" s="77"/>
      <c r="NO35" s="77"/>
      <c r="ST35" s="77"/>
      <c r="UK35" s="77"/>
      <c r="UP35" s="77"/>
      <c r="XA35" s="77"/>
      <c r="ABB35" s="77"/>
      <c r="ABE35" s="77"/>
      <c r="ADP35" s="77"/>
      <c r="ADZ35" s="77"/>
      <c r="AEI35" s="77"/>
      <c r="AEP35" s="77"/>
      <c r="AFC35" s="77"/>
      <c r="AFN35" s="77"/>
      <c r="AFW35" s="77"/>
      <c r="AGP35" s="77"/>
      <c r="AMB35" s="77"/>
      <c r="AMP35" s="77"/>
      <c r="AOB35" s="77"/>
      <c r="BSH35" s="77"/>
      <c r="DKV35" s="77"/>
      <c r="DQK35" s="77"/>
    </row>
    <row r="36" spans="1:1022 1027:2003 2054:3072 3079:3437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V36" s="77"/>
      <c r="RJ36" s="77"/>
      <c r="SD36" s="77"/>
      <c r="VD36" s="77"/>
      <c r="VK36" s="77"/>
      <c r="VT36" s="77"/>
      <c r="WC36" s="77"/>
      <c r="YT36" s="77"/>
      <c r="ZH36" s="77"/>
      <c r="AAJ36" s="77"/>
      <c r="ABE36" s="77"/>
      <c r="ABK36" s="77"/>
      <c r="AEI36" s="77"/>
      <c r="AES36" s="77"/>
      <c r="AFE36" s="77"/>
      <c r="AJA36" s="77"/>
      <c r="ASD36" s="77"/>
      <c r="ASR36" s="77"/>
      <c r="BAY36" s="77"/>
      <c r="BGE36" s="77"/>
      <c r="BJF36" s="77"/>
      <c r="BNQ36" s="77"/>
      <c r="BWE36" s="77"/>
      <c r="BWH36" s="77"/>
      <c r="BXK36" s="77"/>
      <c r="CBQ36" s="77"/>
      <c r="CCB36" s="77"/>
      <c r="CYH36" s="77"/>
      <c r="DAT36" s="77"/>
      <c r="DGG36" s="77"/>
      <c r="DJT36" s="77"/>
      <c r="DSS36" s="77"/>
    </row>
    <row r="37" spans="1:1022 1027:2003 2054:3072 3079:3437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K37" s="77"/>
      <c r="NJ37" s="77"/>
      <c r="TR37" s="77"/>
      <c r="UB37" s="77"/>
      <c r="UI37" s="77"/>
      <c r="WX37" s="77"/>
      <c r="YL37" s="77"/>
      <c r="AFD37" s="77"/>
      <c r="AKC37" s="77"/>
      <c r="AMH37" s="77"/>
      <c r="ATA37" s="77"/>
      <c r="BEM37" s="77"/>
      <c r="BJQ37" s="77"/>
      <c r="BLG37" s="77"/>
      <c r="BLY37" s="77"/>
      <c r="BRG37" s="77"/>
      <c r="BXM37" s="77"/>
      <c r="CBT37" s="77"/>
      <c r="CMG37" s="77"/>
      <c r="CPG37" s="77"/>
      <c r="CUV37" s="77"/>
      <c r="CWM37" s="77"/>
      <c r="CWR37" s="77"/>
      <c r="CXT37" s="77"/>
      <c r="DGJ37" s="77"/>
      <c r="DIP37" s="77"/>
      <c r="DLH37" s="77"/>
      <c r="DMG37" s="77"/>
      <c r="DML37" s="77"/>
      <c r="DQK37" s="77"/>
      <c r="EBE37" s="77"/>
    </row>
    <row r="38" spans="1:1022 1027:2003 2054:3072 3079:3437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7:2003 2054:3072 3079:3437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O39" s="77"/>
      <c r="EW39" s="77"/>
      <c r="HQ39" s="77"/>
      <c r="LK39" s="77"/>
      <c r="QP39" s="77"/>
      <c r="AIP39" s="77"/>
      <c r="AMM39" s="77"/>
      <c r="AQN39" s="77"/>
      <c r="AVK39" s="77"/>
      <c r="BGZ39" s="77"/>
      <c r="BJY39" s="77"/>
      <c r="BMQ39" s="77"/>
      <c r="BNY39" s="77"/>
      <c r="BOA39" s="77"/>
      <c r="BRO39" s="77"/>
      <c r="BRV39" s="77"/>
      <c r="BSP39" s="77"/>
      <c r="BYA39" s="77"/>
      <c r="CMH39" s="77"/>
      <c r="CMK39" s="77"/>
      <c r="CMN39" s="77"/>
      <c r="CTG39" s="77"/>
      <c r="CXI39" s="77"/>
      <c r="CXQ39" s="77"/>
      <c r="DFR39" s="77"/>
      <c r="DGY39" s="77"/>
      <c r="DJZ39" s="77"/>
      <c r="DQV39" s="77"/>
      <c r="DQZ39" s="77"/>
      <c r="DSB39" s="77"/>
      <c r="DWL39" s="77"/>
      <c r="DYZ39" s="77"/>
    </row>
    <row r="40" spans="1:1022 1027:2003 2054:3072 3079:3437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U40" s="77"/>
      <c r="HM40" s="77"/>
      <c r="AFS40" s="77"/>
      <c r="AMV40" s="77"/>
      <c r="ANK40" s="77"/>
      <c r="ANR40" s="77"/>
      <c r="APF40" s="77"/>
      <c r="AQT40" s="77"/>
      <c r="ASA40" s="77"/>
      <c r="AUO40" s="77"/>
      <c r="AWF40" s="77"/>
      <c r="BAQ40" s="77"/>
      <c r="BZZ40" s="77"/>
      <c r="CAE40" s="77"/>
      <c r="CFG40" s="77"/>
      <c r="CIA40" s="77"/>
      <c r="CJE40" s="77"/>
      <c r="CYX40" s="77"/>
      <c r="CZX40" s="77"/>
      <c r="DDG40" s="77"/>
      <c r="DOG40" s="77"/>
      <c r="DOV40" s="77"/>
      <c r="DTW40" s="77"/>
      <c r="EBD40" s="77"/>
    </row>
    <row r="41" spans="1:1022 1027:2003 2054:3072 3079:3437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W41" s="77"/>
      <c r="IY41" s="77"/>
      <c r="VK41" s="77"/>
      <c r="WP41" s="77"/>
      <c r="AGT41" s="77"/>
      <c r="AIP41" s="77"/>
      <c r="AJA41" s="77"/>
      <c r="AKG41" s="77"/>
      <c r="AKY41" s="77"/>
      <c r="ANY41" s="77"/>
      <c r="AOL41" s="77"/>
      <c r="APW41" s="77"/>
      <c r="AUB41" s="77"/>
      <c r="AWS41" s="77"/>
      <c r="BAD41" s="77"/>
      <c r="BBU41" s="77"/>
      <c r="BDJ41" s="77"/>
      <c r="BHQ41" s="77"/>
      <c r="BMK41" s="77"/>
      <c r="BPO41" s="77"/>
      <c r="BQJ41" s="77"/>
      <c r="BVS41" s="77"/>
      <c r="BWF41" s="77"/>
      <c r="CEL41" s="77"/>
      <c r="DFT41" s="77"/>
      <c r="DFW41" s="77"/>
      <c r="DGM41" s="77"/>
      <c r="DHM41" s="77"/>
      <c r="DNK41" s="77"/>
      <c r="DNO41" s="77"/>
      <c r="DOR41" s="77"/>
      <c r="DQH41" s="77"/>
      <c r="DXF41" s="77"/>
      <c r="DXZ41" s="77"/>
    </row>
    <row r="42" spans="1:1022 1027:2003 2054:3072 3079:3437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W42" s="77"/>
      <c r="IY42" s="77"/>
      <c r="NM42" s="77"/>
      <c r="NW42" s="77"/>
      <c r="VK42" s="77"/>
      <c r="WP42" s="77"/>
      <c r="AGT42" s="77"/>
      <c r="AJA42" s="77"/>
      <c r="AKG42" s="77"/>
      <c r="AKY42" s="77"/>
      <c r="ANY42" s="77"/>
      <c r="AOL42" s="77"/>
      <c r="APW42" s="77"/>
      <c r="AUB42" s="77"/>
      <c r="AWS42" s="77"/>
      <c r="BAD42" s="77"/>
      <c r="BBU42" s="77"/>
      <c r="BDJ42" s="77"/>
      <c r="BMK42" s="77"/>
      <c r="BPO42" s="77"/>
      <c r="BQJ42" s="77"/>
      <c r="BQY42" s="77"/>
      <c r="BVS42" s="77"/>
      <c r="BWF42" s="77"/>
      <c r="CEL42" s="77"/>
      <c r="DFT42" s="77"/>
      <c r="DFW42" s="77"/>
      <c r="DGM42" s="77"/>
      <c r="DHM42" s="77"/>
      <c r="DNK42" s="77"/>
      <c r="DNO42" s="77"/>
      <c r="DXF42" s="77"/>
      <c r="DXZ42" s="77"/>
    </row>
    <row r="43" spans="1:1022 1027:2003 2054:3072 3079:3437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W43" s="77"/>
      <c r="GI43" s="77"/>
      <c r="HZ43" s="77"/>
      <c r="OE43" s="77"/>
      <c r="TW43" s="77"/>
      <c r="VA43" s="77"/>
      <c r="VD43" s="77"/>
      <c r="XW43" s="77"/>
      <c r="AGT43" s="77"/>
      <c r="AIP43" s="77"/>
      <c r="ARY43" s="77"/>
      <c r="BAD43" s="77"/>
      <c r="BDJ43" s="77"/>
      <c r="BSO43" s="77"/>
      <c r="BVR43" s="77"/>
      <c r="BXX43" s="77"/>
      <c r="CEO43" s="77"/>
      <c r="CFB43" s="77"/>
      <c r="CFU43" s="77"/>
      <c r="CIQ43" s="77"/>
      <c r="CJR43" s="77"/>
      <c r="CKB43" s="77"/>
      <c r="CLL43" s="77"/>
      <c r="CPC43" s="77"/>
      <c r="DCE43" s="77"/>
      <c r="DFT43" s="77"/>
      <c r="DFW43" s="77"/>
      <c r="DGM43" s="77"/>
      <c r="DND43" s="77"/>
      <c r="DXZ43" s="77"/>
    </row>
    <row r="44" spans="1:1022 1027:2003 2054:3072 3079:3437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F44" s="77"/>
      <c r="EW44" s="77"/>
      <c r="GI44" s="77"/>
      <c r="HZ44" s="77"/>
      <c r="OE44" s="77"/>
      <c r="TP44" s="77"/>
      <c r="TW44" s="77"/>
      <c r="VA44" s="77"/>
      <c r="VD44" s="77"/>
      <c r="XW44" s="77"/>
      <c r="AGT44" s="77"/>
      <c r="AIP44" s="77"/>
      <c r="ARY44" s="77"/>
      <c r="AXK44" s="77"/>
      <c r="BAD44" s="77"/>
      <c r="BDJ44" s="77"/>
      <c r="BOR44" s="77"/>
      <c r="BQJ44" s="77"/>
      <c r="BSO44" s="77"/>
      <c r="BVR44" s="77"/>
      <c r="BXX44" s="77"/>
      <c r="CEO44" s="77"/>
      <c r="CFB44" s="77"/>
      <c r="CFU44" s="77"/>
      <c r="CIR44" s="77"/>
      <c r="CJR44" s="77"/>
      <c r="CKB44" s="77"/>
      <c r="CLL44" s="77"/>
      <c r="CPC44" s="77"/>
      <c r="CWN44" s="77"/>
      <c r="CZB44" s="77"/>
      <c r="DCE44" s="77"/>
      <c r="DCO44" s="77"/>
      <c r="DFT44" s="77"/>
      <c r="DFW44" s="77"/>
      <c r="DFZ44" s="77"/>
      <c r="DGG44" s="77"/>
      <c r="DGM44" s="77"/>
      <c r="DHS44" s="77"/>
      <c r="DME44" s="77"/>
      <c r="DND44" s="77"/>
      <c r="DXZ44" s="77"/>
    </row>
    <row r="45" spans="1:1022 1027:2003 2054:3072 3079:3437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W45" s="77"/>
      <c r="GI45" s="77"/>
      <c r="HZ45" s="77"/>
      <c r="OE45" s="77"/>
      <c r="TW45" s="77"/>
      <c r="VD45" s="77"/>
      <c r="XW45" s="77"/>
      <c r="YT45" s="77"/>
      <c r="AGT45" s="77"/>
      <c r="AIP45" s="77"/>
      <c r="AJA45" s="77"/>
      <c r="BAD45" s="77"/>
      <c r="BDJ45" s="77"/>
      <c r="BPO45" s="77"/>
      <c r="BQJ45" s="77"/>
      <c r="BSO45" s="77"/>
      <c r="BVR45" s="77"/>
      <c r="BXX45" s="77"/>
      <c r="CEO45" s="77"/>
      <c r="CFA45" s="77"/>
      <c r="CFU45" s="77"/>
      <c r="CJR45" s="77"/>
      <c r="CLL45" s="77"/>
      <c r="CPC45" s="77"/>
      <c r="CWN45" s="77"/>
      <c r="CZB45" s="77"/>
      <c r="DCE45" s="77"/>
      <c r="DFT45" s="77"/>
      <c r="DFW45" s="77"/>
      <c r="DGM45" s="77"/>
      <c r="DME45" s="77"/>
      <c r="DND45" s="77"/>
      <c r="DXZ45" s="77"/>
    </row>
    <row r="46" spans="1:1022 1027:2003 2054:3072 3079:3437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W46" s="77"/>
      <c r="GI46" s="77"/>
      <c r="HZ46" s="77"/>
      <c r="TW46" s="77"/>
      <c r="VD46" s="77"/>
      <c r="XW46" s="77"/>
      <c r="YT46" s="77"/>
      <c r="AGM46" s="77"/>
      <c r="AGT46" s="77"/>
      <c r="AIP46" s="77"/>
      <c r="AJA46" s="77"/>
      <c r="AND46" s="77"/>
      <c r="BAD46" s="77"/>
      <c r="BDJ46" s="77"/>
      <c r="BQJ46" s="77"/>
      <c r="BSO46" s="77"/>
      <c r="BWF46" s="77"/>
      <c r="BXX46" s="77"/>
      <c r="CEO46" s="77"/>
      <c r="CJR46" s="77"/>
      <c r="CLL46" s="77"/>
      <c r="CPC46" s="77"/>
      <c r="CWN46" s="77"/>
      <c r="DCE46" s="77"/>
      <c r="DFT46" s="77"/>
      <c r="DFW46" s="77"/>
      <c r="DGM46" s="77"/>
      <c r="DME46" s="77"/>
      <c r="DND46" s="77"/>
      <c r="DOU46" s="77"/>
      <c r="DXZ46" s="77"/>
    </row>
    <row r="47" spans="1:1022 1027:2003 2054:3072 3079:3437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G47" s="77"/>
      <c r="EA47" s="77"/>
      <c r="NI47" s="77"/>
      <c r="NO47" s="77"/>
      <c r="ST47" s="77"/>
      <c r="UK47" s="77"/>
      <c r="UP47" s="77"/>
      <c r="XA47" s="77"/>
      <c r="ABB47" s="77"/>
      <c r="ABE47" s="77"/>
      <c r="ADP47" s="77"/>
      <c r="ADZ47" s="77"/>
      <c r="AEI47" s="77"/>
      <c r="AEP47" s="77"/>
      <c r="AFC47" s="77"/>
      <c r="AFN47" s="77"/>
      <c r="AFW47" s="77"/>
      <c r="AGP47" s="77"/>
      <c r="AMB47" s="77"/>
      <c r="AMP47" s="77"/>
      <c r="AOB47" s="77"/>
      <c r="BSH47" s="77"/>
      <c r="DKV47" s="77"/>
      <c r="DQK47" s="77"/>
    </row>
    <row r="48" spans="1:1022 1027:2003 2054:3072 3079:3437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V48" s="77"/>
      <c r="RJ48" s="77"/>
      <c r="SD48" s="77"/>
      <c r="VD48" s="77"/>
      <c r="VK48" s="77"/>
      <c r="VT48" s="77"/>
      <c r="WC48" s="77"/>
      <c r="YT48" s="77"/>
      <c r="ZH48" s="77"/>
      <c r="AAJ48" s="77"/>
      <c r="ABE48" s="77"/>
      <c r="ABK48" s="77"/>
      <c r="AEI48" s="77"/>
      <c r="AES48" s="77"/>
      <c r="AFE48" s="77"/>
      <c r="AJA48" s="77"/>
      <c r="ASD48" s="77"/>
      <c r="ASR48" s="77"/>
      <c r="BAY48" s="77"/>
      <c r="BGE48" s="77"/>
      <c r="BJF48" s="77"/>
      <c r="BNQ48" s="77"/>
      <c r="BWE48" s="77"/>
      <c r="BWH48" s="77"/>
      <c r="BXK48" s="77"/>
      <c r="CBQ48" s="77"/>
      <c r="CCB48" s="77"/>
      <c r="CYH48" s="77"/>
      <c r="DAT48" s="77"/>
      <c r="DGG48" s="77"/>
      <c r="DJT48" s="77"/>
      <c r="DSS48" s="77"/>
    </row>
    <row r="49" spans="1:1022 1027:2003 2054:3069 3079:3437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K49" s="77"/>
      <c r="NJ49" s="77"/>
      <c r="TR49" s="77"/>
      <c r="UB49" s="77"/>
      <c r="UI49" s="77"/>
      <c r="WX49" s="77"/>
      <c r="YL49" s="77"/>
      <c r="AFD49" s="77"/>
      <c r="AKC49" s="77"/>
      <c r="AMH49" s="77"/>
      <c r="ATA49" s="77"/>
      <c r="BEM49" s="77"/>
      <c r="BJQ49" s="77"/>
      <c r="BLG49" s="77"/>
      <c r="BLY49" s="77"/>
      <c r="BRG49" s="77"/>
      <c r="BXM49" s="77"/>
      <c r="CBT49" s="77"/>
      <c r="CMG49" s="77"/>
      <c r="CPG49" s="77"/>
      <c r="CUV49" s="77"/>
      <c r="CWM49" s="77"/>
      <c r="CWR49" s="77"/>
      <c r="CXT49" s="77"/>
      <c r="DGJ49" s="77"/>
      <c r="DIP49" s="77"/>
      <c r="DLH49" s="77"/>
      <c r="DMG49" s="77"/>
      <c r="DML49" s="77"/>
      <c r="DQK49" s="77"/>
      <c r="EBE49" s="77"/>
    </row>
    <row r="50" spans="1:1022 1027:2003 2054:3069 3079:3437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K50" s="77"/>
      <c r="NJ50" s="77"/>
      <c r="TR50" s="77"/>
      <c r="UB50" s="77"/>
      <c r="UI50" s="77"/>
      <c r="WX50" s="77"/>
      <c r="YL50" s="77"/>
      <c r="AFD50" s="77"/>
      <c r="AKC50" s="77"/>
      <c r="AMH50" s="77"/>
      <c r="ATA50" s="77"/>
      <c r="BEM50" s="77"/>
      <c r="BJQ50" s="77"/>
      <c r="BLG50" s="77"/>
      <c r="BLY50" s="77"/>
      <c r="BRG50" s="77"/>
      <c r="BXM50" s="77"/>
      <c r="CBT50" s="77"/>
      <c r="CMG50" s="77"/>
      <c r="CPG50" s="77"/>
      <c r="CUV50" s="77"/>
      <c r="CWM50" s="77"/>
      <c r="CWR50" s="77"/>
      <c r="CXT50" s="77"/>
      <c r="DGJ50" s="77"/>
      <c r="DIP50" s="77"/>
      <c r="DLH50" s="77"/>
      <c r="DMG50" s="77"/>
      <c r="DML50" s="77"/>
      <c r="DQK50" s="77"/>
      <c r="EBE50" s="77"/>
    </row>
    <row r="51" spans="1:1022 1027:2003 2054:3069 3079:3437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K51" s="77"/>
      <c r="NJ51" s="77"/>
      <c r="TR51" s="77"/>
      <c r="UB51" s="77"/>
      <c r="UI51" s="77"/>
      <c r="WX51" s="77"/>
      <c r="YL51" s="77"/>
      <c r="AFD51" s="77"/>
      <c r="AKC51" s="77"/>
      <c r="AMH51" s="77"/>
      <c r="ATA51" s="77"/>
      <c r="BEM51" s="77"/>
      <c r="BJQ51" s="77"/>
      <c r="BLG51" s="77"/>
      <c r="BLY51" s="77"/>
      <c r="BRG51" s="77"/>
      <c r="BXM51" s="77"/>
      <c r="CBT51" s="77"/>
      <c r="CMG51" s="77"/>
      <c r="CPG51" s="77"/>
      <c r="CUV51" s="77"/>
      <c r="CWM51" s="77"/>
      <c r="CWR51" s="77"/>
      <c r="CXT51" s="77"/>
      <c r="DGJ51" s="77"/>
      <c r="DIP51" s="77"/>
      <c r="DLH51" s="77"/>
      <c r="DMG51" s="77"/>
      <c r="DML51" s="77"/>
      <c r="DQK51" s="77"/>
      <c r="EBE51" s="77"/>
    </row>
    <row r="52" spans="1:1022 1027:2003 2054:3069 3079:3437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K52" s="77"/>
      <c r="NJ52" s="77"/>
      <c r="TR52" s="77"/>
      <c r="UB52" s="77"/>
      <c r="UI52" s="77"/>
      <c r="WX52" s="77"/>
      <c r="YL52" s="77"/>
      <c r="AFD52" s="77"/>
      <c r="AKC52" s="77"/>
      <c r="AMH52" s="77"/>
      <c r="ATA52" s="77"/>
      <c r="BEM52" s="77"/>
      <c r="BJQ52" s="77"/>
      <c r="BLG52" s="77"/>
      <c r="BLY52" s="77"/>
      <c r="BRG52" s="77"/>
      <c r="BXM52" s="77"/>
      <c r="CBT52" s="77"/>
      <c r="CMG52" s="77"/>
      <c r="CPG52" s="77"/>
      <c r="CUV52" s="77"/>
      <c r="CWM52" s="77"/>
      <c r="CWR52" s="77"/>
      <c r="CXT52" s="77"/>
      <c r="DGJ52" s="77"/>
      <c r="DIP52" s="77"/>
      <c r="DLH52" s="77"/>
      <c r="DMG52" s="77"/>
      <c r="DML52" s="77"/>
      <c r="DQK52" s="77"/>
      <c r="EBE52" s="77"/>
    </row>
    <row r="53" spans="1:1022 1027:2003 2054:3069 3079:3437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27:2003 2054:3069 3079:3437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27:2003 2054:3069 3079:3437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27:2003 2054:3069 3079:3437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27:2003 2054:3069 3079:3437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O57" s="77"/>
      <c r="EW57" s="77"/>
      <c r="HQ57" s="77"/>
      <c r="LK57" s="77"/>
      <c r="QP57" s="77"/>
      <c r="AIP57" s="77"/>
      <c r="AMM57" s="77"/>
      <c r="AQN57" s="77"/>
      <c r="AVK57" s="77"/>
      <c r="BGZ57" s="77"/>
      <c r="BJY57" s="77"/>
      <c r="BMQ57" s="77"/>
      <c r="BNY57" s="77"/>
      <c r="BOA57" s="77"/>
      <c r="BRO57" s="77"/>
      <c r="BRV57" s="77"/>
      <c r="BSP57" s="77"/>
      <c r="BYA57" s="77"/>
      <c r="CMH57" s="77"/>
      <c r="CMK57" s="77"/>
      <c r="CMN57" s="77"/>
      <c r="CTG57" s="77"/>
      <c r="CXI57" s="77"/>
      <c r="CXQ57" s="77"/>
      <c r="DFR57" s="77"/>
      <c r="DGY57" s="77"/>
      <c r="DJZ57" s="77"/>
      <c r="DQV57" s="77"/>
      <c r="DQZ57" s="77"/>
      <c r="DSB57" s="77"/>
      <c r="DWL57" s="77"/>
      <c r="DYZ57" s="77"/>
    </row>
    <row r="58" spans="1:1022 1027:2003 2054:3069 3079:3437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P58" s="77"/>
      <c r="HQ58" s="77"/>
      <c r="AEA58" s="77"/>
      <c r="BDK58" s="77"/>
      <c r="BIA58" s="77"/>
      <c r="BND58" s="77"/>
      <c r="BNY58" s="77"/>
      <c r="BPY58" s="77"/>
      <c r="BQE58" s="77"/>
      <c r="BSP58" s="77"/>
      <c r="BUD58" s="77"/>
      <c r="BUL58" s="77"/>
      <c r="BXF58" s="77"/>
      <c r="BYA58" s="77"/>
      <c r="DFU58" s="77"/>
      <c r="DGY58" s="77"/>
      <c r="DNA58" s="77"/>
      <c r="DZY58" s="77"/>
    </row>
    <row r="59" spans="1:1022 1027:2003 2054:3069 3079:3437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U59" s="77"/>
      <c r="IY59" s="77"/>
      <c r="ON59" s="77"/>
      <c r="RM59" s="77"/>
      <c r="ZF59" s="77"/>
      <c r="ZT59" s="77"/>
      <c r="AKC59" s="77"/>
      <c r="ALC59" s="77"/>
      <c r="AOL59" s="77"/>
      <c r="APQ59" s="77"/>
      <c r="ATF59" s="77"/>
      <c r="AYL59" s="77"/>
      <c r="AYV59" s="77"/>
      <c r="BEX59" s="77"/>
      <c r="BHL59" s="77"/>
      <c r="BMW59" s="77"/>
      <c r="BQP59" s="77"/>
      <c r="BRE59" s="77"/>
      <c r="BTT59" s="77"/>
      <c r="BTY59" s="77"/>
      <c r="BUI59" s="77"/>
      <c r="BVY59" s="77"/>
      <c r="CAY59" s="77"/>
      <c r="CCV59" s="77"/>
      <c r="CDN59" s="77"/>
      <c r="CDO59" s="77"/>
      <c r="CIK59" s="77"/>
      <c r="CKL59" s="77"/>
      <c r="CMI59" s="77"/>
      <c r="CNY59" s="77"/>
      <c r="CPB59" s="77"/>
      <c r="CPW59" s="77"/>
      <c r="CRP59" s="77"/>
      <c r="CXM59" s="77"/>
      <c r="DBF59" s="77"/>
      <c r="DCQ59" s="77"/>
      <c r="DGA59" s="77"/>
      <c r="DGJ59" s="77"/>
      <c r="DKR59" s="77"/>
      <c r="DQR59" s="77"/>
      <c r="DQS59" s="77"/>
      <c r="DTI59" s="77"/>
      <c r="DZS59" s="77"/>
    </row>
    <row r="60" spans="1:1022 1027:2003 2054:3069 3079:3437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U60" s="77"/>
      <c r="DB60" s="77"/>
      <c r="DM60" s="77"/>
      <c r="DY60" s="77"/>
      <c r="SJ60" s="77"/>
      <c r="VO60" s="77"/>
      <c r="WP60" s="77"/>
      <c r="ZF60" s="77"/>
      <c r="AIX60" s="77"/>
      <c r="BHL60" s="77"/>
      <c r="BIL60" s="77"/>
      <c r="BKZ60" s="77"/>
      <c r="BMY60" s="77"/>
      <c r="BNB60" s="77"/>
      <c r="BNI60" s="77"/>
      <c r="BRE60" s="77"/>
      <c r="BTY60" s="77"/>
      <c r="BWF60" s="77"/>
      <c r="CDO60" s="77"/>
      <c r="CIO60" s="77"/>
      <c r="CME60" s="77"/>
      <c r="CMI60" s="77"/>
      <c r="CNV60" s="77"/>
      <c r="COF60" s="77"/>
      <c r="COQ60" s="77"/>
      <c r="CVS60" s="77"/>
      <c r="CXM60" s="77"/>
      <c r="DBF60" s="77"/>
      <c r="DEJ60" s="77"/>
      <c r="DEW60" s="77"/>
      <c r="DEX60" s="77"/>
      <c r="DFU60" s="77"/>
      <c r="DGL60" s="77"/>
      <c r="DQS60" s="77"/>
      <c r="DSC60" s="77"/>
    </row>
    <row r="61" spans="1:1022 1027:2003 2054:3069 3079:3437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U61" s="77"/>
      <c r="HM61" s="77"/>
      <c r="AFS61" s="77"/>
      <c r="AMV61" s="77"/>
      <c r="ANK61" s="77"/>
      <c r="ANR61" s="77"/>
      <c r="APF61" s="77"/>
      <c r="AQT61" s="77"/>
      <c r="ASA61" s="77"/>
      <c r="AUO61" s="77"/>
      <c r="AWF61" s="77"/>
      <c r="BAQ61" s="77"/>
      <c r="BZZ61" s="77"/>
      <c r="CAE61" s="77"/>
      <c r="CFG61" s="77"/>
      <c r="CIA61" s="77"/>
      <c r="CJE61" s="77"/>
      <c r="CYX61" s="77"/>
      <c r="CZX61" s="77"/>
      <c r="DDG61" s="77"/>
      <c r="DOG61" s="77"/>
      <c r="DOV61" s="77"/>
      <c r="DTW61" s="77"/>
      <c r="EBD61" s="77"/>
    </row>
    <row r="62" spans="1:1022 1027:2003 2054:3069 3079:3437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H62" s="77"/>
      <c r="EW62" s="77"/>
      <c r="HZ62" s="77"/>
      <c r="IY62" s="77"/>
      <c r="NM62" s="77"/>
      <c r="TW62" s="77"/>
      <c r="VK62" s="77"/>
      <c r="WP62" s="77"/>
      <c r="AGT62" s="77"/>
      <c r="AIP62" s="77"/>
      <c r="AJA62" s="77"/>
      <c r="AKG62" s="77"/>
      <c r="AKY62" s="77"/>
      <c r="AOL62" s="77"/>
      <c r="APW62" s="77"/>
      <c r="AUB62" s="77"/>
      <c r="AWS62" s="77"/>
      <c r="BAD62" s="77"/>
      <c r="BBU62" s="77"/>
      <c r="BDJ62" s="77"/>
      <c r="BMK62" s="77"/>
      <c r="BPO62" s="77"/>
      <c r="BQJ62" s="77"/>
      <c r="BQY62" s="77"/>
      <c r="BVS62" s="77"/>
      <c r="BWF62" s="77"/>
      <c r="CEL62" s="77"/>
      <c r="CEO62" s="77"/>
      <c r="CJR62" s="77"/>
      <c r="CLC62" s="77"/>
      <c r="CWF62" s="77"/>
      <c r="CWN62" s="77"/>
      <c r="DCE62" s="77"/>
      <c r="DFT62" s="77"/>
      <c r="DFW62" s="77"/>
      <c r="DGM62" s="77"/>
      <c r="DHM62" s="77"/>
      <c r="DLW62" s="77"/>
      <c r="DNK62" s="77"/>
      <c r="DNO62" s="77"/>
      <c r="DOR62" s="77"/>
      <c r="DXZ62" s="77"/>
      <c r="EAN62" s="77"/>
    </row>
    <row r="63" spans="1:1022 1027:2003 2054:3069 3079:3437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H63" s="77"/>
      <c r="EW63" s="77"/>
      <c r="HZ63" s="77"/>
      <c r="IY63" s="77"/>
      <c r="NM63" s="77"/>
      <c r="TW63" s="77"/>
      <c r="VK63" s="77"/>
      <c r="WP63" s="77"/>
      <c r="AGT63" s="77"/>
      <c r="AJA63" s="77"/>
      <c r="AKG63" s="77"/>
      <c r="AKY63" s="77"/>
      <c r="ANY63" s="77"/>
      <c r="AOL63" s="77"/>
      <c r="APA63" s="77"/>
      <c r="APW63" s="77"/>
      <c r="AUB63" s="77"/>
      <c r="BAD63" s="77"/>
      <c r="BBU63" s="77"/>
      <c r="BDJ63" s="77"/>
      <c r="BHQ63" s="77"/>
      <c r="BMK63" s="77"/>
      <c r="BPO63" s="77"/>
      <c r="BQJ63" s="77"/>
      <c r="BQY63" s="77"/>
      <c r="BVS63" s="77"/>
      <c r="BWF63" s="77"/>
      <c r="CEL63" s="77"/>
      <c r="CEO63" s="77"/>
      <c r="CJR63" s="77"/>
      <c r="CLC63" s="77"/>
      <c r="CTX63" s="77"/>
      <c r="CWN63" s="77"/>
      <c r="DFT63" s="77"/>
      <c r="DFW63" s="77"/>
      <c r="DGM63" s="77"/>
      <c r="DHM63" s="77"/>
      <c r="DMK63" s="77"/>
      <c r="DNK63" s="77"/>
      <c r="DNO63" s="77"/>
      <c r="DOR63" s="77"/>
      <c r="DXF63" s="77"/>
      <c r="DXZ63" s="77"/>
      <c r="DZR63" s="77"/>
      <c r="EAN63" s="77"/>
    </row>
    <row r="64" spans="1:1022 1027:2003 2054:3069 3079:3437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H64" s="77"/>
      <c r="EW64" s="77"/>
      <c r="IY64" s="77"/>
      <c r="NM64" s="77"/>
      <c r="TW64" s="77"/>
      <c r="VK64" s="77"/>
      <c r="WP64" s="77"/>
      <c r="AGT64" s="77"/>
      <c r="AJA64" s="77"/>
      <c r="AKG64" s="77"/>
      <c r="AKY64" s="77"/>
      <c r="ANY64" s="77"/>
      <c r="APW64" s="77"/>
      <c r="AUB64" s="77"/>
      <c r="BAD64" s="77"/>
      <c r="BBU64" s="77"/>
      <c r="BDJ64" s="77"/>
      <c r="BIN64" s="77"/>
      <c r="BMK64" s="77"/>
      <c r="BPO64" s="77"/>
      <c r="BQJ64" s="77"/>
      <c r="BQY64" s="77"/>
      <c r="BVS64" s="77"/>
      <c r="BWF64" s="77"/>
      <c r="CEL64" s="77"/>
      <c r="CEO64" s="77"/>
      <c r="CRP64" s="77"/>
      <c r="DFT64" s="77"/>
      <c r="DFW64" s="77"/>
      <c r="DGM64" s="77"/>
      <c r="DHM64" s="77"/>
      <c r="DNK64" s="77"/>
      <c r="DNO64" s="77"/>
      <c r="DOR64" s="77"/>
      <c r="DXF64" s="77"/>
      <c r="DXZ64" s="77"/>
      <c r="EAN64" s="77"/>
    </row>
    <row r="65" spans="1:1022 1030:2000 2097:3072 3079:3437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W65" s="77"/>
      <c r="IY65" s="77"/>
      <c r="VK65" s="77"/>
      <c r="WP65" s="77"/>
      <c r="AGT65" s="77"/>
      <c r="AIP65" s="77"/>
      <c r="AJA65" s="77"/>
      <c r="AKG65" s="77"/>
      <c r="AKY65" s="77"/>
      <c r="ANY65" s="77"/>
      <c r="AOL65" s="77"/>
      <c r="APW65" s="77"/>
      <c r="AUB65" s="77"/>
      <c r="AWS65" s="77"/>
      <c r="BAD65" s="77"/>
      <c r="BBU65" s="77"/>
      <c r="BDJ65" s="77"/>
      <c r="BHQ65" s="77"/>
      <c r="BMK65" s="77"/>
      <c r="BPO65" s="77"/>
      <c r="BQJ65" s="77"/>
      <c r="BVS65" s="77"/>
      <c r="BWF65" s="77"/>
      <c r="CEL65" s="77"/>
      <c r="DFT65" s="77"/>
      <c r="DFW65" s="77"/>
      <c r="DGM65" s="77"/>
      <c r="DHM65" s="77"/>
      <c r="DNK65" s="77"/>
      <c r="DNO65" s="77"/>
      <c r="DOR65" s="77"/>
      <c r="DQH65" s="77"/>
      <c r="DXF65" s="77"/>
      <c r="DXZ65" s="77"/>
    </row>
    <row r="66" spans="1:1022 1030:2000 2097:3072 3079:3437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W66" s="77"/>
      <c r="IY66" s="77"/>
      <c r="NM66" s="77"/>
      <c r="NW66" s="77"/>
      <c r="VK66" s="77"/>
      <c r="WP66" s="77"/>
      <c r="AGT66" s="77"/>
      <c r="AJA66" s="77"/>
      <c r="AKG66" s="77"/>
      <c r="AKY66" s="77"/>
      <c r="ANY66" s="77"/>
      <c r="AOL66" s="77"/>
      <c r="APW66" s="77"/>
      <c r="AUB66" s="77"/>
      <c r="AWS66" s="77"/>
      <c r="BAD66" s="77"/>
      <c r="BBU66" s="77"/>
      <c r="BDJ66" s="77"/>
      <c r="BMK66" s="77"/>
      <c r="BPO66" s="77"/>
      <c r="BQJ66" s="77"/>
      <c r="BQY66" s="77"/>
      <c r="BVS66" s="77"/>
      <c r="BWF66" s="77"/>
      <c r="CEL66" s="77"/>
      <c r="DFT66" s="77"/>
      <c r="DFW66" s="77"/>
      <c r="DGM66" s="77"/>
      <c r="DHM66" s="77"/>
      <c r="DNK66" s="77"/>
      <c r="DNO66" s="77"/>
      <c r="DXF66" s="77"/>
      <c r="DXZ66" s="77"/>
    </row>
    <row r="67" spans="1:1022 1030:2000 2097:3072 3079:3437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W67" s="77"/>
      <c r="GI67" s="77"/>
      <c r="HZ67" s="77"/>
      <c r="OE67" s="77"/>
      <c r="TW67" s="77"/>
      <c r="VA67" s="77"/>
      <c r="VD67" s="77"/>
      <c r="XW67" s="77"/>
      <c r="AGT67" s="77"/>
      <c r="AIP67" s="77"/>
      <c r="ARY67" s="77"/>
      <c r="BAD67" s="77"/>
      <c r="BDJ67" s="77"/>
      <c r="BSO67" s="77"/>
      <c r="BVR67" s="77"/>
      <c r="BXX67" s="77"/>
      <c r="CEO67" s="77"/>
      <c r="CFB67" s="77"/>
      <c r="CFU67" s="77"/>
      <c r="CIQ67" s="77"/>
      <c r="CJR67" s="77"/>
      <c r="CKB67" s="77"/>
      <c r="CLL67" s="77"/>
      <c r="CPC67" s="77"/>
      <c r="DCE67" s="77"/>
      <c r="DFT67" s="77"/>
      <c r="DFW67" s="77"/>
      <c r="DGM67" s="77"/>
      <c r="DND67" s="77"/>
      <c r="DXZ67" s="77"/>
    </row>
    <row r="68" spans="1:1022 1030:2000 2097:3072 3079:3437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F68" s="77"/>
      <c r="EW68" s="77"/>
      <c r="GI68" s="77"/>
      <c r="HZ68" s="77"/>
      <c r="OE68" s="77"/>
      <c r="TP68" s="77"/>
      <c r="TW68" s="77"/>
      <c r="VA68" s="77"/>
      <c r="VD68" s="77"/>
      <c r="XW68" s="77"/>
      <c r="AGT68" s="77"/>
      <c r="AIP68" s="77"/>
      <c r="ARY68" s="77"/>
      <c r="AXK68" s="77"/>
      <c r="BAD68" s="77"/>
      <c r="BDJ68" s="77"/>
      <c r="BOR68" s="77"/>
      <c r="BQJ68" s="77"/>
      <c r="BSO68" s="77"/>
      <c r="BVR68" s="77"/>
      <c r="BXX68" s="77"/>
      <c r="CEO68" s="77"/>
      <c r="CFB68" s="77"/>
      <c r="CFU68" s="77"/>
      <c r="CIR68" s="77"/>
      <c r="CJR68" s="77"/>
      <c r="CKB68" s="77"/>
      <c r="CLL68" s="77"/>
      <c r="CPC68" s="77"/>
      <c r="CWN68" s="77"/>
      <c r="CZB68" s="77"/>
      <c r="DCE68" s="77"/>
      <c r="DCO68" s="77"/>
      <c r="DFT68" s="77"/>
      <c r="DFW68" s="77"/>
      <c r="DFZ68" s="77"/>
      <c r="DGG68" s="77"/>
      <c r="DGM68" s="77"/>
      <c r="DHS68" s="77"/>
      <c r="DME68" s="77"/>
      <c r="DND68" s="77"/>
      <c r="DXZ68" s="77"/>
    </row>
    <row r="69" spans="1:1022 1030:2000 2097:3072 3079:3437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W69" s="77"/>
      <c r="GI69" s="77"/>
      <c r="HZ69" s="77"/>
      <c r="OE69" s="77"/>
      <c r="TW69" s="77"/>
      <c r="VD69" s="77"/>
      <c r="XW69" s="77"/>
      <c r="YT69" s="77"/>
      <c r="AGT69" s="77"/>
      <c r="AIP69" s="77"/>
      <c r="AJA69" s="77"/>
      <c r="BAD69" s="77"/>
      <c r="BDJ69" s="77"/>
      <c r="BPO69" s="77"/>
      <c r="BQJ69" s="77"/>
      <c r="BSO69" s="77"/>
      <c r="BVR69" s="77"/>
      <c r="BXX69" s="77"/>
      <c r="CEO69" s="77"/>
      <c r="CFA69" s="77"/>
      <c r="CFU69" s="77"/>
      <c r="CJR69" s="77"/>
      <c r="CLL69" s="77"/>
      <c r="CPC69" s="77"/>
      <c r="CWN69" s="77"/>
      <c r="CZB69" s="77"/>
      <c r="DCE69" s="77"/>
      <c r="DFT69" s="77"/>
      <c r="DFW69" s="77"/>
      <c r="DGM69" s="77"/>
      <c r="DME69" s="77"/>
      <c r="DND69" s="77"/>
      <c r="DXZ69" s="77"/>
    </row>
    <row r="70" spans="1:1022 1030:2000 2097:3072 3079:3437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W70" s="77"/>
      <c r="GI70" s="77"/>
      <c r="HZ70" s="77"/>
      <c r="TW70" s="77"/>
      <c r="VD70" s="77"/>
      <c r="XW70" s="77"/>
      <c r="YT70" s="77"/>
      <c r="AGM70" s="77"/>
      <c r="AGT70" s="77"/>
      <c r="AIP70" s="77"/>
      <c r="AJA70" s="77"/>
      <c r="AND70" s="77"/>
      <c r="BAD70" s="77"/>
      <c r="BDJ70" s="77"/>
      <c r="BQJ70" s="77"/>
      <c r="BSO70" s="77"/>
      <c r="BWF70" s="77"/>
      <c r="BXX70" s="77"/>
      <c r="CEO70" s="77"/>
      <c r="CJR70" s="77"/>
      <c r="CLL70" s="77"/>
      <c r="CPC70" s="77"/>
      <c r="CWN70" s="77"/>
      <c r="DCE70" s="77"/>
      <c r="DFT70" s="77"/>
      <c r="DFW70" s="77"/>
      <c r="DGM70" s="77"/>
      <c r="DME70" s="77"/>
      <c r="DND70" s="77"/>
      <c r="DOU70" s="77"/>
      <c r="DXZ70" s="77"/>
    </row>
    <row r="71" spans="1:1022 1030:2000 2097:3072 3079:3437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G71" s="77"/>
      <c r="EA71" s="77"/>
      <c r="NI71" s="77"/>
      <c r="NO71" s="77"/>
      <c r="ST71" s="77"/>
      <c r="UK71" s="77"/>
      <c r="UP71" s="77"/>
      <c r="XA71" s="77"/>
      <c r="ABB71" s="77"/>
      <c r="ABE71" s="77"/>
      <c r="ADP71" s="77"/>
      <c r="ADZ71" s="77"/>
      <c r="AEI71" s="77"/>
      <c r="AEP71" s="77"/>
      <c r="AFC71" s="77"/>
      <c r="AFN71" s="77"/>
      <c r="AFW71" s="77"/>
      <c r="AGP71" s="77"/>
      <c r="AMB71" s="77"/>
      <c r="AMP71" s="77"/>
      <c r="AOB71" s="77"/>
      <c r="BSH71" s="77"/>
      <c r="DKV71" s="77"/>
      <c r="DQK71" s="77"/>
    </row>
    <row r="72" spans="1:1022 1030:2000 2097:3072 3079:3437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V72" s="77"/>
      <c r="RJ72" s="77"/>
      <c r="SD72" s="77"/>
      <c r="VD72" s="77"/>
      <c r="VK72" s="77"/>
      <c r="VT72" s="77"/>
      <c r="WC72" s="77"/>
      <c r="YT72" s="77"/>
      <c r="ZH72" s="77"/>
      <c r="AAJ72" s="77"/>
      <c r="ABE72" s="77"/>
      <c r="ABK72" s="77"/>
      <c r="AEI72" s="77"/>
      <c r="AES72" s="77"/>
      <c r="AFE72" s="77"/>
      <c r="AJA72" s="77"/>
      <c r="ASD72" s="77"/>
      <c r="ASR72" s="77"/>
      <c r="BAY72" s="77"/>
      <c r="BGE72" s="77"/>
      <c r="BJF72" s="77"/>
      <c r="BNQ72" s="77"/>
      <c r="BWE72" s="77"/>
      <c r="BWH72" s="77"/>
      <c r="BXK72" s="77"/>
      <c r="CBQ72" s="77"/>
      <c r="CCB72" s="77"/>
      <c r="CYH72" s="77"/>
      <c r="DAT72" s="77"/>
      <c r="DGG72" s="77"/>
      <c r="DJT72" s="77"/>
      <c r="DSS72" s="77"/>
    </row>
    <row r="73" spans="1:1022 1030:2000 2097:3072 3079:3437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K73" s="77"/>
      <c r="NJ73" s="77"/>
      <c r="TR73" s="77"/>
      <c r="UB73" s="77"/>
      <c r="UI73" s="77"/>
      <c r="WX73" s="77"/>
      <c r="YL73" s="77"/>
      <c r="AFD73" s="77"/>
      <c r="AKC73" s="77"/>
      <c r="AMH73" s="77"/>
      <c r="ATA73" s="77"/>
      <c r="BEM73" s="77"/>
      <c r="BJQ73" s="77"/>
      <c r="BLG73" s="77"/>
      <c r="BLY73" s="77"/>
      <c r="BRG73" s="77"/>
      <c r="BXM73" s="77"/>
      <c r="CBT73" s="77"/>
      <c r="CMG73" s="77"/>
      <c r="CPG73" s="77"/>
      <c r="CUV73" s="77"/>
      <c r="CWM73" s="77"/>
      <c r="CWR73" s="77"/>
      <c r="CXT73" s="77"/>
      <c r="DGJ73" s="77"/>
      <c r="DIP73" s="77"/>
      <c r="DLH73" s="77"/>
      <c r="DMG73" s="77"/>
      <c r="DML73" s="77"/>
      <c r="DQK73" s="77"/>
      <c r="EBE73" s="77"/>
    </row>
    <row r="74" spans="1:1022 1030:2000 2097:3072 3079:3437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K74" s="77"/>
      <c r="NJ74" s="77"/>
      <c r="TR74" s="77"/>
      <c r="UB74" s="77"/>
      <c r="UI74" s="77"/>
      <c r="WX74" s="77"/>
      <c r="YL74" s="77"/>
      <c r="AFD74" s="77"/>
      <c r="AKC74" s="77"/>
      <c r="AMH74" s="77"/>
      <c r="ATA74" s="77"/>
      <c r="BEM74" s="77"/>
      <c r="BJQ74" s="77"/>
      <c r="BLG74" s="77"/>
      <c r="BLY74" s="77"/>
      <c r="BRG74" s="77"/>
      <c r="BXM74" s="77"/>
      <c r="CBT74" s="77"/>
      <c r="CMG74" s="77"/>
      <c r="CPG74" s="77"/>
      <c r="CUV74" s="77"/>
      <c r="CWM74" s="77"/>
      <c r="CWR74" s="77"/>
      <c r="CXT74" s="77"/>
      <c r="DGJ74" s="77"/>
      <c r="DIP74" s="77"/>
      <c r="DLH74" s="77"/>
      <c r="DMG74" s="77"/>
      <c r="DML74" s="77"/>
      <c r="DQK74" s="77"/>
      <c r="EBE74" s="77"/>
    </row>
    <row r="75" spans="1:1022 1030:2000 2097:3072 3079:3437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K75" s="77"/>
      <c r="NJ75" s="77"/>
      <c r="TR75" s="77"/>
      <c r="UB75" s="77"/>
      <c r="UI75" s="77"/>
      <c r="WX75" s="77"/>
      <c r="YL75" s="77"/>
      <c r="AFD75" s="77"/>
      <c r="AKC75" s="77"/>
      <c r="AMH75" s="77"/>
      <c r="ATA75" s="77"/>
      <c r="BEM75" s="77"/>
      <c r="BJQ75" s="77"/>
      <c r="BLG75" s="77"/>
      <c r="BLY75" s="77"/>
      <c r="BRG75" s="77"/>
      <c r="BXM75" s="77"/>
      <c r="CBT75" s="77"/>
      <c r="CMG75" s="77"/>
      <c r="CPG75" s="77"/>
      <c r="CUV75" s="77"/>
      <c r="CWM75" s="77"/>
      <c r="CWR75" s="77"/>
      <c r="CXT75" s="77"/>
      <c r="DGJ75" s="77"/>
      <c r="DIP75" s="77"/>
      <c r="DLH75" s="77"/>
      <c r="DMG75" s="77"/>
      <c r="DML75" s="77"/>
      <c r="DQK75" s="77"/>
      <c r="EBE75" s="77"/>
    </row>
    <row r="76" spans="1:1022 1030:2000 2097:3072 3079:3437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K76" s="77"/>
      <c r="NJ76" s="77"/>
      <c r="TR76" s="77"/>
      <c r="UB76" s="77"/>
      <c r="UI76" s="77"/>
      <c r="WX76" s="77"/>
      <c r="YL76" s="77"/>
      <c r="AFD76" s="77"/>
      <c r="AKC76" s="77"/>
      <c r="AMH76" s="77"/>
      <c r="ATA76" s="77"/>
      <c r="BEM76" s="77"/>
      <c r="BJQ76" s="77"/>
      <c r="BLG76" s="77"/>
      <c r="BLY76" s="77"/>
      <c r="BRG76" s="77"/>
      <c r="BXM76" s="77"/>
      <c r="CBT76" s="77"/>
      <c r="CMG76" s="77"/>
      <c r="CPG76" s="77"/>
      <c r="CUV76" s="77"/>
      <c r="CWM76" s="77"/>
      <c r="CWR76" s="77"/>
      <c r="CXT76" s="77"/>
      <c r="DGJ76" s="77"/>
      <c r="DIP76" s="77"/>
      <c r="DLH76" s="77"/>
      <c r="DMG76" s="77"/>
      <c r="DML76" s="77"/>
      <c r="DQK76" s="77"/>
      <c r="EBE76" s="77"/>
    </row>
    <row r="77" spans="1:1022 1030:2000 2097:3072 3079:3437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0:2000 2097:3072 3079:3437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0:2000 2097:3072 3079:3437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0:2000 2097:3072 3079:3437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0:2000 2097:3072 3115:3437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0:2000 2097:3072 3115:3437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W82" s="77"/>
      <c r="GI82" s="77"/>
      <c r="HZ82" s="77"/>
      <c r="OE82" s="77"/>
      <c r="TW82" s="77"/>
      <c r="VA82" s="77"/>
      <c r="VD82" s="77"/>
      <c r="XW82" s="77"/>
      <c r="AGT82" s="77"/>
      <c r="AIP82" s="77"/>
      <c r="ARY82" s="77"/>
      <c r="BAD82" s="77"/>
      <c r="BDJ82" s="77"/>
      <c r="BSO82" s="77"/>
      <c r="BVR82" s="77"/>
      <c r="BXX82" s="77"/>
      <c r="CEO82" s="77"/>
      <c r="CFB82" s="77"/>
      <c r="CFU82" s="77"/>
      <c r="CIQ82" s="77"/>
      <c r="CJR82" s="77"/>
      <c r="CKB82" s="77"/>
      <c r="CLL82" s="77"/>
      <c r="CPC82" s="77"/>
      <c r="DCE82" s="77"/>
      <c r="DFT82" s="77"/>
      <c r="DFW82" s="77"/>
      <c r="DGM82" s="77"/>
      <c r="DND82" s="77"/>
      <c r="DXZ82" s="77"/>
    </row>
    <row r="83" spans="1:1022 1030:2000 2097:3072 3115:3437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F83" s="77"/>
      <c r="EW83" s="77"/>
      <c r="GI83" s="77"/>
      <c r="HZ83" s="77"/>
      <c r="OE83" s="77"/>
      <c r="TP83" s="77"/>
      <c r="TW83" s="77"/>
      <c r="VA83" s="77"/>
      <c r="VD83" s="77"/>
      <c r="XW83" s="77"/>
      <c r="AGT83" s="77"/>
      <c r="AIP83" s="77"/>
      <c r="ARY83" s="77"/>
      <c r="AXK83" s="77"/>
      <c r="BAD83" s="77"/>
      <c r="BDJ83" s="77"/>
      <c r="BOR83" s="77"/>
      <c r="BQJ83" s="77"/>
      <c r="BSO83" s="77"/>
      <c r="BVR83" s="77"/>
      <c r="BXX83" s="77"/>
      <c r="CEO83" s="77"/>
      <c r="CFB83" s="77"/>
      <c r="CFU83" s="77"/>
      <c r="CIR83" s="77"/>
      <c r="CJR83" s="77"/>
      <c r="CKB83" s="77"/>
      <c r="CLL83" s="77"/>
      <c r="CPC83" s="77"/>
      <c r="CWN83" s="77"/>
      <c r="CZB83" s="77"/>
      <c r="DCE83" s="77"/>
      <c r="DCO83" s="77"/>
      <c r="DFT83" s="77"/>
      <c r="DFW83" s="77"/>
      <c r="DFZ83" s="77"/>
      <c r="DGG83" s="77"/>
      <c r="DGM83" s="77"/>
      <c r="DHS83" s="77"/>
      <c r="DME83" s="77"/>
      <c r="DND83" s="77"/>
      <c r="DXZ83" s="77"/>
    </row>
    <row r="84" spans="1:1022 1030:2000 2097:3072 3115:3437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W84" s="77"/>
      <c r="GI84" s="77"/>
      <c r="HZ84" s="77"/>
      <c r="OE84" s="77"/>
      <c r="TW84" s="77"/>
      <c r="VD84" s="77"/>
      <c r="XW84" s="77"/>
      <c r="YT84" s="77"/>
      <c r="AGT84" s="77"/>
      <c r="AIP84" s="77"/>
      <c r="AJA84" s="77"/>
      <c r="BAD84" s="77"/>
      <c r="BDJ84" s="77"/>
      <c r="BPO84" s="77"/>
      <c r="BQJ84" s="77"/>
      <c r="BSO84" s="77"/>
      <c r="BVR84" s="77"/>
      <c r="BXX84" s="77"/>
      <c r="CEO84" s="77"/>
      <c r="CFA84" s="77"/>
      <c r="CFU84" s="77"/>
      <c r="CJR84" s="77"/>
      <c r="CLL84" s="77"/>
      <c r="CPC84" s="77"/>
      <c r="CWN84" s="77"/>
      <c r="CZB84" s="77"/>
      <c r="DCE84" s="77"/>
      <c r="DFT84" s="77"/>
      <c r="DFW84" s="77"/>
      <c r="DGM84" s="77"/>
      <c r="DME84" s="77"/>
      <c r="DND84" s="77"/>
      <c r="DXZ84" s="77"/>
    </row>
    <row r="85" spans="1:1022 1030:2000 2097:3072 3115:3437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W85" s="77"/>
      <c r="GI85" s="77"/>
      <c r="HZ85" s="77"/>
      <c r="TW85" s="77"/>
      <c r="VD85" s="77"/>
      <c r="XW85" s="77"/>
      <c r="YT85" s="77"/>
      <c r="AGM85" s="77"/>
      <c r="AGT85" s="77"/>
      <c r="AIP85" s="77"/>
      <c r="AJA85" s="77"/>
      <c r="AND85" s="77"/>
      <c r="BAD85" s="77"/>
      <c r="BDJ85" s="77"/>
      <c r="BQJ85" s="77"/>
      <c r="BSO85" s="77"/>
      <c r="BWF85" s="77"/>
      <c r="BXX85" s="77"/>
      <c r="CEO85" s="77"/>
      <c r="CJR85" s="77"/>
      <c r="CLL85" s="77"/>
      <c r="CPC85" s="77"/>
      <c r="CWN85" s="77"/>
      <c r="DCE85" s="77"/>
      <c r="DFT85" s="77"/>
      <c r="DFW85" s="77"/>
      <c r="DGM85" s="77"/>
      <c r="DME85" s="77"/>
      <c r="DND85" s="77"/>
      <c r="DOU85" s="77"/>
      <c r="DXZ85" s="77"/>
    </row>
    <row r="86" spans="1:1022 1030:2000 2097:3072 3115:3437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G86" s="77"/>
      <c r="EA86" s="77"/>
      <c r="NI86" s="77"/>
      <c r="NO86" s="77"/>
      <c r="ST86" s="77"/>
      <c r="UK86" s="77"/>
      <c r="UP86" s="77"/>
      <c r="XA86" s="77"/>
      <c r="ABB86" s="77"/>
      <c r="ABE86" s="77"/>
      <c r="ADP86" s="77"/>
      <c r="ADZ86" s="77"/>
      <c r="AEI86" s="77"/>
      <c r="AEP86" s="77"/>
      <c r="AFC86" s="77"/>
      <c r="AFN86" s="77"/>
      <c r="AFW86" s="77"/>
      <c r="AGP86" s="77"/>
      <c r="AMB86" s="77"/>
      <c r="AMP86" s="77"/>
      <c r="AOB86" s="77"/>
      <c r="BSH86" s="77"/>
      <c r="DKV86" s="77"/>
      <c r="DQK86" s="77"/>
    </row>
    <row r="87" spans="1:1022 1030:2000 2097:3072 3115:3437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V87" s="77"/>
      <c r="RJ87" s="77"/>
      <c r="SD87" s="77"/>
      <c r="VD87" s="77"/>
      <c r="VK87" s="77"/>
      <c r="VT87" s="77"/>
      <c r="WC87" s="77"/>
      <c r="YT87" s="77"/>
      <c r="ZH87" s="77"/>
      <c r="AAJ87" s="77"/>
      <c r="ABE87" s="77"/>
      <c r="ABK87" s="77"/>
      <c r="AEI87" s="77"/>
      <c r="AES87" s="77"/>
      <c r="AFE87" s="77"/>
      <c r="AJA87" s="77"/>
      <c r="ASD87" s="77"/>
      <c r="ASR87" s="77"/>
      <c r="BAY87" s="77"/>
      <c r="BGE87" s="77"/>
      <c r="BJF87" s="77"/>
      <c r="BNQ87" s="77"/>
      <c r="BWE87" s="77"/>
      <c r="BWH87" s="77"/>
      <c r="BXK87" s="77"/>
      <c r="CBQ87" s="77"/>
      <c r="CCB87" s="77"/>
      <c r="CYH87" s="77"/>
      <c r="DAT87" s="77"/>
      <c r="DGG87" s="77"/>
      <c r="DJT87" s="77"/>
      <c r="DSS87" s="77"/>
    </row>
    <row r="88" spans="1:1022 1030:2000 2097:3072 3115:3437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K88" s="77"/>
      <c r="NJ88" s="77"/>
      <c r="TR88" s="77"/>
      <c r="UB88" s="77"/>
      <c r="UI88" s="77"/>
      <c r="WX88" s="77"/>
      <c r="YL88" s="77"/>
      <c r="AFD88" s="77"/>
      <c r="AKC88" s="77"/>
      <c r="AMH88" s="77"/>
      <c r="ATA88" s="77"/>
      <c r="BEM88" s="77"/>
      <c r="BJQ88" s="77"/>
      <c r="BLG88" s="77"/>
      <c r="BLY88" s="77"/>
      <c r="BRG88" s="77"/>
      <c r="BXM88" s="77"/>
      <c r="CBT88" s="77"/>
      <c r="CMG88" s="77"/>
      <c r="CPG88" s="77"/>
      <c r="CUV88" s="77"/>
      <c r="CWM88" s="77"/>
      <c r="CWR88" s="77"/>
      <c r="CXT88" s="77"/>
      <c r="DGJ88" s="77"/>
      <c r="DIP88" s="77"/>
      <c r="DLH88" s="77"/>
      <c r="DMG88" s="77"/>
      <c r="DML88" s="77"/>
      <c r="DQK88" s="77"/>
      <c r="EBE88" s="77"/>
    </row>
    <row r="89" spans="1:1022 1030:2000 2097:3072 3115:3437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K89" s="77"/>
      <c r="NJ89" s="77"/>
      <c r="TR89" s="77"/>
      <c r="UB89" s="77"/>
      <c r="UI89" s="77"/>
      <c r="WX89" s="77"/>
      <c r="YL89" s="77"/>
      <c r="AFD89" s="77"/>
      <c r="AKC89" s="77"/>
      <c r="AMH89" s="77"/>
      <c r="ATA89" s="77"/>
      <c r="BEM89" s="77"/>
      <c r="BJQ89" s="77"/>
      <c r="BLG89" s="77"/>
      <c r="BLY89" s="77"/>
      <c r="BRG89" s="77"/>
      <c r="BXM89" s="77"/>
      <c r="CBT89" s="77"/>
      <c r="CMG89" s="77"/>
      <c r="CPG89" s="77"/>
      <c r="CUV89" s="77"/>
      <c r="CWM89" s="77"/>
      <c r="CWR89" s="77"/>
      <c r="CXT89" s="77"/>
      <c r="DGJ89" s="77"/>
      <c r="DIP89" s="77"/>
      <c r="DLH89" s="77"/>
      <c r="DMG89" s="77"/>
      <c r="DML89" s="77"/>
      <c r="DQK89" s="77"/>
      <c r="EBE89" s="77"/>
    </row>
    <row r="90" spans="1:1022 1030:2000 2097:3072 3115:3437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K90" s="77"/>
      <c r="NJ90" s="77"/>
      <c r="TR90" s="77"/>
      <c r="UB90" s="77"/>
      <c r="UI90" s="77"/>
      <c r="WX90" s="77"/>
      <c r="YL90" s="77"/>
      <c r="AFD90" s="77"/>
      <c r="AKC90" s="77"/>
      <c r="AMH90" s="77"/>
      <c r="ATA90" s="77"/>
      <c r="BEM90" s="77"/>
      <c r="BJQ90" s="77"/>
      <c r="BLG90" s="77"/>
      <c r="BLY90" s="77"/>
      <c r="BRG90" s="77"/>
      <c r="BXM90" s="77"/>
      <c r="CBT90" s="77"/>
      <c r="CMG90" s="77"/>
      <c r="CPG90" s="77"/>
      <c r="CUV90" s="77"/>
      <c r="CWM90" s="77"/>
      <c r="CWR90" s="77"/>
      <c r="CXT90" s="77"/>
      <c r="DGJ90" s="77"/>
      <c r="DIP90" s="77"/>
      <c r="DLH90" s="77"/>
      <c r="DMG90" s="77"/>
      <c r="DML90" s="77"/>
      <c r="DQK90" s="77"/>
      <c r="EBE90" s="77"/>
    </row>
    <row r="91" spans="1:1022 1030:2000 2097:3072 3115:3437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K91" s="77"/>
      <c r="NJ91" s="77"/>
      <c r="TR91" s="77"/>
      <c r="UB91" s="77"/>
      <c r="UI91" s="77"/>
      <c r="WX91" s="77"/>
      <c r="YL91" s="77"/>
      <c r="AFD91" s="77"/>
      <c r="AKC91" s="77"/>
      <c r="AMH91" s="77"/>
      <c r="ATA91" s="77"/>
      <c r="BEM91" s="77"/>
      <c r="BJQ91" s="77"/>
      <c r="BLG91" s="77"/>
      <c r="BLY91" s="77"/>
      <c r="BRG91" s="77"/>
      <c r="BXM91" s="77"/>
      <c r="CBT91" s="77"/>
      <c r="CMG91" s="77"/>
      <c r="CPG91" s="77"/>
      <c r="CUV91" s="77"/>
      <c r="CWM91" s="77"/>
      <c r="CWR91" s="77"/>
      <c r="CXT91" s="77"/>
      <c r="DGJ91" s="77"/>
      <c r="DIP91" s="77"/>
      <c r="DLH91" s="77"/>
      <c r="DMG91" s="77"/>
      <c r="DML91" s="77"/>
      <c r="DQK91" s="77"/>
      <c r="EBE91" s="77"/>
    </row>
    <row r="92" spans="1:1022 1030:2000 2097:3072 3115:3437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0:2000 2097:3072 3115:3437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0:2000 2097:3072 3115:3437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0:2000 2097:3072 3115:3437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12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0:2000 2097:3072 3115:3437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expression" dxfId="146" priority="77">
      <formula>AND($F41="MIN",$H41&lt;&gt;"")</formula>
    </cfRule>
    <cfRule type="expression" dxfId="145" priority="78">
      <formula>AND($F41="MIN",$H41="")</formula>
    </cfRule>
    <cfRule type="containsBlanks" dxfId="144" priority="79">
      <formula>LEN(TRIM(G41))=0</formula>
    </cfRule>
  </conditionalFormatting>
  <conditionalFormatting sqref="G11:H20 G21:G40 H21:H98 G57:G98 AK11:AM32 AN11:BP33 AK29:BP64">
    <cfRule type="containsBlanks" dxfId="143" priority="70">
      <formula>LEN(TRIM(G11))=0</formula>
    </cfRule>
  </conditionalFormatting>
  <conditionalFormatting sqref="G11:H98">
    <cfRule type="expression" dxfId="142" priority="16">
      <formula>AND($F11="MIN",$H11&lt;&gt;"")</formula>
    </cfRule>
    <cfRule type="expression" dxfId="141" priority="17">
      <formula>AND($F11="MIN",$H11="")</formula>
    </cfRule>
  </conditionalFormatting>
  <conditionalFormatting sqref="I11:I98">
    <cfRule type="expression" dxfId="140" priority="74">
      <formula>AND(OR($F11="GD&amp;T",$F11="MAX"),$I11&lt;&gt;"")</formula>
    </cfRule>
    <cfRule type="expression" dxfId="139" priority="75">
      <formula>AND(OR($F11="GD&amp;T",$F11="MAX"),$I11="")</formula>
    </cfRule>
    <cfRule type="containsBlanks" dxfId="138" priority="76">
      <formula>LEN(TRIM(I11))=0</formula>
    </cfRule>
  </conditionalFormatting>
  <conditionalFormatting sqref="O11:Q98 AK11:BP98 BU11:BW98">
    <cfRule type="expression" dxfId="137" priority="13">
      <formula>AND($M11&lt;&gt;"",$AK11&lt;&gt;"",O11&lt;$M11)</formula>
    </cfRule>
    <cfRule type="expression" dxfId="136" priority="14">
      <formula>AND($L11&lt;&gt;"",$AK11&lt;&gt;"",O11&gt;$L11)</formula>
    </cfRule>
    <cfRule type="notContainsBlanks" dxfId="135" priority="15">
      <formula>LEN(TRIM(O11))&gt;0</formula>
    </cfRule>
  </conditionalFormatting>
  <conditionalFormatting sqref="R11:R98">
    <cfRule type="expression" dxfId="134" priority="49">
      <formula>AND($R11&lt;&gt;"",$S11&lt;1.67)</formula>
    </cfRule>
    <cfRule type="notContainsBlanks" dxfId="133" priority="50">
      <formula>LEN(TRIM(R11))&gt;0</formula>
    </cfRule>
  </conditionalFormatting>
  <conditionalFormatting sqref="S11:S98 V11:X98">
    <cfRule type="expression" dxfId="132" priority="51">
      <formula>$K11="Yes"</formula>
    </cfRule>
    <cfRule type="expression" dxfId="131" priority="52">
      <formula>AND($AD11&lt;0.966,$AD11&lt;&gt;"")</formula>
    </cfRule>
    <cfRule type="cellIs" dxfId="130" priority="53" operator="lessThan">
      <formula>$E11</formula>
    </cfRule>
    <cfRule type="notContainsBlanks" dxfId="129" priority="54">
      <formula>LEN(TRIM(S11))&gt;0</formula>
    </cfRule>
  </conditionalFormatting>
  <conditionalFormatting sqref="Y11:Y98">
    <cfRule type="containsBlanks" dxfId="128" priority="302">
      <formula>LEN(TRIM(Y11))=0</formula>
    </cfRule>
    <cfRule type="cellIs" dxfId="127" priority="303" operator="between">
      <formula>0.9</formula>
      <formula>0.998</formula>
    </cfRule>
    <cfRule type="cellIs" dxfId="126" priority="304" operator="greaterThanOrEqual">
      <formula>0.998</formula>
    </cfRule>
    <cfRule type="notContainsBlanks" dxfId="125" priority="308">
      <formula>LEN(TRIM(Y11))&gt;0</formula>
    </cfRule>
  </conditionalFormatting>
  <conditionalFormatting sqref="AD11:AE98">
    <cfRule type="expression" dxfId="124" priority="26">
      <formula>AND($AD11&lt;0.966,$AD11&lt;&gt;"")</formula>
    </cfRule>
  </conditionalFormatting>
  <conditionalFormatting sqref="AK29:BP33">
    <cfRule type="expression" dxfId="123" priority="84">
      <formula>AND($M29&lt;&gt;"",$AK29&lt;&gt;"",AK29&lt;$M29)</formula>
    </cfRule>
    <cfRule type="expression" dxfId="122" priority="85">
      <formula>AND($L29&lt;&gt;"",$AK29&lt;&gt;"",AK29&gt;$L29)</formula>
    </cfRule>
    <cfRule type="notContainsBlanks" dxfId="121" priority="86">
      <formula>LEN(TRIM(AK29))&gt;0</formula>
    </cfRule>
  </conditionalFormatting>
  <conditionalFormatting sqref="AK31:BP31">
    <cfRule type="expression" dxfId="120" priority="91">
      <formula>AND($M31&lt;&gt;"",AK31&lt;$M31)</formula>
    </cfRule>
    <cfRule type="expression" dxfId="119" priority="92">
      <formula>AND($L31&lt;&gt;"",AK31&gt;$L31)</formula>
    </cfRule>
    <cfRule type="notContainsBlanks" dxfId="118" priority="93">
      <formula>LEN(TRIM(AK31))&gt;0</formula>
    </cfRule>
  </conditionalFormatting>
  <conditionalFormatting sqref="AK35:BP35">
    <cfRule type="expression" dxfId="117" priority="87">
      <formula>AND($M35&lt;&gt;"",AK35&lt;$M35)</formula>
    </cfRule>
    <cfRule type="expression" dxfId="116" priority="88">
      <formula>AND($L35&lt;&gt;"",AK35&gt;$L35)</formula>
    </cfRule>
    <cfRule type="notContainsBlanks" dxfId="115" priority="89">
      <formula>LEN(TRIM(AK35))&gt;0</formula>
    </cfRule>
  </conditionalFormatting>
  <conditionalFormatting sqref="AK41:BP45">
    <cfRule type="expression" dxfId="114" priority="201">
      <formula>AND($M41&lt;&gt;"",$AK41&lt;&gt;"",AK41&lt;$M41)</formula>
    </cfRule>
    <cfRule type="expression" dxfId="113" priority="202">
      <formula>AND($L41&lt;&gt;"",$AK41&lt;&gt;"",AK41&gt;$L41)</formula>
    </cfRule>
    <cfRule type="notContainsBlanks" dxfId="112" priority="203">
      <formula>LEN(TRIM(AK41))&gt;0</formula>
    </cfRule>
  </conditionalFormatting>
  <conditionalFormatting sqref="AK42:BP44">
    <cfRule type="containsBlanks" dxfId="111" priority="212">
      <formula>LEN(TRIM(AK42))=0</formula>
    </cfRule>
  </conditionalFormatting>
  <conditionalFormatting sqref="AK43:BP43">
    <cfRule type="expression" dxfId="110" priority="218">
      <formula>AND($M43&lt;&gt;"",AK43&lt;$M43)</formula>
    </cfRule>
    <cfRule type="expression" dxfId="109" priority="219">
      <formula>AND($L43&lt;&gt;"",AK43&gt;$L43)</formula>
    </cfRule>
    <cfRule type="notContainsBlanks" dxfId="108" priority="220">
      <formula>LEN(TRIM(AK43))&gt;0</formula>
    </cfRule>
  </conditionalFormatting>
  <conditionalFormatting sqref="AK47:BP47">
    <cfRule type="expression" dxfId="107" priority="209">
      <formula>AND($M47&lt;&gt;"",AK47&lt;$M47)</formula>
    </cfRule>
    <cfRule type="expression" dxfId="106" priority="210">
      <formula>AND($L47&lt;&gt;"",AK47&gt;$L47)</formula>
    </cfRule>
    <cfRule type="notContainsBlanks" dxfId="105" priority="211">
      <formula>LEN(TRIM(AK47))&gt;0</formula>
    </cfRule>
  </conditionalFormatting>
  <conditionalFormatting sqref="AK49:BP56 AK73:BP81 AN81:BP85 AK88:BP91">
    <cfRule type="expression" dxfId="104" priority="247">
      <formula>AND($L49&lt;&gt;"",$AK49&lt;&gt;"",AK49&gt;$L49)</formula>
    </cfRule>
    <cfRule type="notContainsBlanks" dxfId="103" priority="248">
      <formula>LEN(TRIM(AK49))&gt;0</formula>
    </cfRule>
  </conditionalFormatting>
  <conditionalFormatting sqref="AK65:BP69">
    <cfRule type="expression" dxfId="102" priority="174">
      <formula>AND($M65&lt;&gt;"",$AK65&lt;&gt;"",AK65&lt;$M65)</formula>
    </cfRule>
    <cfRule type="expression" dxfId="101" priority="175">
      <formula>AND($L65&lt;&gt;"",$AK65&lt;&gt;"",AK65&gt;$L65)</formula>
    </cfRule>
    <cfRule type="notContainsBlanks" dxfId="100" priority="176">
      <formula>LEN(TRIM(AK65))&gt;0</formula>
    </cfRule>
  </conditionalFormatting>
  <conditionalFormatting sqref="AK65:BP83">
    <cfRule type="containsBlanks" dxfId="99" priority="158">
      <formula>LEN(TRIM(AK65))=0</formula>
    </cfRule>
  </conditionalFormatting>
  <conditionalFormatting sqref="AK66:BP68">
    <cfRule type="containsBlanks" dxfId="98" priority="185">
      <formula>LEN(TRIM(AK66))=0</formula>
    </cfRule>
  </conditionalFormatting>
  <conditionalFormatting sqref="AK67:BP67">
    <cfRule type="expression" dxfId="97" priority="191">
      <formula>AND($M67&lt;&gt;"",AK67&lt;$M67)</formula>
    </cfRule>
    <cfRule type="expression" dxfId="96" priority="192">
      <formula>AND($L67&lt;&gt;"",AK67&gt;$L67)</formula>
    </cfRule>
    <cfRule type="notContainsBlanks" dxfId="95" priority="193">
      <formula>LEN(TRIM(AK67))&gt;0</formula>
    </cfRule>
  </conditionalFormatting>
  <conditionalFormatting sqref="AK71:BP71">
    <cfRule type="expression" dxfId="94" priority="182">
      <formula>AND($M71&lt;&gt;"",AK71&lt;$M71)</formula>
    </cfRule>
    <cfRule type="expression" dxfId="93" priority="183">
      <formula>AND($L71&lt;&gt;"",AK71&gt;$L71)</formula>
    </cfRule>
    <cfRule type="notContainsBlanks" dxfId="92" priority="184">
      <formula>LEN(TRIM(AK71))&gt;0</formula>
    </cfRule>
  </conditionalFormatting>
  <conditionalFormatting sqref="AK73:BP81 AN81:BP85 AK49:BP56 AK88:BP91">
    <cfRule type="expression" dxfId="91" priority="246">
      <formula>AND($M49&lt;&gt;"",$AK49&lt;&gt;"",AK49&lt;$M49)</formula>
    </cfRule>
  </conditionalFormatting>
  <conditionalFormatting sqref="AK77:BP81 AN81:BP85">
    <cfRule type="containsBlanks" dxfId="90" priority="257">
      <formula>LEN(TRIM(AK77))=0</formula>
    </cfRule>
  </conditionalFormatting>
  <conditionalFormatting sqref="AK82:BP82">
    <cfRule type="expression" dxfId="89" priority="164">
      <formula>AND($M82&lt;&gt;"",AK82&lt;$M82)</formula>
    </cfRule>
    <cfRule type="expression" dxfId="88" priority="165">
      <formula>AND($L82&lt;&gt;"",AK82&gt;$L82)</formula>
    </cfRule>
    <cfRule type="notContainsBlanks" dxfId="87" priority="166">
      <formula>LEN(TRIM(AK82))&gt;0</formula>
    </cfRule>
  </conditionalFormatting>
  <conditionalFormatting sqref="AK82:BP84">
    <cfRule type="expression" dxfId="86" priority="147">
      <formula>AND($M82&lt;&gt;"",$AK82&lt;&gt;"",AK82&lt;$M82)</formula>
    </cfRule>
    <cfRule type="expression" dxfId="85" priority="148">
      <formula>AND($L82&lt;&gt;"",$AK82&lt;&gt;"",AK82&gt;$L82)</formula>
    </cfRule>
    <cfRule type="notContainsBlanks" dxfId="84" priority="149">
      <formula>LEN(TRIM(AK82))&gt;0</formula>
    </cfRule>
  </conditionalFormatting>
  <conditionalFormatting sqref="AK82:BP98">
    <cfRule type="containsBlanks" dxfId="83" priority="22">
      <formula>LEN(TRIM(AK82))=0</formula>
    </cfRule>
  </conditionalFormatting>
  <conditionalFormatting sqref="AK86:BP86">
    <cfRule type="expression" dxfId="82" priority="155">
      <formula>AND($M86&lt;&gt;"",AK86&lt;$M86)</formula>
    </cfRule>
    <cfRule type="expression" dxfId="81" priority="156">
      <formula>AND($L86&lt;&gt;"",AK86&gt;$L86)</formula>
    </cfRule>
    <cfRule type="notContainsBlanks" dxfId="80" priority="157">
      <formula>LEN(TRIM(AK86))&gt;0</formula>
    </cfRule>
  </conditionalFormatting>
  <conditionalFormatting sqref="AN39:BP40">
    <cfRule type="expression" dxfId="79" priority="95">
      <formula>AND($M39&lt;&gt;"",$AK39&lt;&gt;"",AN39&lt;$M39)</formula>
    </cfRule>
    <cfRule type="expression" dxfId="78" priority="96">
      <formula>AND($L39&lt;&gt;"",$AK39&lt;&gt;"",AN39&gt;$L39)</formula>
    </cfRule>
    <cfRule type="notContainsBlanks" dxfId="77" priority="97">
      <formula>LEN(TRIM(AN39))&gt;0</formula>
    </cfRule>
    <cfRule type="containsBlanks" dxfId="76" priority="98">
      <formula>LEN(TRIM(AN39))=0</formula>
    </cfRule>
  </conditionalFormatting>
  <conditionalFormatting sqref="AN81:BP85">
    <cfRule type="containsBlanks" dxfId="75" priority="245">
      <formula>LEN(TRIM(AN81))=0</formula>
    </cfRule>
  </conditionalFormatting>
  <conditionalFormatting sqref="BX11:BX98">
    <cfRule type="endsWith" dxfId="74" priority="4" operator="endsWith" text="OK">
      <formula>RIGHT(BX11,LEN("OK"))="OK"</formula>
    </cfRule>
    <cfRule type="endsWith" dxfId="73" priority="5" operator="endsWith" text="OOS">
      <formula>RIGHT(BX11,LEN("OOS"))="OOS"</formula>
    </cfRule>
    <cfRule type="endsWith" dxfId="72" priority="6" operator="endsWith" text="OOC">
      <formula>RIGHT(BX11,LEN("OOC"))="OOC"</formula>
    </cfRule>
  </conditionalFormatting>
  <dataValidations disablePrompts="1" count="3">
    <dataValidation type="list" allowBlank="1" showInputMessage="1" showErrorMessage="1" sqref="K11:K98" xr:uid="{00000000-0002-0000-0300-000000000000}">
      <formula1>gauging</formula1>
    </dataValidation>
    <dataValidation type="list" allowBlank="1" showInputMessage="1" showErrorMessage="1" sqref="F11:F98" xr:uid="{00000000-0002-0000-0300-000001000000}">
      <formula1>dim_type</formula1>
    </dataValidation>
    <dataValidation type="list" allowBlank="1" showInputMessage="1" showErrorMessage="1" sqref="J11:J98" xr:uid="{00000000-0002-0000-0300-000002000000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95:I98 H11:I11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08BF-D80C-45FF-AD9F-889328E4CA19}">
  <sheetPr codeName="Sheet12"/>
  <dimension ref="A1:DZR536"/>
  <sheetViews>
    <sheetView showGridLines="0" topLeftCell="Q6" zoomScaleNormal="100" zoomScalePageLayoutView="125" workbookViewId="0">
      <selection activeCell="S11" sqref="S11:AK100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62"/>
    <col min="24" max="27" width="8.6640625" style="62"/>
    <col min="29" max="32" width="8.6640625" style="62"/>
    <col min="34" max="37" width="8.6640625" style="62"/>
  </cols>
  <sheetData>
    <row r="1" spans="1:887 1212:1386 2220:3029 3359:3389" s="1" customFormat="1" ht="21.95" customHeight="1">
      <c r="A1" s="186" t="s">
        <v>49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S1" s="94"/>
      <c r="T1" s="94"/>
      <c r="U1" s="94"/>
      <c r="V1" s="94"/>
      <c r="X1" s="94"/>
      <c r="Y1" s="94"/>
      <c r="Z1" s="94"/>
      <c r="AA1" s="94"/>
      <c r="AC1" s="94"/>
      <c r="AD1" s="94"/>
      <c r="AE1" s="94"/>
      <c r="AF1" s="94"/>
      <c r="AH1" s="94"/>
      <c r="AI1" s="94"/>
      <c r="AJ1" s="94"/>
      <c r="AK1" s="94"/>
    </row>
    <row r="2" spans="1:887 1212:1386 2220:3029 3359:3389" s="1" customFormat="1" ht="14.1" customHeight="1">
      <c r="A2" s="9" t="s">
        <v>98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94"/>
      <c r="T2" s="94"/>
      <c r="U2" s="94"/>
      <c r="V2" s="94"/>
      <c r="X2" s="94"/>
      <c r="Y2" s="94"/>
      <c r="Z2" s="94"/>
      <c r="AA2" s="94"/>
      <c r="AC2" s="94"/>
      <c r="AD2" s="94"/>
      <c r="AE2" s="94"/>
      <c r="AF2" s="94"/>
      <c r="AH2" s="94"/>
      <c r="AI2" s="94"/>
      <c r="AJ2" s="94"/>
      <c r="AK2" s="94"/>
    </row>
    <row r="3" spans="1:887 1212:1386 2220:3029 3359:3389" s="1" customFormat="1" ht="9" customHeight="1">
      <c r="A3" s="8"/>
      <c r="B3" s="8"/>
      <c r="C3" s="8"/>
      <c r="D3" s="8"/>
      <c r="E3" s="8"/>
      <c r="F3" s="8"/>
      <c r="G3" s="8"/>
      <c r="H3" s="8"/>
      <c r="S3" s="94"/>
      <c r="T3" s="94"/>
      <c r="U3" s="94"/>
      <c r="V3" s="94"/>
      <c r="X3" s="94"/>
      <c r="Y3" s="94"/>
      <c r="Z3" s="94"/>
      <c r="AA3" s="94"/>
      <c r="AC3" s="94"/>
      <c r="AD3" s="94"/>
      <c r="AE3" s="94"/>
      <c r="AF3" s="94"/>
      <c r="AH3" s="94"/>
      <c r="AI3" s="94"/>
      <c r="AJ3" s="94"/>
      <c r="AK3" s="94"/>
    </row>
    <row r="4" spans="1:887 1212:1386 2220:3029 3359:3389" s="1" customFormat="1" ht="18.75" customHeight="1">
      <c r="B4" s="92"/>
      <c r="C4" s="34"/>
      <c r="D4" s="93"/>
      <c r="E4" s="194" t="s">
        <v>230</v>
      </c>
      <c r="F4" s="195"/>
      <c r="G4" s="195"/>
      <c r="H4" s="196"/>
      <c r="I4" s="35"/>
      <c r="S4" s="94"/>
      <c r="T4" s="94"/>
      <c r="U4" s="94"/>
      <c r="V4" s="94"/>
      <c r="X4" s="94"/>
      <c r="Y4" s="94"/>
      <c r="Z4" s="94"/>
      <c r="AA4" s="94"/>
      <c r="AC4" s="94"/>
      <c r="AD4" s="94"/>
      <c r="AE4" s="94"/>
      <c r="AF4" s="94"/>
      <c r="AH4" s="94"/>
      <c r="AI4" s="94"/>
      <c r="AJ4" s="94"/>
      <c r="AK4" s="94"/>
    </row>
    <row r="5" spans="1:887 1212:1386 2220:3029 3359:3389" s="1" customFormat="1" ht="18.75" customHeight="1">
      <c r="B5" s="92"/>
      <c r="C5" s="34"/>
      <c r="D5" s="93"/>
      <c r="E5" s="209" t="s">
        <v>231</v>
      </c>
      <c r="F5" s="195"/>
      <c r="G5" s="195"/>
      <c r="H5" s="196"/>
      <c r="I5" s="35"/>
      <c r="S5" s="94"/>
      <c r="T5" s="94"/>
      <c r="U5" s="94"/>
      <c r="V5" s="94"/>
      <c r="X5" s="94"/>
      <c r="Y5" s="94"/>
      <c r="Z5" s="94"/>
      <c r="AA5" s="94"/>
      <c r="AC5" s="94"/>
      <c r="AD5" s="94"/>
      <c r="AE5" s="94"/>
      <c r="AF5" s="94"/>
      <c r="AH5" s="94"/>
      <c r="AI5" s="94"/>
      <c r="AJ5" s="94"/>
      <c r="AK5" s="94"/>
    </row>
    <row r="6" spans="1:887 1212:1386 2220:3029 3359:3389" s="1" customFormat="1" ht="18.75" customHeight="1">
      <c r="B6" s="92"/>
      <c r="C6" s="34"/>
      <c r="D6" s="93"/>
      <c r="E6" s="209" t="s">
        <v>232</v>
      </c>
      <c r="F6" s="195"/>
      <c r="G6" s="195"/>
      <c r="H6" s="196"/>
      <c r="I6" s="35"/>
      <c r="S6" s="94"/>
      <c r="T6" s="94"/>
      <c r="U6" s="94"/>
      <c r="V6" s="94"/>
      <c r="X6" s="94"/>
      <c r="Y6" s="94"/>
      <c r="Z6" s="94"/>
      <c r="AA6" s="94"/>
      <c r="AC6" s="94"/>
      <c r="AD6" s="94"/>
      <c r="AE6" s="94"/>
      <c r="AF6" s="94"/>
      <c r="AH6" s="94"/>
      <c r="AI6" s="94"/>
      <c r="AJ6" s="94"/>
      <c r="AK6" s="94"/>
    </row>
    <row r="7" spans="1:887 1212:1386 2220:3029 3359:3389" s="1" customFormat="1" ht="9" customHeight="1">
      <c r="A7" s="10"/>
      <c r="B7" s="10"/>
      <c r="C7" s="10"/>
      <c r="D7" s="10"/>
      <c r="E7" s="10"/>
      <c r="F7" s="10"/>
      <c r="G7" s="10"/>
      <c r="H7" s="10"/>
      <c r="R7" s="95">
        <f>OQC!X5</f>
        <v>0</v>
      </c>
      <c r="S7" s="94"/>
      <c r="T7" s="94"/>
      <c r="U7" s="94"/>
      <c r="V7" s="94"/>
      <c r="W7" s="95" t="e">
        <f>#REF!</f>
        <v>#REF!</v>
      </c>
      <c r="X7" s="94"/>
      <c r="Y7" s="94"/>
      <c r="Z7" s="94"/>
      <c r="AA7" s="94"/>
      <c r="AB7" s="95" t="e">
        <f>#REF!</f>
        <v>#REF!</v>
      </c>
      <c r="AC7" s="94"/>
      <c r="AD7" s="94"/>
      <c r="AE7" s="94"/>
      <c r="AF7" s="94"/>
      <c r="AG7" s="95" t="e">
        <f>#REF!</f>
        <v>#REF!</v>
      </c>
      <c r="AH7" s="94"/>
      <c r="AI7" s="94"/>
      <c r="AJ7" s="94"/>
      <c r="AK7" s="94"/>
    </row>
    <row r="8" spans="1:887 1212:1386 2220:3029 3359:3389" s="16" customFormat="1" ht="15" customHeight="1">
      <c r="A8" s="24"/>
      <c r="B8" s="180"/>
      <c r="C8" s="180"/>
      <c r="D8" s="180"/>
      <c r="E8" s="180"/>
      <c r="F8" s="180"/>
      <c r="G8" s="180"/>
      <c r="H8" s="181"/>
      <c r="I8" s="24"/>
      <c r="J8" s="179" t="s">
        <v>25</v>
      </c>
      <c r="K8" s="180"/>
      <c r="L8" s="179" t="s">
        <v>25</v>
      </c>
      <c r="M8" s="180"/>
      <c r="N8" s="179" t="s">
        <v>25</v>
      </c>
      <c r="O8" s="180"/>
      <c r="P8" s="179" t="s">
        <v>25</v>
      </c>
      <c r="Q8" s="180"/>
      <c r="S8" s="94"/>
      <c r="T8" s="94"/>
      <c r="U8" s="94"/>
      <c r="V8" s="94"/>
      <c r="X8" s="94"/>
      <c r="Y8" s="94"/>
      <c r="Z8" s="94"/>
      <c r="AA8" s="94"/>
      <c r="AC8" s="94"/>
      <c r="AD8" s="94"/>
      <c r="AE8" s="94"/>
      <c r="AF8" s="94"/>
      <c r="AH8" s="94"/>
      <c r="AI8" s="94"/>
      <c r="AJ8" s="94"/>
      <c r="AK8" s="94"/>
    </row>
    <row r="9" spans="1:887 1212:1386 2220:3029 3359:3389" s="16" customFormat="1" ht="24.95" customHeight="1">
      <c r="A9" s="47"/>
      <c r="B9" s="47"/>
      <c r="C9" s="47"/>
      <c r="D9" s="48"/>
      <c r="E9" s="52" t="s">
        <v>62</v>
      </c>
      <c r="F9" s="52" t="s">
        <v>63</v>
      </c>
      <c r="G9" s="65"/>
      <c r="H9" s="65"/>
      <c r="I9" s="30"/>
      <c r="J9" s="206" t="s">
        <v>233</v>
      </c>
      <c r="K9" s="207"/>
      <c r="L9" s="206" t="s">
        <v>234</v>
      </c>
      <c r="M9" s="207"/>
      <c r="N9" s="206" t="s">
        <v>235</v>
      </c>
      <c r="O9" s="207"/>
      <c r="P9" s="206" t="s">
        <v>236</v>
      </c>
      <c r="Q9" s="207"/>
      <c r="S9" s="208" t="s">
        <v>372</v>
      </c>
      <c r="T9" s="208"/>
      <c r="U9" s="208"/>
      <c r="V9" s="208"/>
      <c r="X9" s="208" t="s">
        <v>372</v>
      </c>
      <c r="Y9" s="208"/>
      <c r="Z9" s="208"/>
      <c r="AA9" s="208"/>
      <c r="AC9" s="208" t="s">
        <v>372</v>
      </c>
      <c r="AD9" s="208"/>
      <c r="AE9" s="208"/>
      <c r="AF9" s="208"/>
      <c r="AH9" s="208" t="s">
        <v>372</v>
      </c>
      <c r="AI9" s="208"/>
      <c r="AJ9" s="208"/>
      <c r="AK9" s="208"/>
    </row>
    <row r="10" spans="1:887 1212:1386 2220:3029 3359:3389" s="22" customFormat="1" ht="15" customHeight="1">
      <c r="A10" s="49" t="s">
        <v>1</v>
      </c>
      <c r="B10" s="49" t="s">
        <v>237</v>
      </c>
      <c r="C10" s="49" t="s">
        <v>76</v>
      </c>
      <c r="D10" s="50" t="s">
        <v>21</v>
      </c>
      <c r="E10" s="69" t="s">
        <v>72</v>
      </c>
      <c r="F10" s="69" t="s">
        <v>73</v>
      </c>
      <c r="G10" s="53" t="s">
        <v>3</v>
      </c>
      <c r="H10" s="53" t="s">
        <v>4</v>
      </c>
      <c r="I10" s="25"/>
      <c r="J10" s="41" t="s">
        <v>5</v>
      </c>
      <c r="K10" s="41" t="s">
        <v>6</v>
      </c>
      <c r="L10" s="41" t="s">
        <v>5</v>
      </c>
      <c r="M10" s="41" t="s">
        <v>6</v>
      </c>
      <c r="N10" s="41" t="s">
        <v>5</v>
      </c>
      <c r="O10" s="41" t="s">
        <v>6</v>
      </c>
      <c r="P10" s="41" t="s">
        <v>5</v>
      </c>
      <c r="Q10" s="41" t="s">
        <v>6</v>
      </c>
      <c r="S10" s="96" t="s">
        <v>72</v>
      </c>
      <c r="T10" s="96" t="s">
        <v>73</v>
      </c>
      <c r="U10" s="96" t="s">
        <v>3</v>
      </c>
      <c r="V10" s="96" t="s">
        <v>4</v>
      </c>
      <c r="X10" s="96" t="s">
        <v>72</v>
      </c>
      <c r="Y10" s="96" t="s">
        <v>73</v>
      </c>
      <c r="Z10" s="96" t="s">
        <v>3</v>
      </c>
      <c r="AA10" s="96" t="s">
        <v>4</v>
      </c>
      <c r="AC10" s="96" t="s">
        <v>72</v>
      </c>
      <c r="AD10" s="96" t="s">
        <v>73</v>
      </c>
      <c r="AE10" s="96" t="s">
        <v>3</v>
      </c>
      <c r="AF10" s="96" t="s">
        <v>4</v>
      </c>
      <c r="AH10" s="96" t="s">
        <v>72</v>
      </c>
      <c r="AI10" s="96" t="s">
        <v>73</v>
      </c>
      <c r="AJ10" s="96" t="s">
        <v>3</v>
      </c>
      <c r="AK10" s="96" t="s">
        <v>4</v>
      </c>
    </row>
    <row r="11" spans="1:887 1212:1386 2220:3029 3359:3389" ht="15" customHeight="1">
      <c r="A11" s="97" t="s">
        <v>238</v>
      </c>
      <c r="B11" s="98" t="s">
        <v>203</v>
      </c>
      <c r="C11" s="99">
        <v>1.5</v>
      </c>
      <c r="D11" s="100"/>
      <c r="E11" s="101">
        <v>7.0000000000000007E-2</v>
      </c>
      <c r="F11" s="102"/>
      <c r="G11" s="18">
        <f>IF(AND(D11="",E11=""),"",IF(D11="",E11,D11+E11))</f>
        <v>7.0000000000000007E-2</v>
      </c>
      <c r="H11" s="18" t="str">
        <f>IF(AND(D11="",F11=""),"",IF(D11="",F11,D11+F11))</f>
        <v/>
      </c>
      <c r="I11" s="26"/>
      <c r="J11" s="3"/>
      <c r="K11" s="3"/>
      <c r="L11" s="3"/>
      <c r="M11" s="3"/>
      <c r="N11" s="3"/>
      <c r="O11" s="3"/>
      <c r="P11" s="3"/>
      <c r="Q11" s="3"/>
      <c r="S11" s="103">
        <f>IF($A11&lt;&gt;"(DC)", $E11*$R$7, $E11)</f>
        <v>0</v>
      </c>
      <c r="T11" s="103">
        <f>IF($A11&lt;&gt;"(DC)", $F11*$R$7, $F11)</f>
        <v>0</v>
      </c>
      <c r="U11" s="104">
        <f>IF(AND($D11="",S11=""),"",IF($D11="",S11,$D11+S11))</f>
        <v>0</v>
      </c>
      <c r="V11" s="104">
        <f>IF(AND($D11="",T11=""),"",IF($D11="",T11,$D11+T11))</f>
        <v>0</v>
      </c>
      <c r="X11" s="103" t="e">
        <f>IF($A11&lt;&gt;"(DC)", $E11*$W$7, $E11)</f>
        <v>#REF!</v>
      </c>
      <c r="Y11" s="103" t="e">
        <f>IF($A11&lt;&gt;"(DC)", $F11*$W$7, $F11)</f>
        <v>#REF!</v>
      </c>
      <c r="Z11" s="104" t="e">
        <f>IF(AND($D11="",X11=""),"",IF($D11="",X11,$D11+X11))</f>
        <v>#REF!</v>
      </c>
      <c r="AA11" s="104" t="e">
        <f>IF(AND($D11="",Y11=""),"",IF($D11="",Y11,$D11+Y11))</f>
        <v>#REF!</v>
      </c>
      <c r="AC11" s="103" t="e">
        <f>IF($A11&lt;&gt;"(DC)", $E11*$AB$7, $E11)</f>
        <v>#REF!</v>
      </c>
      <c r="AD11" s="103" t="e">
        <f>IF($A11&lt;&gt;"(DC)", $F11*$AB$7, $F11)</f>
        <v>#REF!</v>
      </c>
      <c r="AE11" s="104" t="e">
        <f>IF(AND($D11="",AC11=""),"",IF($D11="",AC11,$D11+AC11))</f>
        <v>#REF!</v>
      </c>
      <c r="AF11" s="104" t="e">
        <f>IF(AND($D11="",AD11=""),"",IF($D11="",AD11,$D11+AD11))</f>
        <v>#REF!</v>
      </c>
      <c r="AH11" s="103" t="e">
        <f>IF($A11&lt;&gt;"(DC)", $E11*$AG$7, $E11)</f>
        <v>#REF!</v>
      </c>
      <c r="AI11" s="103" t="e">
        <f>IF($A11&lt;&gt;"(DC)", $F11*$AG$7, $F11)</f>
        <v>#REF!</v>
      </c>
      <c r="AJ11" s="104" t="e">
        <f>IF(AND($D11="",AH11=""),"",IF($D11="",AH11,$D11+AH11))</f>
        <v>#REF!</v>
      </c>
      <c r="AK11" s="104" t="e">
        <f>IF(AND($D11="",AI11=""),"",IF($D11="",AI11,$D11+AI11))</f>
        <v>#REF!</v>
      </c>
      <c r="JJ11" s="77"/>
      <c r="PC11" s="77"/>
      <c r="PY11" s="77"/>
      <c r="AFW11" s="77"/>
      <c r="AHC11" s="77"/>
      <c r="ATP11" s="77"/>
      <c r="AUH11" s="77"/>
      <c r="AYL11" s="77"/>
      <c r="BAH11" s="77"/>
      <c r="CGJ11" s="77"/>
      <c r="CMK11" s="77"/>
      <c r="DGC11" s="77"/>
      <c r="DLM11" s="77"/>
      <c r="DYE11" s="77"/>
      <c r="DZI11" s="77"/>
    </row>
    <row r="12" spans="1:887 1212:1386 2220:3029 3359:3389" ht="15" customHeight="1">
      <c r="A12" s="97"/>
      <c r="B12" s="98"/>
      <c r="C12" s="99"/>
      <c r="D12" s="100"/>
      <c r="E12" s="101"/>
      <c r="F12" s="102"/>
      <c r="G12" s="18"/>
      <c r="H12" s="18"/>
      <c r="I12" s="26"/>
      <c r="J12" s="3"/>
      <c r="K12" s="3"/>
      <c r="L12" s="3"/>
      <c r="M12" s="3"/>
      <c r="N12" s="3"/>
      <c r="O12" s="3"/>
      <c r="P12" s="3"/>
      <c r="Q12" s="3"/>
      <c r="S12" s="103">
        <f t="shared" ref="S12:S75" si="0">IF($A12&lt;&gt;"(DC)", $E12*$R$7, $E12)</f>
        <v>0</v>
      </c>
      <c r="T12" s="103">
        <f t="shared" ref="T12:T75" si="1">IF($A12&lt;&gt;"(DC)", $F12*$R$7, $F12)</f>
        <v>0</v>
      </c>
      <c r="U12" s="104">
        <f t="shared" ref="U12:U75" si="2">IF(AND($D12="",S12=""),"",IF($D12="",S12,$D12+S12))</f>
        <v>0</v>
      </c>
      <c r="V12" s="104">
        <f t="shared" ref="V12:V75" si="3">IF(AND($D12="",T12=""),"",IF($D12="",T12,$D12+T12))</f>
        <v>0</v>
      </c>
      <c r="X12" s="103" t="e">
        <f t="shared" ref="X12:X75" si="4">IF($A12&lt;&gt;"(DC)", $E12*$W$7, $E12)</f>
        <v>#REF!</v>
      </c>
      <c r="Y12" s="103" t="e">
        <f t="shared" ref="Y12:Y75" si="5">IF($A12&lt;&gt;"(DC)", $F12*$W$7, $F12)</f>
        <v>#REF!</v>
      </c>
      <c r="Z12" s="104" t="e">
        <f t="shared" ref="Z12:Z75" si="6">IF(AND($D12="",X12=""),"",IF($D12="",X12,$D12+X12))</f>
        <v>#REF!</v>
      </c>
      <c r="AA12" s="104" t="e">
        <f t="shared" ref="AA12:AA75" si="7">IF(AND($D12="",Y12=""),"",IF($D12="",Y12,$D12+Y12))</f>
        <v>#REF!</v>
      </c>
      <c r="AC12" s="103" t="e">
        <f t="shared" ref="AC12:AC75" si="8">IF($A12&lt;&gt;"(DC)", $E12*$AB$7, $E12)</f>
        <v>#REF!</v>
      </c>
      <c r="AD12" s="103" t="e">
        <f t="shared" ref="AD12:AD75" si="9">IF($A12&lt;&gt;"(DC)", $F12*$AB$7, $F12)</f>
        <v>#REF!</v>
      </c>
      <c r="AE12" s="104" t="e">
        <f t="shared" ref="AE12:AE75" si="10">IF(AND($D12="",AC12=""),"",IF($D12="",AC12,$D12+AC12))</f>
        <v>#REF!</v>
      </c>
      <c r="AF12" s="104" t="e">
        <f t="shared" ref="AF12:AF75" si="11">IF(AND($D12="",AD12=""),"",IF($D12="",AD12,$D12+AD12))</f>
        <v>#REF!</v>
      </c>
      <c r="AH12" s="103" t="e">
        <f t="shared" ref="AH12:AH75" si="12">IF($A12&lt;&gt;"(DC)", $E12*$AG$7, $E12)</f>
        <v>#REF!</v>
      </c>
      <c r="AI12" s="103" t="e">
        <f t="shared" ref="AI12:AI75" si="13">IF($A12&lt;&gt;"(DC)", $F12*$AG$7, $F12)</f>
        <v>#REF!</v>
      </c>
      <c r="AJ12" s="104" t="e">
        <f t="shared" ref="AJ12:AJ75" si="14">IF(AND($D12="",AH12=""),"",IF($D12="",AH12,$D12+AH12))</f>
        <v>#REF!</v>
      </c>
      <c r="AK12" s="104" t="e">
        <f t="shared" ref="AK12:AK75" si="15">IF(AND($D12="",AI12=""),"",IF($D12="",AI12,$D12+AI12))</f>
        <v>#REF!</v>
      </c>
      <c r="JJ12" s="77"/>
      <c r="PC12" s="77"/>
      <c r="PY12" s="77"/>
      <c r="AFW12" s="77"/>
      <c r="AHC12" s="77"/>
      <c r="ATP12" s="77"/>
      <c r="AUH12" s="77"/>
      <c r="AYL12" s="77"/>
      <c r="BAH12" s="77"/>
      <c r="CGJ12" s="77"/>
      <c r="CMK12" s="77"/>
      <c r="DGC12" s="77"/>
      <c r="DLM12" s="77"/>
      <c r="DYE12" s="77"/>
      <c r="DZI12" s="77"/>
    </row>
    <row r="13" spans="1:887 1212:1386 2220:3029 3359:3389" ht="15" customHeight="1">
      <c r="A13" s="97"/>
      <c r="B13" s="98"/>
      <c r="C13" s="99"/>
      <c r="D13" s="100"/>
      <c r="E13" s="101"/>
      <c r="F13" s="102"/>
      <c r="G13" s="18"/>
      <c r="H13" s="18"/>
      <c r="I13" s="26"/>
      <c r="J13" s="3"/>
      <c r="K13" s="3"/>
      <c r="L13" s="3"/>
      <c r="M13" s="3"/>
      <c r="N13" s="3"/>
      <c r="O13" s="3"/>
      <c r="P13" s="3"/>
      <c r="Q13" s="3"/>
      <c r="S13" s="103">
        <f t="shared" si="0"/>
        <v>0</v>
      </c>
      <c r="T13" s="103">
        <f t="shared" si="1"/>
        <v>0</v>
      </c>
      <c r="U13" s="104">
        <f t="shared" si="2"/>
        <v>0</v>
      </c>
      <c r="V13" s="104">
        <f t="shared" si="3"/>
        <v>0</v>
      </c>
      <c r="X13" s="103" t="e">
        <f t="shared" si="4"/>
        <v>#REF!</v>
      </c>
      <c r="Y13" s="103" t="e">
        <f t="shared" si="5"/>
        <v>#REF!</v>
      </c>
      <c r="Z13" s="104" t="e">
        <f t="shared" si="6"/>
        <v>#REF!</v>
      </c>
      <c r="AA13" s="104" t="e">
        <f t="shared" si="7"/>
        <v>#REF!</v>
      </c>
      <c r="AC13" s="103" t="e">
        <f t="shared" si="8"/>
        <v>#REF!</v>
      </c>
      <c r="AD13" s="103" t="e">
        <f t="shared" si="9"/>
        <v>#REF!</v>
      </c>
      <c r="AE13" s="104" t="e">
        <f t="shared" si="10"/>
        <v>#REF!</v>
      </c>
      <c r="AF13" s="104" t="e">
        <f t="shared" si="11"/>
        <v>#REF!</v>
      </c>
      <c r="AH13" s="103" t="e">
        <f t="shared" si="12"/>
        <v>#REF!</v>
      </c>
      <c r="AI13" s="103" t="e">
        <f t="shared" si="13"/>
        <v>#REF!</v>
      </c>
      <c r="AJ13" s="104" t="e">
        <f t="shared" si="14"/>
        <v>#REF!</v>
      </c>
      <c r="AK13" s="104" t="e">
        <f t="shared" si="15"/>
        <v>#REF!</v>
      </c>
      <c r="JJ13" s="77"/>
      <c r="PC13" s="77"/>
      <c r="PY13" s="77"/>
      <c r="AFW13" s="77"/>
      <c r="AHC13" s="77"/>
      <c r="ATP13" s="77"/>
      <c r="AUH13" s="77"/>
      <c r="AYL13" s="77"/>
      <c r="BAH13" s="77"/>
      <c r="CGJ13" s="77"/>
      <c r="CMK13" s="77"/>
      <c r="DGC13" s="77"/>
      <c r="DLM13" s="77"/>
      <c r="DYE13" s="77"/>
      <c r="DZI13" s="77"/>
    </row>
    <row r="14" spans="1:887 1212:1386 2220:3029 3359:3389" ht="15" customHeight="1">
      <c r="A14" s="97"/>
      <c r="B14" s="98"/>
      <c r="C14" s="99"/>
      <c r="D14" s="100"/>
      <c r="E14" s="101"/>
      <c r="F14" s="102"/>
      <c r="G14" s="18"/>
      <c r="H14" s="18"/>
      <c r="I14" s="26"/>
      <c r="J14" s="3"/>
      <c r="K14" s="3"/>
      <c r="L14" s="3"/>
      <c r="M14" s="3"/>
      <c r="N14" s="3"/>
      <c r="O14" s="3"/>
      <c r="P14" s="3"/>
      <c r="Q14" s="3"/>
      <c r="S14" s="103">
        <f t="shared" si="0"/>
        <v>0</v>
      </c>
      <c r="T14" s="103">
        <f t="shared" si="1"/>
        <v>0</v>
      </c>
      <c r="U14" s="104">
        <f t="shared" si="2"/>
        <v>0</v>
      </c>
      <c r="V14" s="104">
        <f t="shared" si="3"/>
        <v>0</v>
      </c>
      <c r="X14" s="103" t="e">
        <f t="shared" si="4"/>
        <v>#REF!</v>
      </c>
      <c r="Y14" s="103" t="e">
        <f t="shared" si="5"/>
        <v>#REF!</v>
      </c>
      <c r="Z14" s="104" t="e">
        <f t="shared" si="6"/>
        <v>#REF!</v>
      </c>
      <c r="AA14" s="104" t="e">
        <f t="shared" si="7"/>
        <v>#REF!</v>
      </c>
      <c r="AC14" s="103" t="e">
        <f t="shared" si="8"/>
        <v>#REF!</v>
      </c>
      <c r="AD14" s="103" t="e">
        <f t="shared" si="9"/>
        <v>#REF!</v>
      </c>
      <c r="AE14" s="104" t="e">
        <f t="shared" si="10"/>
        <v>#REF!</v>
      </c>
      <c r="AF14" s="104" t="e">
        <f t="shared" si="11"/>
        <v>#REF!</v>
      </c>
      <c r="AH14" s="103" t="e">
        <f t="shared" si="12"/>
        <v>#REF!</v>
      </c>
      <c r="AI14" s="103" t="e">
        <f t="shared" si="13"/>
        <v>#REF!</v>
      </c>
      <c r="AJ14" s="104" t="e">
        <f t="shared" si="14"/>
        <v>#REF!</v>
      </c>
      <c r="AK14" s="104" t="e">
        <f t="shared" si="15"/>
        <v>#REF!</v>
      </c>
      <c r="JJ14" s="77"/>
      <c r="PC14" s="77"/>
      <c r="PY14" s="77"/>
      <c r="AFW14" s="77"/>
      <c r="AHC14" s="77"/>
      <c r="ATP14" s="77"/>
      <c r="AUH14" s="77"/>
      <c r="AYL14" s="77"/>
      <c r="BAH14" s="77"/>
      <c r="CGJ14" s="77"/>
      <c r="CMK14" s="77"/>
      <c r="DGC14" s="77"/>
      <c r="DLM14" s="77"/>
      <c r="DYE14" s="77"/>
      <c r="DZI14" s="77"/>
    </row>
    <row r="15" spans="1:887 1212:1386 2220:3029 3359:3389" ht="15" customHeight="1">
      <c r="A15" s="97"/>
      <c r="B15" s="98"/>
      <c r="C15" s="99"/>
      <c r="D15" s="100"/>
      <c r="E15" s="101"/>
      <c r="F15" s="102"/>
      <c r="G15" s="18"/>
      <c r="H15" s="18"/>
      <c r="I15" s="26"/>
      <c r="J15" s="3"/>
      <c r="K15" s="3"/>
      <c r="L15" s="3"/>
      <c r="M15" s="3"/>
      <c r="N15" s="3"/>
      <c r="O15" s="3"/>
      <c r="P15" s="3"/>
      <c r="Q15" s="3"/>
      <c r="S15" s="103">
        <f t="shared" si="0"/>
        <v>0</v>
      </c>
      <c r="T15" s="103">
        <f t="shared" si="1"/>
        <v>0</v>
      </c>
      <c r="U15" s="104">
        <f t="shared" si="2"/>
        <v>0</v>
      </c>
      <c r="V15" s="104">
        <f t="shared" si="3"/>
        <v>0</v>
      </c>
      <c r="X15" s="103" t="e">
        <f t="shared" si="4"/>
        <v>#REF!</v>
      </c>
      <c r="Y15" s="103" t="e">
        <f t="shared" si="5"/>
        <v>#REF!</v>
      </c>
      <c r="Z15" s="104" t="e">
        <f t="shared" si="6"/>
        <v>#REF!</v>
      </c>
      <c r="AA15" s="104" t="e">
        <f t="shared" si="7"/>
        <v>#REF!</v>
      </c>
      <c r="AC15" s="103" t="e">
        <f t="shared" si="8"/>
        <v>#REF!</v>
      </c>
      <c r="AD15" s="103" t="e">
        <f t="shared" si="9"/>
        <v>#REF!</v>
      </c>
      <c r="AE15" s="104" t="e">
        <f t="shared" si="10"/>
        <v>#REF!</v>
      </c>
      <c r="AF15" s="104" t="e">
        <f t="shared" si="11"/>
        <v>#REF!</v>
      </c>
      <c r="AH15" s="103" t="e">
        <f t="shared" si="12"/>
        <v>#REF!</v>
      </c>
      <c r="AI15" s="103" t="e">
        <f t="shared" si="13"/>
        <v>#REF!</v>
      </c>
      <c r="AJ15" s="104" t="e">
        <f t="shared" si="14"/>
        <v>#REF!</v>
      </c>
      <c r="AK15" s="104" t="e">
        <f t="shared" si="15"/>
        <v>#REF!</v>
      </c>
      <c r="JJ15" s="77"/>
      <c r="PC15" s="77"/>
      <c r="PY15" s="77"/>
      <c r="AFW15" s="77"/>
      <c r="AHC15" s="77"/>
      <c r="ATP15" s="77"/>
      <c r="AUH15" s="77"/>
      <c r="AYL15" s="77"/>
      <c r="BAH15" s="77"/>
      <c r="CGJ15" s="77"/>
      <c r="CMK15" s="77"/>
      <c r="DGC15" s="77"/>
      <c r="DLM15" s="77"/>
      <c r="DYE15" s="77"/>
      <c r="DZI15" s="77"/>
    </row>
    <row r="16" spans="1:887 1212:1386 2220:3029 3359:3389" ht="15" customHeight="1">
      <c r="A16" s="97"/>
      <c r="B16" s="98"/>
      <c r="C16" s="99"/>
      <c r="D16" s="100"/>
      <c r="E16" s="101"/>
      <c r="F16" s="102"/>
      <c r="G16" s="18"/>
      <c r="H16" s="18"/>
      <c r="I16" s="26"/>
      <c r="J16" s="3"/>
      <c r="K16" s="3"/>
      <c r="L16" s="3"/>
      <c r="M16" s="3"/>
      <c r="N16" s="3"/>
      <c r="O16" s="3"/>
      <c r="P16" s="3"/>
      <c r="Q16" s="3"/>
      <c r="S16" s="103">
        <f t="shared" si="0"/>
        <v>0</v>
      </c>
      <c r="T16" s="103">
        <f t="shared" si="1"/>
        <v>0</v>
      </c>
      <c r="U16" s="104">
        <f t="shared" si="2"/>
        <v>0</v>
      </c>
      <c r="V16" s="104">
        <f t="shared" si="3"/>
        <v>0</v>
      </c>
      <c r="X16" s="103" t="e">
        <f t="shared" si="4"/>
        <v>#REF!</v>
      </c>
      <c r="Y16" s="103" t="e">
        <f t="shared" si="5"/>
        <v>#REF!</v>
      </c>
      <c r="Z16" s="104" t="e">
        <f t="shared" si="6"/>
        <v>#REF!</v>
      </c>
      <c r="AA16" s="104" t="e">
        <f t="shared" si="7"/>
        <v>#REF!</v>
      </c>
      <c r="AC16" s="103" t="e">
        <f t="shared" si="8"/>
        <v>#REF!</v>
      </c>
      <c r="AD16" s="103" t="e">
        <f t="shared" si="9"/>
        <v>#REF!</v>
      </c>
      <c r="AE16" s="104" t="e">
        <f t="shared" si="10"/>
        <v>#REF!</v>
      </c>
      <c r="AF16" s="104" t="e">
        <f t="shared" si="11"/>
        <v>#REF!</v>
      </c>
      <c r="AH16" s="103" t="e">
        <f t="shared" si="12"/>
        <v>#REF!</v>
      </c>
      <c r="AI16" s="103" t="e">
        <f t="shared" si="13"/>
        <v>#REF!</v>
      </c>
      <c r="AJ16" s="104" t="e">
        <f t="shared" si="14"/>
        <v>#REF!</v>
      </c>
      <c r="AK16" s="104" t="e">
        <f t="shared" si="15"/>
        <v>#REF!</v>
      </c>
      <c r="JJ16" s="77"/>
      <c r="PC16" s="77"/>
      <c r="PY16" s="77"/>
      <c r="AFW16" s="77"/>
      <c r="AHC16" s="77"/>
      <c r="ATP16" s="77"/>
      <c r="AUH16" s="77"/>
      <c r="AYL16" s="77"/>
      <c r="BAH16" s="77"/>
      <c r="CGJ16" s="77"/>
      <c r="CMK16" s="77"/>
      <c r="DGC16" s="77"/>
      <c r="DLM16" s="77"/>
      <c r="DYE16" s="77"/>
      <c r="DZI16" s="77"/>
    </row>
    <row r="17" spans="1:1021 1026:2040 2084:3062 3073:3397" ht="15" customHeight="1">
      <c r="A17" s="97"/>
      <c r="B17" s="98"/>
      <c r="C17" s="99"/>
      <c r="D17" s="100"/>
      <c r="E17" s="101"/>
      <c r="F17" s="102"/>
      <c r="G17" s="18"/>
      <c r="H17" s="18"/>
      <c r="I17" s="26"/>
      <c r="J17" s="3"/>
      <c r="K17" s="3"/>
      <c r="L17" s="3"/>
      <c r="M17" s="3"/>
      <c r="N17" s="3"/>
      <c r="O17" s="3"/>
      <c r="P17" s="3"/>
      <c r="Q17" s="3"/>
      <c r="S17" s="103">
        <f t="shared" si="0"/>
        <v>0</v>
      </c>
      <c r="T17" s="103">
        <f t="shared" si="1"/>
        <v>0</v>
      </c>
      <c r="U17" s="104">
        <f t="shared" si="2"/>
        <v>0</v>
      </c>
      <c r="V17" s="104">
        <f t="shared" si="3"/>
        <v>0</v>
      </c>
      <c r="X17" s="103" t="e">
        <f t="shared" si="4"/>
        <v>#REF!</v>
      </c>
      <c r="Y17" s="103" t="e">
        <f t="shared" si="5"/>
        <v>#REF!</v>
      </c>
      <c r="Z17" s="104" t="e">
        <f t="shared" si="6"/>
        <v>#REF!</v>
      </c>
      <c r="AA17" s="104" t="e">
        <f t="shared" si="7"/>
        <v>#REF!</v>
      </c>
      <c r="AC17" s="103" t="e">
        <f t="shared" si="8"/>
        <v>#REF!</v>
      </c>
      <c r="AD17" s="103" t="e">
        <f t="shared" si="9"/>
        <v>#REF!</v>
      </c>
      <c r="AE17" s="104" t="e">
        <f t="shared" si="10"/>
        <v>#REF!</v>
      </c>
      <c r="AF17" s="104" t="e">
        <f t="shared" si="11"/>
        <v>#REF!</v>
      </c>
      <c r="AH17" s="103" t="e">
        <f t="shared" si="12"/>
        <v>#REF!</v>
      </c>
      <c r="AI17" s="103" t="e">
        <f t="shared" si="13"/>
        <v>#REF!</v>
      </c>
      <c r="AJ17" s="104" t="e">
        <f t="shared" si="14"/>
        <v>#REF!</v>
      </c>
      <c r="AK17" s="104" t="e">
        <f t="shared" si="15"/>
        <v>#REF!</v>
      </c>
      <c r="JJ17" s="77"/>
      <c r="PC17" s="77"/>
      <c r="PY17" s="77"/>
      <c r="AFW17" s="77"/>
      <c r="AHC17" s="77"/>
      <c r="ATP17" s="77"/>
      <c r="AUH17" s="77"/>
      <c r="AYL17" s="77"/>
      <c r="BAH17" s="77"/>
      <c r="CGJ17" s="77"/>
      <c r="CMK17" s="77"/>
      <c r="DGC17" s="77"/>
      <c r="DLM17" s="77"/>
      <c r="DYE17" s="77"/>
      <c r="DZI17" s="77"/>
    </row>
    <row r="18" spans="1:1021 1026:2040 2084:3062 3073:3397" ht="15" customHeight="1">
      <c r="A18" s="97"/>
      <c r="B18" s="98"/>
      <c r="C18" s="99"/>
      <c r="D18" s="100"/>
      <c r="E18" s="101"/>
      <c r="F18" s="102"/>
      <c r="G18" s="18"/>
      <c r="H18" s="18"/>
      <c r="I18" s="26"/>
      <c r="J18" s="3"/>
      <c r="K18" s="3"/>
      <c r="L18" s="3"/>
      <c r="M18" s="3"/>
      <c r="N18" s="3"/>
      <c r="O18" s="3"/>
      <c r="P18" s="3"/>
      <c r="Q18" s="3"/>
      <c r="S18" s="103">
        <f t="shared" si="0"/>
        <v>0</v>
      </c>
      <c r="T18" s="103">
        <f t="shared" si="1"/>
        <v>0</v>
      </c>
      <c r="U18" s="104">
        <f t="shared" si="2"/>
        <v>0</v>
      </c>
      <c r="V18" s="104">
        <f t="shared" si="3"/>
        <v>0</v>
      </c>
      <c r="X18" s="103" t="e">
        <f t="shared" si="4"/>
        <v>#REF!</v>
      </c>
      <c r="Y18" s="103" t="e">
        <f t="shared" si="5"/>
        <v>#REF!</v>
      </c>
      <c r="Z18" s="104" t="e">
        <f t="shared" si="6"/>
        <v>#REF!</v>
      </c>
      <c r="AA18" s="104" t="e">
        <f t="shared" si="7"/>
        <v>#REF!</v>
      </c>
      <c r="AC18" s="103" t="e">
        <f t="shared" si="8"/>
        <v>#REF!</v>
      </c>
      <c r="AD18" s="103" t="e">
        <f t="shared" si="9"/>
        <v>#REF!</v>
      </c>
      <c r="AE18" s="104" t="e">
        <f t="shared" si="10"/>
        <v>#REF!</v>
      </c>
      <c r="AF18" s="104" t="e">
        <f t="shared" si="11"/>
        <v>#REF!</v>
      </c>
      <c r="AH18" s="103" t="e">
        <f t="shared" si="12"/>
        <v>#REF!</v>
      </c>
      <c r="AI18" s="103" t="e">
        <f t="shared" si="13"/>
        <v>#REF!</v>
      </c>
      <c r="AJ18" s="104" t="e">
        <f t="shared" si="14"/>
        <v>#REF!</v>
      </c>
      <c r="AK18" s="104" t="e">
        <f t="shared" si="15"/>
        <v>#REF!</v>
      </c>
      <c r="JJ18" s="77"/>
      <c r="PC18" s="77"/>
      <c r="PY18" s="77"/>
      <c r="AFW18" s="77"/>
      <c r="AHC18" s="77"/>
      <c r="ATP18" s="77"/>
      <c r="AUH18" s="77"/>
      <c r="AYL18" s="77"/>
      <c r="BAH18" s="77"/>
      <c r="CGJ18" s="77"/>
      <c r="CMK18" s="77"/>
      <c r="DGC18" s="77"/>
      <c r="DLM18" s="77"/>
      <c r="DYE18" s="77"/>
      <c r="DZI18" s="77"/>
    </row>
    <row r="19" spans="1:1021 1026:2040 2084:3062 3073:3397" ht="15" customHeight="1">
      <c r="A19" s="97"/>
      <c r="B19" s="98"/>
      <c r="C19" s="99"/>
      <c r="D19" s="100"/>
      <c r="E19" s="101"/>
      <c r="F19" s="102"/>
      <c r="G19" s="18"/>
      <c r="H19" s="18"/>
      <c r="I19" s="26"/>
      <c r="J19" s="3"/>
      <c r="K19" s="3"/>
      <c r="L19" s="3"/>
      <c r="M19" s="3"/>
      <c r="N19" s="3"/>
      <c r="O19" s="3"/>
      <c r="P19" s="3"/>
      <c r="Q19" s="3"/>
      <c r="S19" s="103">
        <f t="shared" si="0"/>
        <v>0</v>
      </c>
      <c r="T19" s="103">
        <f t="shared" si="1"/>
        <v>0</v>
      </c>
      <c r="U19" s="104">
        <f t="shared" si="2"/>
        <v>0</v>
      </c>
      <c r="V19" s="104">
        <f t="shared" si="3"/>
        <v>0</v>
      </c>
      <c r="X19" s="103" t="e">
        <f t="shared" si="4"/>
        <v>#REF!</v>
      </c>
      <c r="Y19" s="103" t="e">
        <f t="shared" si="5"/>
        <v>#REF!</v>
      </c>
      <c r="Z19" s="104" t="e">
        <f t="shared" si="6"/>
        <v>#REF!</v>
      </c>
      <c r="AA19" s="104" t="e">
        <f t="shared" si="7"/>
        <v>#REF!</v>
      </c>
      <c r="AC19" s="103" t="e">
        <f t="shared" si="8"/>
        <v>#REF!</v>
      </c>
      <c r="AD19" s="103" t="e">
        <f t="shared" si="9"/>
        <v>#REF!</v>
      </c>
      <c r="AE19" s="104" t="e">
        <f t="shared" si="10"/>
        <v>#REF!</v>
      </c>
      <c r="AF19" s="104" t="e">
        <f t="shared" si="11"/>
        <v>#REF!</v>
      </c>
      <c r="AH19" s="103" t="e">
        <f t="shared" si="12"/>
        <v>#REF!</v>
      </c>
      <c r="AI19" s="103" t="e">
        <f t="shared" si="13"/>
        <v>#REF!</v>
      </c>
      <c r="AJ19" s="104" t="e">
        <f t="shared" si="14"/>
        <v>#REF!</v>
      </c>
      <c r="AK19" s="104" t="e">
        <f t="shared" si="15"/>
        <v>#REF!</v>
      </c>
      <c r="JJ19" s="77"/>
      <c r="PC19" s="77"/>
      <c r="PY19" s="77"/>
      <c r="AFW19" s="77"/>
      <c r="AHC19" s="77"/>
      <c r="ATP19" s="77"/>
      <c r="AUH19" s="77"/>
      <c r="AYL19" s="77"/>
      <c r="BAH19" s="77"/>
      <c r="CGJ19" s="77"/>
      <c r="CMK19" s="77"/>
      <c r="DGC19" s="77"/>
      <c r="DLM19" s="77"/>
      <c r="DYE19" s="77"/>
      <c r="DZI19" s="77"/>
    </row>
    <row r="20" spans="1:1021 1026:2040 2084:3062 3073:3397" ht="15" customHeight="1">
      <c r="A20" s="97"/>
      <c r="B20" s="98"/>
      <c r="C20" s="99"/>
      <c r="D20" s="100"/>
      <c r="E20" s="101"/>
      <c r="F20" s="102"/>
      <c r="G20" s="18"/>
      <c r="H20" s="18"/>
      <c r="I20" s="26"/>
      <c r="J20" s="3"/>
      <c r="K20" s="3"/>
      <c r="L20" s="3"/>
      <c r="M20" s="3"/>
      <c r="N20" s="3"/>
      <c r="O20" s="3"/>
      <c r="P20" s="3"/>
      <c r="Q20" s="3"/>
      <c r="S20" s="103">
        <f t="shared" si="0"/>
        <v>0</v>
      </c>
      <c r="T20" s="103">
        <f t="shared" si="1"/>
        <v>0</v>
      </c>
      <c r="U20" s="104">
        <f t="shared" si="2"/>
        <v>0</v>
      </c>
      <c r="V20" s="104">
        <f t="shared" si="3"/>
        <v>0</v>
      </c>
      <c r="X20" s="103" t="e">
        <f t="shared" si="4"/>
        <v>#REF!</v>
      </c>
      <c r="Y20" s="103" t="e">
        <f t="shared" si="5"/>
        <v>#REF!</v>
      </c>
      <c r="Z20" s="104" t="e">
        <f t="shared" si="6"/>
        <v>#REF!</v>
      </c>
      <c r="AA20" s="104" t="e">
        <f t="shared" si="7"/>
        <v>#REF!</v>
      </c>
      <c r="AC20" s="103" t="e">
        <f t="shared" si="8"/>
        <v>#REF!</v>
      </c>
      <c r="AD20" s="103" t="e">
        <f t="shared" si="9"/>
        <v>#REF!</v>
      </c>
      <c r="AE20" s="104" t="e">
        <f t="shared" si="10"/>
        <v>#REF!</v>
      </c>
      <c r="AF20" s="104" t="e">
        <f t="shared" si="11"/>
        <v>#REF!</v>
      </c>
      <c r="AH20" s="103" t="e">
        <f t="shared" si="12"/>
        <v>#REF!</v>
      </c>
      <c r="AI20" s="103" t="e">
        <f t="shared" si="13"/>
        <v>#REF!</v>
      </c>
      <c r="AJ20" s="104" t="e">
        <f t="shared" si="14"/>
        <v>#REF!</v>
      </c>
      <c r="AK20" s="104" t="e">
        <f t="shared" si="15"/>
        <v>#REF!</v>
      </c>
      <c r="JJ20" s="77"/>
      <c r="PC20" s="77"/>
      <c r="PY20" s="77"/>
      <c r="AFW20" s="77"/>
      <c r="AHC20" s="77"/>
      <c r="ATP20" s="77"/>
      <c r="AUH20" s="77"/>
      <c r="AYL20" s="77"/>
      <c r="BAH20" s="77"/>
      <c r="CGJ20" s="77"/>
      <c r="CMK20" s="77"/>
      <c r="DGC20" s="77"/>
      <c r="DLM20" s="77"/>
      <c r="DYE20" s="77"/>
      <c r="DZI20" s="77"/>
    </row>
    <row r="21" spans="1:1021 1026:2040 2084:3062 3073:3397" ht="15" customHeight="1">
      <c r="A21" s="97" t="s">
        <v>270</v>
      </c>
      <c r="B21" s="98" t="s">
        <v>204</v>
      </c>
      <c r="C21" s="99">
        <v>1.5</v>
      </c>
      <c r="D21" s="100">
        <v>2.0649999999999999</v>
      </c>
      <c r="E21" s="101">
        <v>0.04</v>
      </c>
      <c r="F21" s="102">
        <v>-0.02</v>
      </c>
      <c r="G21" s="18">
        <f t="shared" ref="G21:G139" si="16">IF(AND(D21="",E21=""),"",IF(D21="",E21,D21+E21))</f>
        <v>2.105</v>
      </c>
      <c r="H21" s="23">
        <f t="shared" ref="H21:H139" si="17">IF(AND(D21="",F21=""),"",IF(D21="",F21,D21+F21))</f>
        <v>2.0449999999999999</v>
      </c>
      <c r="I21" s="26"/>
      <c r="J21" s="3"/>
      <c r="K21" s="3"/>
      <c r="L21" s="3"/>
      <c r="M21" s="3"/>
      <c r="N21" s="3"/>
      <c r="O21" s="3"/>
      <c r="P21" s="3"/>
      <c r="Q21" s="3"/>
      <c r="S21" s="103">
        <f t="shared" si="0"/>
        <v>0</v>
      </c>
      <c r="T21" s="103">
        <f t="shared" si="1"/>
        <v>0</v>
      </c>
      <c r="U21" s="104">
        <f t="shared" si="2"/>
        <v>2.0649999999999999</v>
      </c>
      <c r="V21" s="104">
        <f t="shared" si="3"/>
        <v>2.0649999999999999</v>
      </c>
      <c r="X21" s="103" t="e">
        <f t="shared" si="4"/>
        <v>#REF!</v>
      </c>
      <c r="Y21" s="103" t="e">
        <f t="shared" si="5"/>
        <v>#REF!</v>
      </c>
      <c r="Z21" s="104" t="e">
        <f t="shared" si="6"/>
        <v>#REF!</v>
      </c>
      <c r="AA21" s="104" t="e">
        <f t="shared" si="7"/>
        <v>#REF!</v>
      </c>
      <c r="AC21" s="103" t="e">
        <f t="shared" si="8"/>
        <v>#REF!</v>
      </c>
      <c r="AD21" s="103" t="e">
        <f t="shared" si="9"/>
        <v>#REF!</v>
      </c>
      <c r="AE21" s="104" t="e">
        <f t="shared" si="10"/>
        <v>#REF!</v>
      </c>
      <c r="AF21" s="104" t="e">
        <f t="shared" si="11"/>
        <v>#REF!</v>
      </c>
      <c r="AH21" s="103" t="e">
        <f t="shared" si="12"/>
        <v>#REF!</v>
      </c>
      <c r="AI21" s="103" t="e">
        <f t="shared" si="13"/>
        <v>#REF!</v>
      </c>
      <c r="AJ21" s="104" t="e">
        <f t="shared" si="14"/>
        <v>#REF!</v>
      </c>
      <c r="AK21" s="104" t="e">
        <f t="shared" si="15"/>
        <v>#REF!</v>
      </c>
      <c r="CB21" s="77"/>
      <c r="DJ21" s="77"/>
      <c r="GD21" s="77"/>
      <c r="JX21" s="77"/>
      <c r="PC21" s="77"/>
      <c r="AHC21" s="77"/>
      <c r="AKZ21" s="77"/>
      <c r="APA21" s="77"/>
      <c r="ATX21" s="77"/>
      <c r="BFM21" s="77"/>
      <c r="BIL21" s="77"/>
      <c r="BLD21" s="77"/>
      <c r="BML21" s="77"/>
      <c r="BMN21" s="77"/>
      <c r="BQB21" s="77"/>
      <c r="BQI21" s="77"/>
      <c r="BRC21" s="77"/>
      <c r="BWN21" s="77"/>
      <c r="CKU21" s="77"/>
      <c r="CKX21" s="77"/>
      <c r="CLA21" s="77"/>
      <c r="CRT21" s="77"/>
      <c r="CVV21" s="77"/>
      <c r="CWD21" s="77"/>
      <c r="DEE21" s="77"/>
      <c r="DFL21" s="77"/>
      <c r="DIM21" s="77"/>
      <c r="DPI21" s="77"/>
      <c r="DPM21" s="77"/>
      <c r="DQO21" s="77"/>
      <c r="DUY21" s="77"/>
      <c r="DXM21" s="77"/>
    </row>
    <row r="22" spans="1:1021 1026:2040 2084:3062 3073:3397" ht="15" customHeight="1">
      <c r="A22" s="97" t="s">
        <v>270</v>
      </c>
      <c r="B22" s="98" t="s">
        <v>205</v>
      </c>
      <c r="C22" s="99">
        <v>1.5</v>
      </c>
      <c r="D22" s="100">
        <v>2.0649999999999999</v>
      </c>
      <c r="E22" s="101">
        <v>0.04</v>
      </c>
      <c r="F22" s="102">
        <v>-0.02</v>
      </c>
      <c r="G22" s="18">
        <f t="shared" si="16"/>
        <v>2.105</v>
      </c>
      <c r="H22" s="23">
        <f t="shared" si="17"/>
        <v>2.0449999999999999</v>
      </c>
      <c r="I22" s="26"/>
      <c r="J22" s="3"/>
      <c r="K22" s="3"/>
      <c r="L22" s="3"/>
      <c r="M22" s="3"/>
      <c r="N22" s="3"/>
      <c r="O22" s="3"/>
      <c r="P22" s="3"/>
      <c r="Q22" s="3"/>
      <c r="S22" s="103">
        <f t="shared" si="0"/>
        <v>0</v>
      </c>
      <c r="T22" s="103">
        <f t="shared" si="1"/>
        <v>0</v>
      </c>
      <c r="U22" s="104">
        <f t="shared" si="2"/>
        <v>2.0649999999999999</v>
      </c>
      <c r="V22" s="104">
        <f t="shared" si="3"/>
        <v>2.0649999999999999</v>
      </c>
      <c r="X22" s="103" t="e">
        <f t="shared" si="4"/>
        <v>#REF!</v>
      </c>
      <c r="Y22" s="103" t="e">
        <f t="shared" si="5"/>
        <v>#REF!</v>
      </c>
      <c r="Z22" s="104" t="e">
        <f t="shared" si="6"/>
        <v>#REF!</v>
      </c>
      <c r="AA22" s="104" t="e">
        <f t="shared" si="7"/>
        <v>#REF!</v>
      </c>
      <c r="AC22" s="103" t="e">
        <f t="shared" si="8"/>
        <v>#REF!</v>
      </c>
      <c r="AD22" s="103" t="e">
        <f t="shared" si="9"/>
        <v>#REF!</v>
      </c>
      <c r="AE22" s="104" t="e">
        <f t="shared" si="10"/>
        <v>#REF!</v>
      </c>
      <c r="AF22" s="104" t="e">
        <f t="shared" si="11"/>
        <v>#REF!</v>
      </c>
      <c r="AH22" s="103" t="e">
        <f t="shared" si="12"/>
        <v>#REF!</v>
      </c>
      <c r="AI22" s="103" t="e">
        <f t="shared" si="13"/>
        <v>#REF!</v>
      </c>
      <c r="AJ22" s="104" t="e">
        <f t="shared" si="14"/>
        <v>#REF!</v>
      </c>
      <c r="AK22" s="104" t="e">
        <f t="shared" si="15"/>
        <v>#REF!</v>
      </c>
      <c r="CC22" s="77"/>
      <c r="GD22" s="77"/>
      <c r="ACN22" s="77"/>
      <c r="BBX22" s="77"/>
      <c r="BGN22" s="77"/>
      <c r="BLQ22" s="77"/>
      <c r="BML22" s="77"/>
      <c r="BOL22" s="77"/>
      <c r="BOR22" s="77"/>
      <c r="BRC22" s="77"/>
      <c r="BSQ22" s="77"/>
      <c r="BSY22" s="77"/>
      <c r="BVS22" s="77"/>
      <c r="BWN22" s="77"/>
      <c r="DEH22" s="77"/>
      <c r="DFL22" s="77"/>
      <c r="DLN22" s="77"/>
      <c r="DYL22" s="77"/>
    </row>
    <row r="23" spans="1:1021 1026:2040 2084:3062 3073:3397" ht="15" customHeight="1">
      <c r="A23" s="97" t="s">
        <v>270</v>
      </c>
      <c r="B23" s="98" t="s">
        <v>206</v>
      </c>
      <c r="C23" s="99">
        <v>1.5</v>
      </c>
      <c r="D23" s="100">
        <v>2.0649999999999999</v>
      </c>
      <c r="E23" s="101">
        <v>0.04</v>
      </c>
      <c r="F23" s="102">
        <v>-0.02</v>
      </c>
      <c r="G23" s="18">
        <f t="shared" si="16"/>
        <v>2.105</v>
      </c>
      <c r="H23" s="23">
        <f t="shared" si="17"/>
        <v>2.0449999999999999</v>
      </c>
      <c r="I23" s="26"/>
      <c r="J23" s="3"/>
      <c r="K23" s="3"/>
      <c r="L23" s="3"/>
      <c r="M23" s="3"/>
      <c r="N23" s="3"/>
      <c r="O23" s="3"/>
      <c r="P23" s="3"/>
      <c r="Q23" s="3"/>
      <c r="S23" s="103">
        <f t="shared" si="0"/>
        <v>0</v>
      </c>
      <c r="T23" s="103">
        <f t="shared" si="1"/>
        <v>0</v>
      </c>
      <c r="U23" s="104">
        <f t="shared" si="2"/>
        <v>2.0649999999999999</v>
      </c>
      <c r="V23" s="104">
        <f t="shared" si="3"/>
        <v>2.0649999999999999</v>
      </c>
      <c r="X23" s="103" t="e">
        <f t="shared" si="4"/>
        <v>#REF!</v>
      </c>
      <c r="Y23" s="103" t="e">
        <f t="shared" si="5"/>
        <v>#REF!</v>
      </c>
      <c r="Z23" s="104" t="e">
        <f t="shared" si="6"/>
        <v>#REF!</v>
      </c>
      <c r="AA23" s="104" t="e">
        <f t="shared" si="7"/>
        <v>#REF!</v>
      </c>
      <c r="AC23" s="103" t="e">
        <f t="shared" si="8"/>
        <v>#REF!</v>
      </c>
      <c r="AD23" s="103" t="e">
        <f t="shared" si="9"/>
        <v>#REF!</v>
      </c>
      <c r="AE23" s="104" t="e">
        <f t="shared" si="10"/>
        <v>#REF!</v>
      </c>
      <c r="AF23" s="104" t="e">
        <f t="shared" si="11"/>
        <v>#REF!</v>
      </c>
      <c r="AH23" s="103" t="e">
        <f t="shared" si="12"/>
        <v>#REF!</v>
      </c>
      <c r="AI23" s="103" t="e">
        <f t="shared" si="13"/>
        <v>#REF!</v>
      </c>
      <c r="AJ23" s="104" t="e">
        <f t="shared" si="14"/>
        <v>#REF!</v>
      </c>
      <c r="AK23" s="104" t="e">
        <f t="shared" si="15"/>
        <v>#REF!</v>
      </c>
      <c r="BH23" s="77"/>
      <c r="HL23" s="77"/>
      <c r="NA23" s="77"/>
      <c r="PZ23" s="77"/>
      <c r="XS23" s="77"/>
      <c r="YG23" s="77"/>
      <c r="AIP23" s="77"/>
      <c r="AJP23" s="77"/>
      <c r="AMY23" s="77"/>
      <c r="AOD23" s="77"/>
      <c r="ARS23" s="77"/>
      <c r="AWY23" s="77"/>
      <c r="AXI23" s="77"/>
      <c r="BDK23" s="77"/>
      <c r="BFY23" s="77"/>
      <c r="BLJ23" s="77"/>
      <c r="BPC23" s="77"/>
      <c r="BPR23" s="77"/>
      <c r="BSG23" s="77"/>
      <c r="BSL23" s="77"/>
      <c r="BSV23" s="77"/>
      <c r="BUL23" s="77"/>
      <c r="BZL23" s="77"/>
      <c r="CBI23" s="77"/>
      <c r="CCA23" s="77"/>
      <c r="CCB23" s="77"/>
      <c r="CGX23" s="77"/>
      <c r="CIY23" s="77"/>
      <c r="CKV23" s="77"/>
      <c r="CML23" s="77"/>
      <c r="CNO23" s="77"/>
      <c r="COJ23" s="77"/>
      <c r="CQC23" s="77"/>
      <c r="CVZ23" s="77"/>
      <c r="CZS23" s="77"/>
      <c r="DBD23" s="77"/>
      <c r="DEN23" s="77"/>
      <c r="DEW23" s="77"/>
      <c r="DJE23" s="77"/>
      <c r="DPE23" s="77"/>
      <c r="DPF23" s="77"/>
      <c r="DRV23" s="77"/>
      <c r="DYF23" s="77"/>
    </row>
    <row r="24" spans="1:1021 1026:2040 2084:3062 3073:3397" ht="15" customHeight="1">
      <c r="A24" s="97" t="s">
        <v>270</v>
      </c>
      <c r="B24" s="98" t="s">
        <v>207</v>
      </c>
      <c r="C24" s="99">
        <v>1.5</v>
      </c>
      <c r="D24" s="100">
        <v>2.0649999999999999</v>
      </c>
      <c r="E24" s="101">
        <v>0.04</v>
      </c>
      <c r="F24" s="102">
        <v>-0.02</v>
      </c>
      <c r="G24" s="18">
        <f t="shared" si="16"/>
        <v>2.105</v>
      </c>
      <c r="H24" s="23">
        <f t="shared" si="17"/>
        <v>2.0449999999999999</v>
      </c>
      <c r="I24" s="26"/>
      <c r="J24" s="3"/>
      <c r="K24" s="3"/>
      <c r="L24" s="3"/>
      <c r="M24" s="3"/>
      <c r="N24" s="3"/>
      <c r="O24" s="3"/>
      <c r="P24" s="3"/>
      <c r="Q24" s="3"/>
      <c r="S24" s="103">
        <f t="shared" si="0"/>
        <v>0</v>
      </c>
      <c r="T24" s="103">
        <f t="shared" si="1"/>
        <v>0</v>
      </c>
      <c r="U24" s="104">
        <f t="shared" si="2"/>
        <v>2.0649999999999999</v>
      </c>
      <c r="V24" s="104">
        <f t="shared" si="3"/>
        <v>2.0649999999999999</v>
      </c>
      <c r="X24" s="103" t="e">
        <f t="shared" si="4"/>
        <v>#REF!</v>
      </c>
      <c r="Y24" s="103" t="e">
        <f t="shared" si="5"/>
        <v>#REF!</v>
      </c>
      <c r="Z24" s="104" t="e">
        <f t="shared" si="6"/>
        <v>#REF!</v>
      </c>
      <c r="AA24" s="104" t="e">
        <f t="shared" si="7"/>
        <v>#REF!</v>
      </c>
      <c r="AC24" s="103" t="e">
        <f t="shared" si="8"/>
        <v>#REF!</v>
      </c>
      <c r="AD24" s="103" t="e">
        <f t="shared" si="9"/>
        <v>#REF!</v>
      </c>
      <c r="AE24" s="104" t="e">
        <f t="shared" si="10"/>
        <v>#REF!</v>
      </c>
      <c r="AF24" s="104" t="e">
        <f t="shared" si="11"/>
        <v>#REF!</v>
      </c>
      <c r="AH24" s="103" t="e">
        <f t="shared" si="12"/>
        <v>#REF!</v>
      </c>
      <c r="AI24" s="103" t="e">
        <f t="shared" si="13"/>
        <v>#REF!</v>
      </c>
      <c r="AJ24" s="104" t="e">
        <f t="shared" si="14"/>
        <v>#REF!</v>
      </c>
      <c r="AK24" s="104" t="e">
        <f t="shared" si="15"/>
        <v>#REF!</v>
      </c>
      <c r="BH24" s="77"/>
      <c r="BO24" s="77"/>
      <c r="BZ24" s="77"/>
      <c r="CL24" s="77"/>
      <c r="QW24" s="77"/>
      <c r="UB24" s="77"/>
      <c r="VC24" s="77"/>
      <c r="XS24" s="77"/>
      <c r="AHK24" s="77"/>
      <c r="BFY24" s="77"/>
      <c r="BGY24" s="77"/>
      <c r="BJM24" s="77"/>
      <c r="BLL24" s="77"/>
      <c r="BLO24" s="77"/>
      <c r="BLV24" s="77"/>
      <c r="BPR24" s="77"/>
      <c r="BSL24" s="77"/>
      <c r="BUS24" s="77"/>
      <c r="CCB24" s="77"/>
      <c r="CHB24" s="77"/>
      <c r="CKR24" s="77"/>
      <c r="CKV24" s="77"/>
      <c r="CMI24" s="77"/>
      <c r="CMS24" s="77"/>
      <c r="CND24" s="77"/>
      <c r="CUF24" s="77"/>
      <c r="CVZ24" s="77"/>
      <c r="CZS24" s="77"/>
      <c r="DCW24" s="77"/>
      <c r="DDJ24" s="77"/>
      <c r="DDK24" s="77"/>
      <c r="DEH24" s="77"/>
      <c r="DEY24" s="77"/>
      <c r="DPF24" s="77"/>
      <c r="DQP24" s="77"/>
    </row>
    <row r="25" spans="1:1021 1026:2040 2084:3062 3073:3397" ht="15" customHeight="1">
      <c r="A25" s="97" t="s">
        <v>92</v>
      </c>
      <c r="B25" s="98" t="s">
        <v>208</v>
      </c>
      <c r="C25" s="99">
        <v>1.5</v>
      </c>
      <c r="D25" s="100">
        <v>0.3</v>
      </c>
      <c r="E25" s="101">
        <v>0.03</v>
      </c>
      <c r="F25" s="102">
        <v>-0.03</v>
      </c>
      <c r="G25" s="18">
        <f t="shared" si="16"/>
        <v>0.32999999999999996</v>
      </c>
      <c r="H25" s="23">
        <f t="shared" si="17"/>
        <v>0.27</v>
      </c>
      <c r="I25" s="26"/>
      <c r="J25" s="3"/>
      <c r="K25" s="3"/>
      <c r="L25" s="3"/>
      <c r="M25" s="3"/>
      <c r="N25" s="3"/>
      <c r="O25" s="3"/>
      <c r="P25" s="3"/>
      <c r="Q25" s="3"/>
      <c r="S25" s="103">
        <f t="shared" si="0"/>
        <v>0</v>
      </c>
      <c r="T25" s="103">
        <f t="shared" si="1"/>
        <v>0</v>
      </c>
      <c r="U25" s="104">
        <f t="shared" si="2"/>
        <v>0.3</v>
      </c>
      <c r="V25" s="104">
        <f t="shared" si="3"/>
        <v>0.3</v>
      </c>
      <c r="X25" s="103" t="e">
        <f t="shared" si="4"/>
        <v>#REF!</v>
      </c>
      <c r="Y25" s="103" t="e">
        <f t="shared" si="5"/>
        <v>#REF!</v>
      </c>
      <c r="Z25" s="104" t="e">
        <f t="shared" si="6"/>
        <v>#REF!</v>
      </c>
      <c r="AA25" s="104" t="e">
        <f t="shared" si="7"/>
        <v>#REF!</v>
      </c>
      <c r="AC25" s="103" t="e">
        <f t="shared" si="8"/>
        <v>#REF!</v>
      </c>
      <c r="AD25" s="103" t="e">
        <f t="shared" si="9"/>
        <v>#REF!</v>
      </c>
      <c r="AE25" s="104" t="e">
        <f t="shared" si="10"/>
        <v>#REF!</v>
      </c>
      <c r="AF25" s="104" t="e">
        <f t="shared" si="11"/>
        <v>#REF!</v>
      </c>
      <c r="AH25" s="103" t="e">
        <f t="shared" si="12"/>
        <v>#REF!</v>
      </c>
      <c r="AI25" s="103" t="e">
        <f t="shared" si="13"/>
        <v>#REF!</v>
      </c>
      <c r="AJ25" s="104" t="e">
        <f t="shared" si="14"/>
        <v>#REF!</v>
      </c>
      <c r="AK25" s="104" t="e">
        <f t="shared" si="15"/>
        <v>#REF!</v>
      </c>
      <c r="CB25" s="77"/>
      <c r="DJ25" s="77"/>
      <c r="GD25" s="77"/>
      <c r="JX25" s="77"/>
      <c r="MA25" s="77"/>
      <c r="PC25" s="77"/>
      <c r="AHC25" s="77"/>
      <c r="AKZ25" s="77"/>
      <c r="ATX25" s="77"/>
      <c r="BIL25" s="77"/>
      <c r="BLD25" s="77"/>
      <c r="BMN25" s="77"/>
      <c r="BPC25" s="77"/>
      <c r="BRC25" s="77"/>
      <c r="BZH25" s="77"/>
      <c r="CDU25" s="77"/>
      <c r="CGJ25" s="77"/>
      <c r="CLA25" s="77"/>
      <c r="CWD25" s="77"/>
      <c r="DPM25" s="77"/>
    </row>
    <row r="26" spans="1:1021 1026:2040 2084:3062 3073:3397" ht="15" customHeight="1">
      <c r="A26" s="97" t="s">
        <v>92</v>
      </c>
      <c r="B26" s="98" t="s">
        <v>122</v>
      </c>
      <c r="C26" s="99">
        <v>1.5</v>
      </c>
      <c r="D26" s="100">
        <v>0.3</v>
      </c>
      <c r="E26" s="101">
        <v>0.03</v>
      </c>
      <c r="F26" s="102">
        <v>-0.03</v>
      </c>
      <c r="G26" s="18">
        <f t="shared" si="16"/>
        <v>0.32999999999999996</v>
      </c>
      <c r="H26" s="23">
        <f t="shared" si="17"/>
        <v>0.27</v>
      </c>
      <c r="I26" s="26"/>
      <c r="J26" s="3"/>
      <c r="K26" s="3"/>
      <c r="L26" s="3"/>
      <c r="M26" s="3"/>
      <c r="N26" s="3"/>
      <c r="O26" s="3"/>
      <c r="P26" s="3"/>
      <c r="Q26" s="3"/>
      <c r="S26" s="103">
        <f t="shared" si="0"/>
        <v>0</v>
      </c>
      <c r="T26" s="103">
        <f t="shared" si="1"/>
        <v>0</v>
      </c>
      <c r="U26" s="104">
        <f t="shared" si="2"/>
        <v>0.3</v>
      </c>
      <c r="V26" s="104">
        <f t="shared" si="3"/>
        <v>0.3</v>
      </c>
      <c r="X26" s="103" t="e">
        <f t="shared" si="4"/>
        <v>#REF!</v>
      </c>
      <c r="Y26" s="103" t="e">
        <f t="shared" si="5"/>
        <v>#REF!</v>
      </c>
      <c r="Z26" s="104" t="e">
        <f t="shared" si="6"/>
        <v>#REF!</v>
      </c>
      <c r="AA26" s="104" t="e">
        <f t="shared" si="7"/>
        <v>#REF!</v>
      </c>
      <c r="AC26" s="103" t="e">
        <f t="shared" si="8"/>
        <v>#REF!</v>
      </c>
      <c r="AD26" s="103" t="e">
        <f t="shared" si="9"/>
        <v>#REF!</v>
      </c>
      <c r="AE26" s="104" t="e">
        <f t="shared" si="10"/>
        <v>#REF!</v>
      </c>
      <c r="AF26" s="104" t="e">
        <f t="shared" si="11"/>
        <v>#REF!</v>
      </c>
      <c r="AH26" s="103" t="e">
        <f t="shared" si="12"/>
        <v>#REF!</v>
      </c>
      <c r="AI26" s="103" t="e">
        <f t="shared" si="13"/>
        <v>#REF!</v>
      </c>
      <c r="AJ26" s="104" t="e">
        <f t="shared" si="14"/>
        <v>#REF!</v>
      </c>
      <c r="AK26" s="104" t="e">
        <f t="shared" si="15"/>
        <v>#REF!</v>
      </c>
      <c r="CK26" s="77"/>
      <c r="DY26" s="77"/>
      <c r="JS26" s="77"/>
      <c r="KF26" s="77"/>
      <c r="MV26" s="77"/>
      <c r="TM26" s="77"/>
      <c r="UM26" s="77"/>
      <c r="WW26" s="77"/>
      <c r="YG26" s="77"/>
      <c r="YU26" s="77"/>
      <c r="AAB26" s="77"/>
      <c r="AEE26" s="77"/>
      <c r="AFU26" s="77"/>
      <c r="AHR26" s="77"/>
      <c r="AIR26" s="77"/>
      <c r="AKG26" s="77"/>
      <c r="ALE26" s="77"/>
      <c r="ALI26" s="77"/>
      <c r="ALY26" s="77"/>
      <c r="AMF26" s="77"/>
      <c r="AMG26" s="77"/>
      <c r="ANI26" s="77"/>
      <c r="APT26" s="77"/>
      <c r="AVS26" s="77"/>
      <c r="AXU26" s="77"/>
      <c r="AYU26" s="77"/>
      <c r="BAM26" s="77"/>
      <c r="BBH26" s="77"/>
      <c r="BNO26" s="77"/>
      <c r="BPN26" s="77"/>
      <c r="CBD26" s="77"/>
      <c r="CCA26" s="77"/>
      <c r="CHN26" s="77"/>
      <c r="CSY26" s="77"/>
      <c r="DIM26" s="77"/>
      <c r="DOU26" s="77"/>
      <c r="DPF26" s="77"/>
      <c r="DQE26" s="77"/>
      <c r="DRH26" s="77"/>
    </row>
    <row r="27" spans="1:1021 1026:2040 2084:3062 3073:3397" ht="15" customHeight="1">
      <c r="A27" s="97" t="s">
        <v>239</v>
      </c>
      <c r="B27" s="98" t="s">
        <v>209</v>
      </c>
      <c r="C27" s="99">
        <v>1.5</v>
      </c>
      <c r="D27" s="100">
        <v>0.32</v>
      </c>
      <c r="E27" s="101">
        <v>0.03</v>
      </c>
      <c r="F27" s="102">
        <v>-0.03</v>
      </c>
      <c r="G27" s="18">
        <f t="shared" si="16"/>
        <v>0.35</v>
      </c>
      <c r="H27" s="23">
        <f t="shared" si="17"/>
        <v>0.29000000000000004</v>
      </c>
      <c r="I27" s="26"/>
      <c r="J27" s="3"/>
      <c r="K27" s="3"/>
      <c r="L27" s="3"/>
      <c r="M27" s="3"/>
      <c r="N27" s="3"/>
      <c r="O27" s="3"/>
      <c r="P27" s="3"/>
      <c r="Q27" s="3"/>
      <c r="S27" s="103">
        <f t="shared" si="0"/>
        <v>0</v>
      </c>
      <c r="T27" s="103">
        <f t="shared" si="1"/>
        <v>0</v>
      </c>
      <c r="U27" s="104">
        <f t="shared" si="2"/>
        <v>0.32</v>
      </c>
      <c r="V27" s="104">
        <f t="shared" si="3"/>
        <v>0.32</v>
      </c>
      <c r="X27" s="103" t="e">
        <f t="shared" si="4"/>
        <v>#REF!</v>
      </c>
      <c r="Y27" s="103" t="e">
        <f t="shared" si="5"/>
        <v>#REF!</v>
      </c>
      <c r="Z27" s="104" t="e">
        <f t="shared" si="6"/>
        <v>#REF!</v>
      </c>
      <c r="AA27" s="104" t="e">
        <f t="shared" si="7"/>
        <v>#REF!</v>
      </c>
      <c r="AC27" s="103" t="e">
        <f t="shared" si="8"/>
        <v>#REF!</v>
      </c>
      <c r="AD27" s="103" t="e">
        <f t="shared" si="9"/>
        <v>#REF!</v>
      </c>
      <c r="AE27" s="104" t="e">
        <f t="shared" si="10"/>
        <v>#REF!</v>
      </c>
      <c r="AF27" s="104" t="e">
        <f t="shared" si="11"/>
        <v>#REF!</v>
      </c>
      <c r="AH27" s="103" t="e">
        <f t="shared" si="12"/>
        <v>#REF!</v>
      </c>
      <c r="AI27" s="103" t="e">
        <f t="shared" si="13"/>
        <v>#REF!</v>
      </c>
      <c r="AJ27" s="104" t="e">
        <f t="shared" si="14"/>
        <v>#REF!</v>
      </c>
      <c r="AK27" s="104" t="e">
        <f t="shared" si="15"/>
        <v>#REF!</v>
      </c>
      <c r="FH27" s="77"/>
      <c r="FZ27" s="77"/>
      <c r="AEF27" s="77"/>
      <c r="ALI27" s="77"/>
      <c r="ALX27" s="77"/>
      <c r="AME27" s="77"/>
      <c r="ANS27" s="77"/>
      <c r="APG27" s="77"/>
      <c r="AQN27" s="77"/>
      <c r="ATB27" s="77"/>
      <c r="AUS27" s="77"/>
      <c r="AZD27" s="77"/>
      <c r="BYM27" s="77"/>
      <c r="BYR27" s="77"/>
      <c r="CDT27" s="77"/>
      <c r="CGN27" s="77"/>
      <c r="CHR27" s="77"/>
      <c r="CXK27" s="77"/>
      <c r="CYK27" s="77"/>
      <c r="DBT27" s="77"/>
      <c r="DMT27" s="77"/>
      <c r="DNI27" s="77"/>
      <c r="DSJ27" s="77"/>
      <c r="DZQ27" s="77"/>
    </row>
    <row r="28" spans="1:1021 1026:2040 2084:3062 3073:3397" ht="15" customHeight="1">
      <c r="A28" s="97" t="s">
        <v>239</v>
      </c>
      <c r="B28" s="98" t="s">
        <v>124</v>
      </c>
      <c r="C28" s="99">
        <v>1.5</v>
      </c>
      <c r="D28" s="100">
        <v>0.32</v>
      </c>
      <c r="E28" s="102">
        <v>0.03</v>
      </c>
      <c r="F28" s="102">
        <v>-0.03</v>
      </c>
      <c r="G28" s="18">
        <f t="shared" si="16"/>
        <v>0.35</v>
      </c>
      <c r="H28" s="23">
        <f t="shared" si="17"/>
        <v>0.29000000000000004</v>
      </c>
      <c r="I28" s="27"/>
      <c r="J28" s="3"/>
      <c r="K28" s="3"/>
      <c r="L28" s="3"/>
      <c r="M28" s="3"/>
      <c r="N28" s="3"/>
      <c r="O28" s="3"/>
      <c r="P28" s="3"/>
      <c r="Q28" s="3"/>
      <c r="S28" s="103">
        <f t="shared" si="0"/>
        <v>0</v>
      </c>
      <c r="T28" s="103">
        <f t="shared" si="1"/>
        <v>0</v>
      </c>
      <c r="U28" s="104">
        <f t="shared" si="2"/>
        <v>0.32</v>
      </c>
      <c r="V28" s="104">
        <f t="shared" si="3"/>
        <v>0.32</v>
      </c>
      <c r="X28" s="103" t="e">
        <f t="shared" si="4"/>
        <v>#REF!</v>
      </c>
      <c r="Y28" s="103" t="e">
        <f t="shared" si="5"/>
        <v>#REF!</v>
      </c>
      <c r="Z28" s="104" t="e">
        <f t="shared" si="6"/>
        <v>#REF!</v>
      </c>
      <c r="AA28" s="104" t="e">
        <f t="shared" si="7"/>
        <v>#REF!</v>
      </c>
      <c r="AC28" s="103" t="e">
        <f t="shared" si="8"/>
        <v>#REF!</v>
      </c>
      <c r="AD28" s="103" t="e">
        <f t="shared" si="9"/>
        <v>#REF!</v>
      </c>
      <c r="AE28" s="104" t="e">
        <f t="shared" si="10"/>
        <v>#REF!</v>
      </c>
      <c r="AF28" s="104" t="e">
        <f t="shared" si="11"/>
        <v>#REF!</v>
      </c>
      <c r="AH28" s="103" t="e">
        <f t="shared" si="12"/>
        <v>#REF!</v>
      </c>
      <c r="AI28" s="103" t="e">
        <f t="shared" si="13"/>
        <v>#REF!</v>
      </c>
      <c r="AJ28" s="104" t="e">
        <f t="shared" si="14"/>
        <v>#REF!</v>
      </c>
      <c r="AK28" s="104" t="e">
        <f t="shared" si="15"/>
        <v>#REF!</v>
      </c>
      <c r="AU28" s="77"/>
      <c r="DJ28" s="77"/>
      <c r="GM28" s="77"/>
      <c r="HL28" s="77"/>
      <c r="LZ28" s="77"/>
      <c r="SJ28" s="77"/>
      <c r="TX28" s="77"/>
      <c r="VC28" s="77"/>
      <c r="AFG28" s="77"/>
      <c r="AHC28" s="77"/>
      <c r="AHN28" s="77"/>
      <c r="AIT28" s="77"/>
      <c r="AJL28" s="77"/>
      <c r="AMY28" s="77"/>
      <c r="AOJ28" s="77"/>
      <c r="ASO28" s="77"/>
      <c r="AVF28" s="77"/>
      <c r="AYQ28" s="77"/>
      <c r="BAH28" s="77"/>
      <c r="BBW28" s="77"/>
      <c r="BKX28" s="77"/>
      <c r="BOB28" s="77"/>
      <c r="BOW28" s="77"/>
      <c r="BPL28" s="77"/>
      <c r="BUF28" s="77"/>
      <c r="BUS28" s="77"/>
      <c r="CCY28" s="77"/>
      <c r="CDB28" s="77"/>
      <c r="CIE28" s="77"/>
      <c r="CJP28" s="77"/>
      <c r="CUS28" s="77"/>
      <c r="CVA28" s="77"/>
      <c r="DAR28" s="77"/>
      <c r="DEG28" s="77"/>
      <c r="DEJ28" s="77"/>
      <c r="DEZ28" s="77"/>
      <c r="DFZ28" s="77"/>
      <c r="DKJ28" s="77"/>
      <c r="DLX28" s="77"/>
      <c r="DMB28" s="77"/>
      <c r="DNE28" s="77"/>
      <c r="DWM28" s="77"/>
      <c r="DZA28" s="77"/>
    </row>
    <row r="29" spans="1:1021 1026:2040 2084:3062 3073:3397" ht="15" customHeight="1">
      <c r="A29" s="97" t="s">
        <v>90</v>
      </c>
      <c r="B29" s="98" t="s">
        <v>210</v>
      </c>
      <c r="C29" s="99">
        <v>1.5</v>
      </c>
      <c r="D29" s="100">
        <v>0.1</v>
      </c>
      <c r="E29" s="102">
        <v>0.01</v>
      </c>
      <c r="F29" s="102">
        <v>-0.04</v>
      </c>
      <c r="G29" s="18">
        <f t="shared" si="16"/>
        <v>0.11</v>
      </c>
      <c r="H29" s="23">
        <f t="shared" si="17"/>
        <v>6.0000000000000005E-2</v>
      </c>
      <c r="I29" s="26"/>
      <c r="J29" s="3"/>
      <c r="K29" s="3"/>
      <c r="L29" s="3"/>
      <c r="M29" s="3"/>
      <c r="N29" s="3"/>
      <c r="O29" s="3"/>
      <c r="P29" s="3"/>
      <c r="Q29" s="3"/>
      <c r="S29" s="103">
        <f t="shared" si="0"/>
        <v>0</v>
      </c>
      <c r="T29" s="103">
        <f t="shared" si="1"/>
        <v>0</v>
      </c>
      <c r="U29" s="104">
        <f t="shared" si="2"/>
        <v>0.1</v>
      </c>
      <c r="V29" s="104">
        <f t="shared" si="3"/>
        <v>0.1</v>
      </c>
      <c r="X29" s="103" t="e">
        <f t="shared" si="4"/>
        <v>#REF!</v>
      </c>
      <c r="Y29" s="103" t="e">
        <f t="shared" si="5"/>
        <v>#REF!</v>
      </c>
      <c r="Z29" s="104" t="e">
        <f t="shared" si="6"/>
        <v>#REF!</v>
      </c>
      <c r="AA29" s="104" t="e">
        <f t="shared" si="7"/>
        <v>#REF!</v>
      </c>
      <c r="AC29" s="103" t="e">
        <f t="shared" si="8"/>
        <v>#REF!</v>
      </c>
      <c r="AD29" s="103" t="e">
        <f t="shared" si="9"/>
        <v>#REF!</v>
      </c>
      <c r="AE29" s="104" t="e">
        <f t="shared" si="10"/>
        <v>#REF!</v>
      </c>
      <c r="AF29" s="104" t="e">
        <f t="shared" si="11"/>
        <v>#REF!</v>
      </c>
      <c r="AH29" s="103" t="e">
        <f t="shared" si="12"/>
        <v>#REF!</v>
      </c>
      <c r="AI29" s="103" t="e">
        <f t="shared" si="13"/>
        <v>#REF!</v>
      </c>
      <c r="AJ29" s="104" t="e">
        <f t="shared" si="14"/>
        <v>#REF!</v>
      </c>
      <c r="AK29" s="104" t="e">
        <f t="shared" si="15"/>
        <v>#REF!</v>
      </c>
      <c r="AU29" s="77"/>
      <c r="DJ29" s="77"/>
      <c r="GM29" s="77"/>
      <c r="HL29" s="77"/>
      <c r="LZ29" s="77"/>
      <c r="SJ29" s="77"/>
      <c r="TX29" s="77"/>
      <c r="VC29" s="77"/>
      <c r="AFG29" s="77"/>
      <c r="AHN29" s="77"/>
      <c r="AIT29" s="77"/>
      <c r="AJL29" s="77"/>
      <c r="AML29" s="77"/>
      <c r="AMY29" s="77"/>
      <c r="ANN29" s="77"/>
      <c r="AOJ29" s="77"/>
      <c r="ASO29" s="77"/>
      <c r="AYQ29" s="77"/>
      <c r="BAH29" s="77"/>
      <c r="BBW29" s="77"/>
      <c r="BGD29" s="77"/>
      <c r="BKX29" s="77"/>
      <c r="BOB29" s="77"/>
      <c r="BOW29" s="77"/>
      <c r="BPL29" s="77"/>
      <c r="BUF29" s="77"/>
      <c r="BUS29" s="77"/>
      <c r="CCY29" s="77"/>
      <c r="CDB29" s="77"/>
      <c r="CIE29" s="77"/>
      <c r="CJP29" s="77"/>
      <c r="CSK29" s="77"/>
      <c r="CVA29" s="77"/>
      <c r="DEG29" s="77"/>
      <c r="DEJ29" s="77"/>
      <c r="DEZ29" s="77"/>
      <c r="DFZ29" s="77"/>
      <c r="DKX29" s="77"/>
      <c r="DLX29" s="77"/>
      <c r="DMB29" s="77"/>
      <c r="DNE29" s="77"/>
      <c r="DVS29" s="77"/>
      <c r="DWM29" s="77"/>
      <c r="DYE29" s="77"/>
      <c r="DZA29" s="77"/>
    </row>
    <row r="30" spans="1:1021 1026:2040 2084:3062 3073:3397" ht="15" customHeight="1">
      <c r="A30" s="97" t="s">
        <v>90</v>
      </c>
      <c r="B30" s="105" t="s">
        <v>126</v>
      </c>
      <c r="C30" s="99">
        <v>1.5</v>
      </c>
      <c r="D30" s="100">
        <v>0.1</v>
      </c>
      <c r="E30" s="102">
        <v>0.01</v>
      </c>
      <c r="F30" s="102">
        <v>-0.04</v>
      </c>
      <c r="G30" s="18">
        <f t="shared" si="16"/>
        <v>0.11</v>
      </c>
      <c r="H30" s="23">
        <f t="shared" si="17"/>
        <v>6.0000000000000005E-2</v>
      </c>
      <c r="I30" s="26"/>
      <c r="J30" s="3"/>
      <c r="K30" s="3"/>
      <c r="L30" s="3"/>
      <c r="M30" s="3"/>
      <c r="N30" s="3"/>
      <c r="O30" s="3"/>
      <c r="P30" s="3"/>
      <c r="Q30" s="3"/>
      <c r="S30" s="103">
        <f t="shared" si="0"/>
        <v>0</v>
      </c>
      <c r="T30" s="103">
        <f t="shared" si="1"/>
        <v>0</v>
      </c>
      <c r="U30" s="104">
        <f t="shared" si="2"/>
        <v>0.1</v>
      </c>
      <c r="V30" s="104">
        <f t="shared" si="3"/>
        <v>0.1</v>
      </c>
      <c r="X30" s="103" t="e">
        <f t="shared" si="4"/>
        <v>#REF!</v>
      </c>
      <c r="Y30" s="103" t="e">
        <f t="shared" si="5"/>
        <v>#REF!</v>
      </c>
      <c r="Z30" s="104" t="e">
        <f t="shared" si="6"/>
        <v>#REF!</v>
      </c>
      <c r="AA30" s="104" t="e">
        <f t="shared" si="7"/>
        <v>#REF!</v>
      </c>
      <c r="AC30" s="103" t="e">
        <f t="shared" si="8"/>
        <v>#REF!</v>
      </c>
      <c r="AD30" s="103" t="e">
        <f t="shared" si="9"/>
        <v>#REF!</v>
      </c>
      <c r="AE30" s="104" t="e">
        <f t="shared" si="10"/>
        <v>#REF!</v>
      </c>
      <c r="AF30" s="104" t="e">
        <f t="shared" si="11"/>
        <v>#REF!</v>
      </c>
      <c r="AH30" s="103" t="e">
        <f t="shared" si="12"/>
        <v>#REF!</v>
      </c>
      <c r="AI30" s="103" t="e">
        <f t="shared" si="13"/>
        <v>#REF!</v>
      </c>
      <c r="AJ30" s="104" t="e">
        <f t="shared" si="14"/>
        <v>#REF!</v>
      </c>
      <c r="AK30" s="104" t="e">
        <f t="shared" si="15"/>
        <v>#REF!</v>
      </c>
      <c r="AU30" s="77"/>
      <c r="DJ30" s="77"/>
      <c r="HL30" s="77"/>
      <c r="LZ30" s="77"/>
      <c r="SJ30" s="77"/>
      <c r="TX30" s="77"/>
      <c r="VC30" s="77"/>
      <c r="AFG30" s="77"/>
      <c r="AHN30" s="77"/>
      <c r="AIT30" s="77"/>
      <c r="AJL30" s="77"/>
      <c r="AML30" s="77"/>
      <c r="AOJ30" s="77"/>
      <c r="ASO30" s="77"/>
      <c r="AYQ30" s="77"/>
      <c r="BAH30" s="77"/>
      <c r="BBW30" s="77"/>
      <c r="BHA30" s="77"/>
      <c r="BKX30" s="77"/>
      <c r="BOB30" s="77"/>
      <c r="BOW30" s="77"/>
      <c r="BPL30" s="77"/>
      <c r="BUF30" s="77"/>
      <c r="BUS30" s="77"/>
      <c r="CCY30" s="77"/>
      <c r="CDB30" s="77"/>
      <c r="CQC30" s="77"/>
      <c r="DEG30" s="77"/>
      <c r="DEJ30" s="77"/>
      <c r="DEZ30" s="77"/>
      <c r="DFZ30" s="77"/>
      <c r="DLX30" s="77"/>
      <c r="DMB30" s="77"/>
      <c r="DNE30" s="77"/>
      <c r="DVS30" s="77"/>
      <c r="DWM30" s="77"/>
      <c r="DZA30" s="77"/>
    </row>
    <row r="31" spans="1:1021 1026:2040 2084:3062 3073:3397" ht="15" customHeight="1">
      <c r="A31" s="97" t="s">
        <v>90</v>
      </c>
      <c r="B31" s="105" t="s">
        <v>127</v>
      </c>
      <c r="C31" s="99">
        <v>1.5</v>
      </c>
      <c r="D31" s="100">
        <v>0.1</v>
      </c>
      <c r="E31" s="102">
        <v>0.01</v>
      </c>
      <c r="F31" s="102">
        <v>-0.04</v>
      </c>
      <c r="G31" s="18">
        <f t="shared" si="16"/>
        <v>0.11</v>
      </c>
      <c r="H31" s="23">
        <f t="shared" si="17"/>
        <v>6.0000000000000005E-2</v>
      </c>
      <c r="I31" s="27"/>
      <c r="J31" s="3"/>
      <c r="K31" s="3"/>
      <c r="L31" s="3"/>
      <c r="M31" s="3"/>
      <c r="N31" s="3"/>
      <c r="O31" s="3"/>
      <c r="P31" s="3"/>
      <c r="Q31" s="3"/>
      <c r="S31" s="103">
        <f t="shared" si="0"/>
        <v>0</v>
      </c>
      <c r="T31" s="103">
        <f t="shared" si="1"/>
        <v>0</v>
      </c>
      <c r="U31" s="104">
        <f t="shared" si="2"/>
        <v>0.1</v>
      </c>
      <c r="V31" s="104">
        <f t="shared" si="3"/>
        <v>0.1</v>
      </c>
      <c r="X31" s="103" t="e">
        <f t="shared" si="4"/>
        <v>#REF!</v>
      </c>
      <c r="Y31" s="103" t="e">
        <f t="shared" si="5"/>
        <v>#REF!</v>
      </c>
      <c r="Z31" s="104" t="e">
        <f t="shared" si="6"/>
        <v>#REF!</v>
      </c>
      <c r="AA31" s="104" t="e">
        <f t="shared" si="7"/>
        <v>#REF!</v>
      </c>
      <c r="AC31" s="103" t="e">
        <f t="shared" si="8"/>
        <v>#REF!</v>
      </c>
      <c r="AD31" s="103" t="e">
        <f t="shared" si="9"/>
        <v>#REF!</v>
      </c>
      <c r="AE31" s="104" t="e">
        <f t="shared" si="10"/>
        <v>#REF!</v>
      </c>
      <c r="AF31" s="104" t="e">
        <f t="shared" si="11"/>
        <v>#REF!</v>
      </c>
      <c r="AH31" s="103" t="e">
        <f t="shared" si="12"/>
        <v>#REF!</v>
      </c>
      <c r="AI31" s="103" t="e">
        <f t="shared" si="13"/>
        <v>#REF!</v>
      </c>
      <c r="AJ31" s="104" t="e">
        <f t="shared" si="14"/>
        <v>#REF!</v>
      </c>
      <c r="AK31" s="104" t="e">
        <f t="shared" si="15"/>
        <v>#REF!</v>
      </c>
      <c r="DJ31" s="77"/>
      <c r="HL31" s="77"/>
      <c r="TX31" s="77"/>
      <c r="VC31" s="77"/>
      <c r="AFG31" s="77"/>
      <c r="AHC31" s="77"/>
      <c r="AHN31" s="77"/>
      <c r="AIT31" s="77"/>
      <c r="AJL31" s="77"/>
      <c r="AML31" s="77"/>
      <c r="AMY31" s="77"/>
      <c r="AOJ31" s="77"/>
      <c r="ASO31" s="77"/>
      <c r="AVF31" s="77"/>
      <c r="AYQ31" s="77"/>
      <c r="BAH31" s="77"/>
      <c r="BBW31" s="77"/>
      <c r="BGD31" s="77"/>
      <c r="BKX31" s="77"/>
      <c r="BOB31" s="77"/>
      <c r="BOW31" s="77"/>
      <c r="BUF31" s="77"/>
      <c r="BUS31" s="77"/>
      <c r="CCY31" s="77"/>
      <c r="DEG31" s="77"/>
      <c r="DEJ31" s="77"/>
      <c r="DEZ31" s="77"/>
      <c r="DFZ31" s="77"/>
      <c r="DLX31" s="77"/>
      <c r="DMB31" s="77"/>
      <c r="DNE31" s="77"/>
      <c r="DOU31" s="77"/>
      <c r="DVS31" s="77"/>
      <c r="DWM31" s="77"/>
    </row>
    <row r="32" spans="1:1021 1026:2040 2084:3062 3073:3397" ht="15" customHeight="1">
      <c r="A32" s="97" t="s">
        <v>90</v>
      </c>
      <c r="B32" s="106" t="s">
        <v>128</v>
      </c>
      <c r="C32" s="99">
        <v>1.5</v>
      </c>
      <c r="D32" s="100">
        <v>0.1</v>
      </c>
      <c r="E32" s="102">
        <v>0.01</v>
      </c>
      <c r="F32" s="102">
        <v>-0.04</v>
      </c>
      <c r="G32" s="18">
        <f t="shared" si="16"/>
        <v>0.11</v>
      </c>
      <c r="H32" s="23">
        <f t="shared" si="17"/>
        <v>6.0000000000000005E-2</v>
      </c>
      <c r="I32" s="26"/>
      <c r="J32" s="3"/>
      <c r="K32" s="3"/>
      <c r="L32" s="3"/>
      <c r="M32" s="3"/>
      <c r="N32" s="3"/>
      <c r="O32" s="3"/>
      <c r="P32" s="3"/>
      <c r="Q32" s="3"/>
      <c r="S32" s="103">
        <f t="shared" si="0"/>
        <v>0</v>
      </c>
      <c r="T32" s="103">
        <f t="shared" si="1"/>
        <v>0</v>
      </c>
      <c r="U32" s="104">
        <f t="shared" si="2"/>
        <v>0.1</v>
      </c>
      <c r="V32" s="104">
        <f t="shared" si="3"/>
        <v>0.1</v>
      </c>
      <c r="X32" s="103" t="e">
        <f t="shared" si="4"/>
        <v>#REF!</v>
      </c>
      <c r="Y32" s="103" t="e">
        <f t="shared" si="5"/>
        <v>#REF!</v>
      </c>
      <c r="Z32" s="104" t="e">
        <f t="shared" si="6"/>
        <v>#REF!</v>
      </c>
      <c r="AA32" s="104" t="e">
        <f t="shared" si="7"/>
        <v>#REF!</v>
      </c>
      <c r="AC32" s="103" t="e">
        <f t="shared" si="8"/>
        <v>#REF!</v>
      </c>
      <c r="AD32" s="103" t="e">
        <f t="shared" si="9"/>
        <v>#REF!</v>
      </c>
      <c r="AE32" s="104" t="e">
        <f t="shared" si="10"/>
        <v>#REF!</v>
      </c>
      <c r="AF32" s="104" t="e">
        <f t="shared" si="11"/>
        <v>#REF!</v>
      </c>
      <c r="AH32" s="103" t="e">
        <f t="shared" si="12"/>
        <v>#REF!</v>
      </c>
      <c r="AI32" s="103" t="e">
        <f t="shared" si="13"/>
        <v>#REF!</v>
      </c>
      <c r="AJ32" s="104" t="e">
        <f t="shared" si="14"/>
        <v>#REF!</v>
      </c>
      <c r="AK32" s="104" t="e">
        <f t="shared" si="15"/>
        <v>#REF!</v>
      </c>
      <c r="DJ32" s="77"/>
      <c r="EV32" s="77"/>
      <c r="GM32" s="77"/>
      <c r="MR32" s="77"/>
      <c r="SJ32" s="77"/>
      <c r="TN32" s="77"/>
      <c r="TQ32" s="77"/>
      <c r="WJ32" s="77"/>
      <c r="AFG32" s="77"/>
      <c r="AHC32" s="77"/>
      <c r="AQL32" s="77"/>
      <c r="AYQ32" s="77"/>
      <c r="BBW32" s="77"/>
      <c r="BRB32" s="77"/>
      <c r="BUE32" s="77"/>
      <c r="BWK32" s="77"/>
      <c r="CDB32" s="77"/>
      <c r="CDO32" s="77"/>
      <c r="CEH32" s="77"/>
      <c r="CHD32" s="77"/>
      <c r="CIE32" s="77"/>
      <c r="CIO32" s="77"/>
      <c r="CJY32" s="77"/>
      <c r="CNP32" s="77"/>
      <c r="DAR32" s="77"/>
      <c r="DEG32" s="77"/>
      <c r="DEJ32" s="77"/>
      <c r="DEZ32" s="77"/>
      <c r="DLQ32" s="77"/>
      <c r="DWM32" s="77"/>
    </row>
    <row r="33" spans="1:1005 1130:1961 2134:3033 3076:3315" ht="15" customHeight="1">
      <c r="A33" s="97" t="s">
        <v>271</v>
      </c>
      <c r="B33" s="106" t="s">
        <v>211</v>
      </c>
      <c r="C33" s="99">
        <v>1.5</v>
      </c>
      <c r="D33" s="100">
        <v>90</v>
      </c>
      <c r="E33" s="102">
        <v>1</v>
      </c>
      <c r="F33" s="102">
        <v>-2</v>
      </c>
      <c r="G33" s="18">
        <f t="shared" si="16"/>
        <v>91</v>
      </c>
      <c r="H33" s="23">
        <f t="shared" si="17"/>
        <v>88</v>
      </c>
      <c r="I33" s="26"/>
      <c r="J33" s="3"/>
      <c r="K33" s="3"/>
      <c r="L33" s="3"/>
      <c r="M33" s="3"/>
      <c r="N33" s="3"/>
      <c r="O33" s="3"/>
      <c r="P33" s="3"/>
      <c r="Q33" s="3"/>
      <c r="S33" s="103">
        <f t="shared" si="0"/>
        <v>0</v>
      </c>
      <c r="T33" s="103">
        <f t="shared" si="1"/>
        <v>0</v>
      </c>
      <c r="U33" s="104">
        <f t="shared" si="2"/>
        <v>90</v>
      </c>
      <c r="V33" s="104">
        <f t="shared" si="3"/>
        <v>90</v>
      </c>
      <c r="X33" s="103" t="e">
        <f t="shared" si="4"/>
        <v>#REF!</v>
      </c>
      <c r="Y33" s="103" t="e">
        <f t="shared" si="5"/>
        <v>#REF!</v>
      </c>
      <c r="Z33" s="104" t="e">
        <f t="shared" si="6"/>
        <v>#REF!</v>
      </c>
      <c r="AA33" s="104" t="e">
        <f t="shared" si="7"/>
        <v>#REF!</v>
      </c>
      <c r="AC33" s="103" t="e">
        <f t="shared" si="8"/>
        <v>#REF!</v>
      </c>
      <c r="AD33" s="103" t="e">
        <f t="shared" si="9"/>
        <v>#REF!</v>
      </c>
      <c r="AE33" s="104" t="e">
        <f t="shared" si="10"/>
        <v>#REF!</v>
      </c>
      <c r="AF33" s="104" t="e">
        <f t="shared" si="11"/>
        <v>#REF!</v>
      </c>
      <c r="AH33" s="103" t="e">
        <f t="shared" si="12"/>
        <v>#REF!</v>
      </c>
      <c r="AI33" s="103" t="e">
        <f t="shared" si="13"/>
        <v>#REF!</v>
      </c>
      <c r="AJ33" s="104" t="e">
        <f t="shared" si="14"/>
        <v>#REF!</v>
      </c>
      <c r="AK33" s="104" t="e">
        <f t="shared" si="15"/>
        <v>#REF!</v>
      </c>
      <c r="CS33" s="77"/>
      <c r="DJ33" s="77"/>
      <c r="EV33" s="77"/>
      <c r="GM33" s="77"/>
      <c r="MR33" s="77"/>
      <c r="SC33" s="77"/>
      <c r="SJ33" s="77"/>
      <c r="TN33" s="77"/>
      <c r="TQ33" s="77"/>
      <c r="WJ33" s="77"/>
      <c r="AFG33" s="77"/>
      <c r="AHC33" s="77"/>
      <c r="AQL33" s="77"/>
      <c r="AVX33" s="77"/>
      <c r="AYQ33" s="77"/>
      <c r="BBW33" s="77"/>
      <c r="BNE33" s="77"/>
      <c r="BOW33" s="77"/>
      <c r="BRB33" s="77"/>
      <c r="BUE33" s="77"/>
      <c r="BWK33" s="77"/>
      <c r="CDB33" s="77"/>
      <c r="CDO33" s="77"/>
      <c r="CEH33" s="77"/>
      <c r="CHE33" s="77"/>
      <c r="CIE33" s="77"/>
      <c r="CIO33" s="77"/>
      <c r="CJY33" s="77"/>
      <c r="CNP33" s="77"/>
      <c r="CVA33" s="77"/>
      <c r="CXO33" s="77"/>
      <c r="DAR33" s="77"/>
      <c r="DBB33" s="77"/>
      <c r="DEG33" s="77"/>
      <c r="DEJ33" s="77"/>
      <c r="DEM33" s="77"/>
      <c r="DET33" s="77"/>
      <c r="DEZ33" s="77"/>
      <c r="DGF33" s="77"/>
      <c r="DKR33" s="77"/>
      <c r="DLQ33" s="77"/>
      <c r="DWM33" s="77"/>
    </row>
    <row r="34" spans="1:1005 1130:1961 2134:3033 3076:3315" ht="15" customHeight="1">
      <c r="A34" s="97" t="s">
        <v>271</v>
      </c>
      <c r="B34" s="106" t="s">
        <v>130</v>
      </c>
      <c r="C34" s="99">
        <v>1.5</v>
      </c>
      <c r="D34" s="100">
        <v>90</v>
      </c>
      <c r="E34" s="102">
        <v>1</v>
      </c>
      <c r="F34" s="102">
        <v>-2</v>
      </c>
      <c r="G34" s="18">
        <f t="shared" si="16"/>
        <v>91</v>
      </c>
      <c r="H34" s="23">
        <f t="shared" si="17"/>
        <v>88</v>
      </c>
      <c r="I34" s="26"/>
      <c r="J34" s="3"/>
      <c r="K34" s="3"/>
      <c r="L34" s="3"/>
      <c r="M34" s="3"/>
      <c r="N34" s="3"/>
      <c r="O34" s="3"/>
      <c r="P34" s="3"/>
      <c r="Q34" s="3"/>
      <c r="S34" s="103">
        <f t="shared" si="0"/>
        <v>0</v>
      </c>
      <c r="T34" s="103">
        <f t="shared" si="1"/>
        <v>0</v>
      </c>
      <c r="U34" s="104">
        <f t="shared" si="2"/>
        <v>90</v>
      </c>
      <c r="V34" s="104">
        <f t="shared" si="3"/>
        <v>90</v>
      </c>
      <c r="X34" s="103" t="e">
        <f t="shared" si="4"/>
        <v>#REF!</v>
      </c>
      <c r="Y34" s="103" t="e">
        <f t="shared" si="5"/>
        <v>#REF!</v>
      </c>
      <c r="Z34" s="104" t="e">
        <f t="shared" si="6"/>
        <v>#REF!</v>
      </c>
      <c r="AA34" s="104" t="e">
        <f t="shared" si="7"/>
        <v>#REF!</v>
      </c>
      <c r="AC34" s="103" t="e">
        <f t="shared" si="8"/>
        <v>#REF!</v>
      </c>
      <c r="AD34" s="103" t="e">
        <f t="shared" si="9"/>
        <v>#REF!</v>
      </c>
      <c r="AE34" s="104" t="e">
        <f t="shared" si="10"/>
        <v>#REF!</v>
      </c>
      <c r="AF34" s="104" t="e">
        <f t="shared" si="11"/>
        <v>#REF!</v>
      </c>
      <c r="AH34" s="103" t="e">
        <f t="shared" si="12"/>
        <v>#REF!</v>
      </c>
      <c r="AI34" s="103" t="e">
        <f t="shared" si="13"/>
        <v>#REF!</v>
      </c>
      <c r="AJ34" s="104" t="e">
        <f t="shared" si="14"/>
        <v>#REF!</v>
      </c>
      <c r="AK34" s="104" t="e">
        <f t="shared" si="15"/>
        <v>#REF!</v>
      </c>
      <c r="EU34" s="77"/>
      <c r="EV34" s="77"/>
      <c r="GM34" s="77"/>
      <c r="LK34" s="77"/>
      <c r="SJ34" s="77"/>
      <c r="TN34" s="77"/>
      <c r="WJ34" s="77"/>
      <c r="XG34" s="77"/>
      <c r="AFG34" s="77"/>
      <c r="AHC34" s="77"/>
      <c r="AHN34" s="77"/>
      <c r="AQL34" s="77"/>
      <c r="AYQ34" s="77"/>
      <c r="BBW34" s="77"/>
      <c r="BOW34" s="77"/>
      <c r="BRB34" s="77"/>
      <c r="BWK34" s="77"/>
      <c r="CDB34" s="77"/>
      <c r="CEH34" s="77"/>
      <c r="CHE34" s="77"/>
      <c r="CIE34" s="77"/>
      <c r="CJY34" s="77"/>
      <c r="CNP34" s="77"/>
      <c r="CVA34" s="77"/>
      <c r="CXO34" s="77"/>
      <c r="DAR34" s="77"/>
      <c r="DEG34" s="77"/>
      <c r="DEH34" s="77"/>
      <c r="DEJ34" s="77"/>
      <c r="DEM34" s="77"/>
      <c r="DET34" s="77"/>
      <c r="DEZ34" s="77"/>
      <c r="DIM34" s="77"/>
      <c r="DKR34" s="77"/>
      <c r="DLQ34" s="77"/>
      <c r="DWM34" s="77"/>
    </row>
    <row r="35" spans="1:1005 1130:1961 2134:3033 3076:3315" ht="15" customHeight="1">
      <c r="A35" s="97" t="s">
        <v>272</v>
      </c>
      <c r="B35" s="105" t="s">
        <v>212</v>
      </c>
      <c r="C35" s="99">
        <v>1.5</v>
      </c>
      <c r="D35" s="100">
        <v>90</v>
      </c>
      <c r="E35" s="102">
        <v>1</v>
      </c>
      <c r="F35" s="102">
        <v>-2</v>
      </c>
      <c r="G35" s="18">
        <f t="shared" si="16"/>
        <v>91</v>
      </c>
      <c r="H35" s="23">
        <f t="shared" si="17"/>
        <v>88</v>
      </c>
      <c r="I35" s="27"/>
      <c r="J35" s="3"/>
      <c r="K35" s="3"/>
      <c r="L35" s="3"/>
      <c r="M35" s="3"/>
      <c r="N35" s="3"/>
      <c r="O35" s="3"/>
      <c r="P35" s="3"/>
      <c r="Q35" s="3"/>
      <c r="S35" s="103">
        <f t="shared" si="0"/>
        <v>0</v>
      </c>
      <c r="T35" s="103">
        <f t="shared" si="1"/>
        <v>0</v>
      </c>
      <c r="U35" s="104">
        <f t="shared" si="2"/>
        <v>90</v>
      </c>
      <c r="V35" s="104">
        <f t="shared" si="3"/>
        <v>90</v>
      </c>
      <c r="X35" s="103" t="e">
        <f t="shared" si="4"/>
        <v>#REF!</v>
      </c>
      <c r="Y35" s="103" t="e">
        <f t="shared" si="5"/>
        <v>#REF!</v>
      </c>
      <c r="Z35" s="104" t="e">
        <f t="shared" si="6"/>
        <v>#REF!</v>
      </c>
      <c r="AA35" s="104" t="e">
        <f t="shared" si="7"/>
        <v>#REF!</v>
      </c>
      <c r="AC35" s="103" t="e">
        <f t="shared" si="8"/>
        <v>#REF!</v>
      </c>
      <c r="AD35" s="103" t="e">
        <f t="shared" si="9"/>
        <v>#REF!</v>
      </c>
      <c r="AE35" s="104" t="e">
        <f t="shared" si="10"/>
        <v>#REF!</v>
      </c>
      <c r="AF35" s="104" t="e">
        <f t="shared" si="11"/>
        <v>#REF!</v>
      </c>
      <c r="AH35" s="103" t="e">
        <f t="shared" si="12"/>
        <v>#REF!</v>
      </c>
      <c r="AI35" s="103" t="e">
        <f t="shared" si="13"/>
        <v>#REF!</v>
      </c>
      <c r="AJ35" s="104" t="e">
        <f t="shared" si="14"/>
        <v>#REF!</v>
      </c>
      <c r="AK35" s="104" t="e">
        <f t="shared" si="15"/>
        <v>#REF!</v>
      </c>
      <c r="DJ35" s="77"/>
      <c r="EV35" s="77"/>
      <c r="GM35" s="77"/>
      <c r="MR35" s="77"/>
      <c r="SJ35" s="77"/>
      <c r="TQ35" s="77"/>
      <c r="WJ35" s="77"/>
      <c r="XG35" s="77"/>
      <c r="AFG35" s="77"/>
      <c r="AHC35" s="77"/>
      <c r="AHN35" s="77"/>
      <c r="AYQ35" s="77"/>
      <c r="BBW35" s="77"/>
      <c r="BOB35" s="77"/>
      <c r="BOW35" s="77"/>
      <c r="BRB35" s="77"/>
      <c r="BUE35" s="77"/>
      <c r="BWK35" s="77"/>
      <c r="CDB35" s="77"/>
      <c r="CDN35" s="77"/>
      <c r="CEH35" s="77"/>
      <c r="CIE35" s="77"/>
      <c r="CJY35" s="77"/>
      <c r="CNP35" s="77"/>
      <c r="CVA35" s="77"/>
      <c r="CXO35" s="77"/>
      <c r="DAR35" s="77"/>
      <c r="DEG35" s="77"/>
      <c r="DEJ35" s="77"/>
      <c r="DEZ35" s="77"/>
      <c r="DKR35" s="77"/>
      <c r="DLQ35" s="77"/>
      <c r="DWM35" s="77"/>
    </row>
    <row r="36" spans="1:1005 1130:1961 2134:3033 3076:3315" ht="15" customHeight="1">
      <c r="A36" s="97" t="s">
        <v>272</v>
      </c>
      <c r="B36" s="105" t="s">
        <v>132</v>
      </c>
      <c r="C36" s="99">
        <v>1.5</v>
      </c>
      <c r="D36" s="100">
        <v>90</v>
      </c>
      <c r="E36" s="102">
        <v>1</v>
      </c>
      <c r="F36" s="102">
        <v>-2</v>
      </c>
      <c r="G36" s="18">
        <f t="shared" si="16"/>
        <v>91</v>
      </c>
      <c r="H36" s="23">
        <f t="shared" si="17"/>
        <v>88</v>
      </c>
      <c r="I36" s="27"/>
      <c r="J36" s="3"/>
      <c r="K36" s="3"/>
      <c r="L36" s="3"/>
      <c r="M36" s="3"/>
      <c r="N36" s="3"/>
      <c r="O36" s="3"/>
      <c r="P36" s="3"/>
      <c r="Q36" s="3"/>
      <c r="S36" s="103">
        <f t="shared" si="0"/>
        <v>0</v>
      </c>
      <c r="T36" s="103">
        <f t="shared" si="1"/>
        <v>0</v>
      </c>
      <c r="U36" s="104">
        <f t="shared" si="2"/>
        <v>90</v>
      </c>
      <c r="V36" s="104">
        <f t="shared" si="3"/>
        <v>90</v>
      </c>
      <c r="X36" s="103" t="e">
        <f t="shared" si="4"/>
        <v>#REF!</v>
      </c>
      <c r="Y36" s="103" t="e">
        <f t="shared" si="5"/>
        <v>#REF!</v>
      </c>
      <c r="Z36" s="104" t="e">
        <f t="shared" si="6"/>
        <v>#REF!</v>
      </c>
      <c r="AA36" s="104" t="e">
        <f t="shared" si="7"/>
        <v>#REF!</v>
      </c>
      <c r="AC36" s="103" t="e">
        <f t="shared" si="8"/>
        <v>#REF!</v>
      </c>
      <c r="AD36" s="103" t="e">
        <f t="shared" si="9"/>
        <v>#REF!</v>
      </c>
      <c r="AE36" s="104" t="e">
        <f t="shared" si="10"/>
        <v>#REF!</v>
      </c>
      <c r="AF36" s="104" t="e">
        <f t="shared" si="11"/>
        <v>#REF!</v>
      </c>
      <c r="AH36" s="103" t="e">
        <f t="shared" si="12"/>
        <v>#REF!</v>
      </c>
      <c r="AI36" s="103" t="e">
        <f t="shared" si="13"/>
        <v>#REF!</v>
      </c>
      <c r="AJ36" s="104" t="e">
        <f t="shared" si="14"/>
        <v>#REF!</v>
      </c>
      <c r="AK36" s="104" t="e">
        <f t="shared" si="15"/>
        <v>#REF!</v>
      </c>
      <c r="DJ36" s="77"/>
      <c r="EV36" s="77"/>
      <c r="GM36" s="77"/>
      <c r="MR36" s="77"/>
      <c r="SJ36" s="77"/>
      <c r="TQ36" s="77"/>
      <c r="WJ36" s="77"/>
      <c r="XG36" s="77"/>
      <c r="AFG36" s="77"/>
      <c r="AHC36" s="77"/>
      <c r="AHN36" s="77"/>
      <c r="AYQ36" s="77"/>
      <c r="BBW36" s="77"/>
      <c r="BOB36" s="77"/>
      <c r="BOW36" s="77"/>
      <c r="BRB36" s="77"/>
      <c r="BUE36" s="77"/>
      <c r="BWK36" s="77"/>
      <c r="CDB36" s="77"/>
      <c r="CDN36" s="77"/>
      <c r="CEH36" s="77"/>
      <c r="CIE36" s="77"/>
      <c r="CJY36" s="77"/>
      <c r="CNP36" s="77"/>
      <c r="CVA36" s="77"/>
      <c r="CXO36" s="77"/>
      <c r="DAR36" s="77"/>
      <c r="DEG36" s="77"/>
      <c r="DEJ36" s="77"/>
      <c r="DEZ36" s="77"/>
      <c r="DKR36" s="77"/>
      <c r="DLQ36" s="77"/>
      <c r="DWM36" s="77"/>
    </row>
    <row r="37" spans="1:1005 1130:1961 2134:3033 3076:3315" ht="15" customHeight="1">
      <c r="A37" s="97" t="s">
        <v>105</v>
      </c>
      <c r="B37" s="105" t="s">
        <v>213</v>
      </c>
      <c r="C37" s="99">
        <v>1.5</v>
      </c>
      <c r="D37" s="100">
        <v>0.122</v>
      </c>
      <c r="E37" s="102">
        <v>0.01</v>
      </c>
      <c r="F37" s="102">
        <v>-0.02</v>
      </c>
      <c r="G37" s="18">
        <f t="shared" si="16"/>
        <v>0.13200000000000001</v>
      </c>
      <c r="H37" s="23">
        <f t="shared" si="17"/>
        <v>0.10199999999999999</v>
      </c>
      <c r="I37" s="27"/>
      <c r="J37" s="3"/>
      <c r="K37" s="3"/>
      <c r="L37" s="3"/>
      <c r="M37" s="3"/>
      <c r="N37" s="3"/>
      <c r="O37" s="3"/>
      <c r="P37" s="3"/>
      <c r="Q37" s="3"/>
      <c r="S37" s="103">
        <f t="shared" si="0"/>
        <v>0</v>
      </c>
      <c r="T37" s="103">
        <f t="shared" si="1"/>
        <v>0</v>
      </c>
      <c r="U37" s="104">
        <f t="shared" si="2"/>
        <v>0.122</v>
      </c>
      <c r="V37" s="104">
        <f t="shared" si="3"/>
        <v>0.122</v>
      </c>
      <c r="X37" s="103" t="e">
        <f t="shared" si="4"/>
        <v>#REF!</v>
      </c>
      <c r="Y37" s="103" t="e">
        <f t="shared" si="5"/>
        <v>#REF!</v>
      </c>
      <c r="Z37" s="104" t="e">
        <f t="shared" si="6"/>
        <v>#REF!</v>
      </c>
      <c r="AA37" s="104" t="e">
        <f t="shared" si="7"/>
        <v>#REF!</v>
      </c>
      <c r="AC37" s="103" t="e">
        <f t="shared" si="8"/>
        <v>#REF!</v>
      </c>
      <c r="AD37" s="103" t="e">
        <f t="shared" si="9"/>
        <v>#REF!</v>
      </c>
      <c r="AE37" s="104" t="e">
        <f t="shared" si="10"/>
        <v>#REF!</v>
      </c>
      <c r="AF37" s="104" t="e">
        <f t="shared" si="11"/>
        <v>#REF!</v>
      </c>
      <c r="AH37" s="103" t="e">
        <f t="shared" si="12"/>
        <v>#REF!</v>
      </c>
      <c r="AI37" s="103" t="e">
        <f t="shared" si="13"/>
        <v>#REF!</v>
      </c>
      <c r="AJ37" s="104" t="e">
        <f t="shared" si="14"/>
        <v>#REF!</v>
      </c>
      <c r="AK37" s="104" t="e">
        <f t="shared" si="15"/>
        <v>#REF!</v>
      </c>
      <c r="DJ37" s="77"/>
      <c r="EV37" s="77"/>
      <c r="GM37" s="77"/>
      <c r="MR37" s="77"/>
      <c r="SJ37" s="77"/>
      <c r="TQ37" s="77"/>
      <c r="WJ37" s="77"/>
      <c r="XG37" s="77"/>
      <c r="AFG37" s="77"/>
      <c r="AHC37" s="77"/>
      <c r="AHN37" s="77"/>
      <c r="AYQ37" s="77"/>
      <c r="BBW37" s="77"/>
      <c r="BOB37" s="77"/>
      <c r="BOW37" s="77"/>
      <c r="BRB37" s="77"/>
      <c r="BUE37" s="77"/>
      <c r="BWK37" s="77"/>
      <c r="CDB37" s="77"/>
      <c r="CDN37" s="77"/>
      <c r="CEH37" s="77"/>
      <c r="CIE37" s="77"/>
      <c r="CJY37" s="77"/>
      <c r="CNP37" s="77"/>
      <c r="CVA37" s="77"/>
      <c r="CXO37" s="77"/>
      <c r="DAR37" s="77"/>
      <c r="DEG37" s="77"/>
      <c r="DEJ37" s="77"/>
      <c r="DEZ37" s="77"/>
      <c r="DKR37" s="77"/>
      <c r="DLQ37" s="77"/>
      <c r="DWM37" s="77"/>
    </row>
    <row r="38" spans="1:1005 1130:1961 2134:3033 3076:3315" ht="15" customHeight="1">
      <c r="A38" s="97" t="s">
        <v>106</v>
      </c>
      <c r="B38" s="105" t="s">
        <v>273</v>
      </c>
      <c r="C38" s="99">
        <v>1.5</v>
      </c>
      <c r="D38" s="100">
        <v>0.122</v>
      </c>
      <c r="E38" s="102">
        <v>0.01</v>
      </c>
      <c r="F38" s="102">
        <v>-0.02</v>
      </c>
      <c r="G38" s="18">
        <f t="shared" si="16"/>
        <v>0.13200000000000001</v>
      </c>
      <c r="H38" s="23">
        <f t="shared" si="17"/>
        <v>0.10199999999999999</v>
      </c>
      <c r="I38" s="27"/>
      <c r="J38" s="3"/>
      <c r="K38" s="3"/>
      <c r="L38" s="3"/>
      <c r="M38" s="3"/>
      <c r="N38" s="3"/>
      <c r="O38" s="3"/>
      <c r="P38" s="3"/>
      <c r="Q38" s="3"/>
      <c r="S38" s="103">
        <f t="shared" si="0"/>
        <v>0</v>
      </c>
      <c r="T38" s="103">
        <f t="shared" si="1"/>
        <v>0</v>
      </c>
      <c r="U38" s="104">
        <f t="shared" si="2"/>
        <v>0.122</v>
      </c>
      <c r="V38" s="104">
        <f t="shared" si="3"/>
        <v>0.122</v>
      </c>
      <c r="X38" s="103" t="e">
        <f t="shared" si="4"/>
        <v>#REF!</v>
      </c>
      <c r="Y38" s="103" t="e">
        <f t="shared" si="5"/>
        <v>#REF!</v>
      </c>
      <c r="Z38" s="104" t="e">
        <f t="shared" si="6"/>
        <v>#REF!</v>
      </c>
      <c r="AA38" s="104" t="e">
        <f t="shared" si="7"/>
        <v>#REF!</v>
      </c>
      <c r="AC38" s="103" t="e">
        <f t="shared" si="8"/>
        <v>#REF!</v>
      </c>
      <c r="AD38" s="103" t="e">
        <f t="shared" si="9"/>
        <v>#REF!</v>
      </c>
      <c r="AE38" s="104" t="e">
        <f t="shared" si="10"/>
        <v>#REF!</v>
      </c>
      <c r="AF38" s="104" t="e">
        <f t="shared" si="11"/>
        <v>#REF!</v>
      </c>
      <c r="AH38" s="103" t="e">
        <f t="shared" si="12"/>
        <v>#REF!</v>
      </c>
      <c r="AI38" s="103" t="e">
        <f t="shared" si="13"/>
        <v>#REF!</v>
      </c>
      <c r="AJ38" s="104" t="e">
        <f t="shared" si="14"/>
        <v>#REF!</v>
      </c>
      <c r="AK38" s="104" t="e">
        <f t="shared" si="15"/>
        <v>#REF!</v>
      </c>
      <c r="DJ38" s="77"/>
      <c r="EV38" s="77"/>
      <c r="GM38" s="77"/>
      <c r="MR38" s="77"/>
      <c r="SJ38" s="77"/>
      <c r="TQ38" s="77"/>
      <c r="WJ38" s="77"/>
      <c r="XG38" s="77"/>
      <c r="AFG38" s="77"/>
      <c r="AHC38" s="77"/>
      <c r="AHN38" s="77"/>
      <c r="AYQ38" s="77"/>
      <c r="BBW38" s="77"/>
      <c r="BOB38" s="77"/>
      <c r="BOW38" s="77"/>
      <c r="BRB38" s="77"/>
      <c r="BUE38" s="77"/>
      <c r="BWK38" s="77"/>
      <c r="CDB38" s="77"/>
      <c r="CDN38" s="77"/>
      <c r="CEH38" s="77"/>
      <c r="CIE38" s="77"/>
      <c r="CJY38" s="77"/>
      <c r="CNP38" s="77"/>
      <c r="CVA38" s="77"/>
      <c r="CXO38" s="77"/>
      <c r="DAR38" s="77"/>
      <c r="DEG38" s="77"/>
      <c r="DEJ38" s="77"/>
      <c r="DEZ38" s="77"/>
      <c r="DKR38" s="77"/>
      <c r="DLQ38" s="77"/>
      <c r="DWM38" s="77"/>
    </row>
    <row r="39" spans="1:1005 1130:1961 2134:3033 3076:3315" ht="15" customHeight="1">
      <c r="A39" s="97" t="s">
        <v>107</v>
      </c>
      <c r="B39" s="105" t="s">
        <v>141</v>
      </c>
      <c r="C39" s="99">
        <v>1.33</v>
      </c>
      <c r="D39" s="100">
        <v>7.8E-2</v>
      </c>
      <c r="E39" s="102">
        <v>0.01</v>
      </c>
      <c r="F39" s="102">
        <v>-0.02</v>
      </c>
      <c r="G39" s="18">
        <f t="shared" si="16"/>
        <v>8.7999999999999995E-2</v>
      </c>
      <c r="H39" s="23">
        <f t="shared" si="17"/>
        <v>5.7999999999999996E-2</v>
      </c>
      <c r="I39" s="27"/>
      <c r="J39" s="3"/>
      <c r="K39" s="3"/>
      <c r="L39" s="3"/>
      <c r="M39" s="3"/>
      <c r="N39" s="3"/>
      <c r="O39" s="3"/>
      <c r="P39" s="3"/>
      <c r="Q39" s="3"/>
      <c r="S39" s="103">
        <f t="shared" si="0"/>
        <v>0</v>
      </c>
      <c r="T39" s="103">
        <f t="shared" si="1"/>
        <v>0</v>
      </c>
      <c r="U39" s="104">
        <f t="shared" si="2"/>
        <v>7.8E-2</v>
      </c>
      <c r="V39" s="104">
        <f t="shared" si="3"/>
        <v>7.8E-2</v>
      </c>
      <c r="X39" s="103" t="e">
        <f t="shared" si="4"/>
        <v>#REF!</v>
      </c>
      <c r="Y39" s="103" t="e">
        <f t="shared" si="5"/>
        <v>#REF!</v>
      </c>
      <c r="Z39" s="104" t="e">
        <f t="shared" si="6"/>
        <v>#REF!</v>
      </c>
      <c r="AA39" s="104" t="e">
        <f t="shared" si="7"/>
        <v>#REF!</v>
      </c>
      <c r="AC39" s="103" t="e">
        <f t="shared" si="8"/>
        <v>#REF!</v>
      </c>
      <c r="AD39" s="103" t="e">
        <f t="shared" si="9"/>
        <v>#REF!</v>
      </c>
      <c r="AE39" s="104" t="e">
        <f t="shared" si="10"/>
        <v>#REF!</v>
      </c>
      <c r="AF39" s="104" t="e">
        <f t="shared" si="11"/>
        <v>#REF!</v>
      </c>
      <c r="AH39" s="103" t="e">
        <f t="shared" si="12"/>
        <v>#REF!</v>
      </c>
      <c r="AI39" s="103" t="e">
        <f t="shared" si="13"/>
        <v>#REF!</v>
      </c>
      <c r="AJ39" s="104" t="e">
        <f t="shared" si="14"/>
        <v>#REF!</v>
      </c>
      <c r="AK39" s="104" t="e">
        <f t="shared" si="15"/>
        <v>#REF!</v>
      </c>
      <c r="DJ39" s="77"/>
      <c r="EV39" s="77"/>
      <c r="GM39" s="77"/>
      <c r="MR39" s="77"/>
      <c r="SJ39" s="77"/>
      <c r="TQ39" s="77"/>
      <c r="WJ39" s="77"/>
      <c r="XG39" s="77"/>
      <c r="AFG39" s="77"/>
      <c r="AHC39" s="77"/>
      <c r="AHN39" s="77"/>
      <c r="AYQ39" s="77"/>
      <c r="BBW39" s="77"/>
      <c r="BOB39" s="77"/>
      <c r="BOW39" s="77"/>
      <c r="BRB39" s="77"/>
      <c r="BUE39" s="77"/>
      <c r="BWK39" s="77"/>
      <c r="CDB39" s="77"/>
      <c r="CDN39" s="77"/>
      <c r="CEH39" s="77"/>
      <c r="CIE39" s="77"/>
      <c r="CJY39" s="77"/>
      <c r="CNP39" s="77"/>
      <c r="CVA39" s="77"/>
      <c r="CXO39" s="77"/>
      <c r="DAR39" s="77"/>
      <c r="DEG39" s="77"/>
      <c r="DEJ39" s="77"/>
      <c r="DEZ39" s="77"/>
      <c r="DKR39" s="77"/>
      <c r="DLQ39" s="77"/>
      <c r="DWM39" s="77"/>
    </row>
    <row r="40" spans="1:1005 1130:1961 2134:3033 3076:3315" ht="15" customHeight="1">
      <c r="A40" s="97" t="s">
        <v>118</v>
      </c>
      <c r="B40" s="105" t="s">
        <v>142</v>
      </c>
      <c r="C40" s="99">
        <v>1.33</v>
      </c>
      <c r="D40" s="100">
        <v>7.8E-2</v>
      </c>
      <c r="E40" s="102">
        <v>0.01</v>
      </c>
      <c r="F40" s="102">
        <v>-0.02</v>
      </c>
      <c r="G40" s="18">
        <f t="shared" si="16"/>
        <v>8.7999999999999995E-2</v>
      </c>
      <c r="H40" s="23">
        <f t="shared" si="17"/>
        <v>5.7999999999999996E-2</v>
      </c>
      <c r="I40" s="27"/>
      <c r="J40" s="3"/>
      <c r="K40" s="3"/>
      <c r="L40" s="3"/>
      <c r="M40" s="3"/>
      <c r="N40" s="3"/>
      <c r="O40" s="3"/>
      <c r="P40" s="3"/>
      <c r="Q40" s="3"/>
      <c r="S40" s="103">
        <f t="shared" si="0"/>
        <v>0</v>
      </c>
      <c r="T40" s="103">
        <f t="shared" si="1"/>
        <v>0</v>
      </c>
      <c r="U40" s="104">
        <f t="shared" si="2"/>
        <v>7.8E-2</v>
      </c>
      <c r="V40" s="104">
        <f t="shared" si="3"/>
        <v>7.8E-2</v>
      </c>
      <c r="X40" s="103" t="e">
        <f t="shared" si="4"/>
        <v>#REF!</v>
      </c>
      <c r="Y40" s="103" t="e">
        <f t="shared" si="5"/>
        <v>#REF!</v>
      </c>
      <c r="Z40" s="104" t="e">
        <f t="shared" si="6"/>
        <v>#REF!</v>
      </c>
      <c r="AA40" s="104" t="e">
        <f t="shared" si="7"/>
        <v>#REF!</v>
      </c>
      <c r="AC40" s="103" t="e">
        <f t="shared" si="8"/>
        <v>#REF!</v>
      </c>
      <c r="AD40" s="103" t="e">
        <f t="shared" si="9"/>
        <v>#REF!</v>
      </c>
      <c r="AE40" s="104" t="e">
        <f t="shared" si="10"/>
        <v>#REF!</v>
      </c>
      <c r="AF40" s="104" t="e">
        <f t="shared" si="11"/>
        <v>#REF!</v>
      </c>
      <c r="AH40" s="103" t="e">
        <f t="shared" si="12"/>
        <v>#REF!</v>
      </c>
      <c r="AI40" s="103" t="e">
        <f t="shared" si="13"/>
        <v>#REF!</v>
      </c>
      <c r="AJ40" s="104" t="e">
        <f t="shared" si="14"/>
        <v>#REF!</v>
      </c>
      <c r="AK40" s="104" t="e">
        <f t="shared" si="15"/>
        <v>#REF!</v>
      </c>
      <c r="DJ40" s="77"/>
      <c r="EV40" s="77"/>
      <c r="GM40" s="77"/>
      <c r="MR40" s="77"/>
      <c r="SJ40" s="77"/>
      <c r="TQ40" s="77"/>
      <c r="WJ40" s="77"/>
      <c r="XG40" s="77"/>
      <c r="AFG40" s="77"/>
      <c r="AHC40" s="77"/>
      <c r="AHN40" s="77"/>
      <c r="AYQ40" s="77"/>
      <c r="BBW40" s="77"/>
      <c r="BOB40" s="77"/>
      <c r="BOW40" s="77"/>
      <c r="BRB40" s="77"/>
      <c r="BUE40" s="77"/>
      <c r="BWK40" s="77"/>
      <c r="CDB40" s="77"/>
      <c r="CDN40" s="77"/>
      <c r="CEH40" s="77"/>
      <c r="CIE40" s="77"/>
      <c r="CJY40" s="77"/>
      <c r="CNP40" s="77"/>
      <c r="CVA40" s="77"/>
      <c r="CXO40" s="77"/>
      <c r="DAR40" s="77"/>
      <c r="DEG40" s="77"/>
      <c r="DEJ40" s="77"/>
      <c r="DEZ40" s="77"/>
      <c r="DKR40" s="77"/>
      <c r="DLQ40" s="77"/>
      <c r="DWM40" s="77"/>
    </row>
    <row r="41" spans="1:1005 1130:1961 2134:3033 3076:3315" ht="15" customHeight="1">
      <c r="A41" s="97"/>
      <c r="B41" s="105" t="s">
        <v>143</v>
      </c>
      <c r="C41" s="99"/>
      <c r="D41" s="100">
        <v>12.494</v>
      </c>
      <c r="E41" s="102">
        <v>0.03</v>
      </c>
      <c r="F41" s="102">
        <v>-0.03</v>
      </c>
      <c r="G41" s="18">
        <f t="shared" si="16"/>
        <v>12.523999999999999</v>
      </c>
      <c r="H41" s="23">
        <f t="shared" si="17"/>
        <v>12.464</v>
      </c>
      <c r="I41" s="27"/>
      <c r="J41" s="3"/>
      <c r="K41" s="3"/>
      <c r="L41" s="3"/>
      <c r="M41" s="3"/>
      <c r="N41" s="3"/>
      <c r="O41" s="3"/>
      <c r="P41" s="3"/>
      <c r="Q41" s="3"/>
      <c r="S41" s="103">
        <f t="shared" si="0"/>
        <v>0</v>
      </c>
      <c r="T41" s="103">
        <f t="shared" si="1"/>
        <v>0</v>
      </c>
      <c r="U41" s="104">
        <f t="shared" si="2"/>
        <v>12.494</v>
      </c>
      <c r="V41" s="104">
        <f t="shared" si="3"/>
        <v>12.494</v>
      </c>
      <c r="X41" s="103" t="e">
        <f t="shared" si="4"/>
        <v>#REF!</v>
      </c>
      <c r="Y41" s="103" t="e">
        <f t="shared" si="5"/>
        <v>#REF!</v>
      </c>
      <c r="Z41" s="104" t="e">
        <f t="shared" si="6"/>
        <v>#REF!</v>
      </c>
      <c r="AA41" s="104" t="e">
        <f t="shared" si="7"/>
        <v>#REF!</v>
      </c>
      <c r="AC41" s="103" t="e">
        <f t="shared" si="8"/>
        <v>#REF!</v>
      </c>
      <c r="AD41" s="103" t="e">
        <f t="shared" si="9"/>
        <v>#REF!</v>
      </c>
      <c r="AE41" s="104" t="e">
        <f t="shared" si="10"/>
        <v>#REF!</v>
      </c>
      <c r="AF41" s="104" t="e">
        <f t="shared" si="11"/>
        <v>#REF!</v>
      </c>
      <c r="AH41" s="103" t="e">
        <f t="shared" si="12"/>
        <v>#REF!</v>
      </c>
      <c r="AI41" s="103" t="e">
        <f t="shared" si="13"/>
        <v>#REF!</v>
      </c>
      <c r="AJ41" s="104" t="e">
        <f t="shared" si="14"/>
        <v>#REF!</v>
      </c>
      <c r="AK41" s="104" t="e">
        <f t="shared" si="15"/>
        <v>#REF!</v>
      </c>
      <c r="DJ41" s="77"/>
      <c r="EV41" s="77"/>
      <c r="GM41" s="77"/>
      <c r="MR41" s="77"/>
      <c r="SJ41" s="77"/>
      <c r="TQ41" s="77"/>
      <c r="WJ41" s="77"/>
      <c r="XG41" s="77"/>
      <c r="AFG41" s="77"/>
      <c r="AHC41" s="77"/>
      <c r="AHN41" s="77"/>
      <c r="AYQ41" s="77"/>
      <c r="BBW41" s="77"/>
      <c r="BOB41" s="77"/>
      <c r="BOW41" s="77"/>
      <c r="BRB41" s="77"/>
      <c r="BUE41" s="77"/>
      <c r="BWK41" s="77"/>
      <c r="CDB41" s="77"/>
      <c r="CDN41" s="77"/>
      <c r="CEH41" s="77"/>
      <c r="CIE41" s="77"/>
      <c r="CJY41" s="77"/>
      <c r="CNP41" s="77"/>
      <c r="CVA41" s="77"/>
      <c r="CXO41" s="77"/>
      <c r="DAR41" s="77"/>
      <c r="DEG41" s="77"/>
      <c r="DEJ41" s="77"/>
      <c r="DEZ41" s="77"/>
      <c r="DKR41" s="77"/>
      <c r="DLQ41" s="77"/>
      <c r="DWM41" s="77"/>
    </row>
    <row r="42" spans="1:1005 1130:1961 2134:3033 3076:3315" ht="15" customHeight="1">
      <c r="A42" s="97"/>
      <c r="B42" s="105" t="s">
        <v>144</v>
      </c>
      <c r="C42" s="99"/>
      <c r="D42" s="100">
        <v>0.53300000000000003</v>
      </c>
      <c r="E42" s="102">
        <v>0.03</v>
      </c>
      <c r="F42" s="102">
        <v>-0.03</v>
      </c>
      <c r="G42" s="18">
        <f t="shared" si="16"/>
        <v>0.56300000000000006</v>
      </c>
      <c r="H42" s="23">
        <f t="shared" si="17"/>
        <v>0.503</v>
      </c>
      <c r="I42" s="27"/>
      <c r="J42" s="3"/>
      <c r="K42" s="3"/>
      <c r="L42" s="3"/>
      <c r="M42" s="3"/>
      <c r="N42" s="3"/>
      <c r="O42" s="3"/>
      <c r="P42" s="3"/>
      <c r="Q42" s="3"/>
      <c r="S42" s="103">
        <f t="shared" si="0"/>
        <v>0</v>
      </c>
      <c r="T42" s="103">
        <f t="shared" si="1"/>
        <v>0</v>
      </c>
      <c r="U42" s="104">
        <f t="shared" si="2"/>
        <v>0.53300000000000003</v>
      </c>
      <c r="V42" s="104">
        <f t="shared" si="3"/>
        <v>0.53300000000000003</v>
      </c>
      <c r="X42" s="103" t="e">
        <f t="shared" si="4"/>
        <v>#REF!</v>
      </c>
      <c r="Y42" s="103" t="e">
        <f t="shared" si="5"/>
        <v>#REF!</v>
      </c>
      <c r="Z42" s="104" t="e">
        <f t="shared" si="6"/>
        <v>#REF!</v>
      </c>
      <c r="AA42" s="104" t="e">
        <f t="shared" si="7"/>
        <v>#REF!</v>
      </c>
      <c r="AC42" s="103" t="e">
        <f t="shared" si="8"/>
        <v>#REF!</v>
      </c>
      <c r="AD42" s="103" t="e">
        <f t="shared" si="9"/>
        <v>#REF!</v>
      </c>
      <c r="AE42" s="104" t="e">
        <f t="shared" si="10"/>
        <v>#REF!</v>
      </c>
      <c r="AF42" s="104" t="e">
        <f t="shared" si="11"/>
        <v>#REF!</v>
      </c>
      <c r="AH42" s="103" t="e">
        <f t="shared" si="12"/>
        <v>#REF!</v>
      </c>
      <c r="AI42" s="103" t="e">
        <f t="shared" si="13"/>
        <v>#REF!</v>
      </c>
      <c r="AJ42" s="104" t="e">
        <f t="shared" si="14"/>
        <v>#REF!</v>
      </c>
      <c r="AK42" s="104" t="e">
        <f t="shared" si="15"/>
        <v>#REF!</v>
      </c>
      <c r="DJ42" s="77"/>
      <c r="EV42" s="77"/>
      <c r="GM42" s="77"/>
      <c r="SJ42" s="77"/>
      <c r="TQ42" s="77"/>
      <c r="WJ42" s="77"/>
      <c r="XG42" s="77"/>
      <c r="AEZ42" s="77"/>
      <c r="AFG42" s="77"/>
      <c r="AHC42" s="77"/>
      <c r="AHN42" s="77"/>
      <c r="ALQ42" s="77"/>
      <c r="AYQ42" s="77"/>
      <c r="BBW42" s="77"/>
      <c r="BOW42" s="77"/>
      <c r="BRB42" s="77"/>
      <c r="BUS42" s="77"/>
      <c r="BWK42" s="77"/>
      <c r="CDB42" s="77"/>
      <c r="CIE42" s="77"/>
      <c r="CJY42" s="77"/>
      <c r="CNP42" s="77"/>
      <c r="CVA42" s="77"/>
      <c r="DAR42" s="77"/>
      <c r="DEG42" s="77"/>
      <c r="DEJ42" s="77"/>
      <c r="DEZ42" s="77"/>
      <c r="DKR42" s="77"/>
      <c r="DLQ42" s="77"/>
      <c r="DNH42" s="77"/>
      <c r="DWM42" s="77"/>
    </row>
    <row r="43" spans="1:1005 1130:1961 2134:3033 3076:3315" ht="15" customHeight="1">
      <c r="A43" s="97"/>
      <c r="B43" s="105" t="s">
        <v>145</v>
      </c>
      <c r="C43" s="99"/>
      <c r="D43" s="100">
        <v>0.53300000000000003</v>
      </c>
      <c r="E43" s="102">
        <v>0.03</v>
      </c>
      <c r="F43" s="102">
        <v>-0.03</v>
      </c>
      <c r="G43" s="18">
        <f t="shared" si="16"/>
        <v>0.56300000000000006</v>
      </c>
      <c r="H43" s="23">
        <f t="shared" si="17"/>
        <v>0.503</v>
      </c>
      <c r="I43" s="27"/>
      <c r="J43" s="3"/>
      <c r="K43" s="3"/>
      <c r="L43" s="3"/>
      <c r="M43" s="3"/>
      <c r="N43" s="3"/>
      <c r="O43" s="3"/>
      <c r="P43" s="3"/>
      <c r="Q43" s="3"/>
      <c r="S43" s="103">
        <f t="shared" si="0"/>
        <v>0</v>
      </c>
      <c r="T43" s="103">
        <f t="shared" si="1"/>
        <v>0</v>
      </c>
      <c r="U43" s="104">
        <f t="shared" si="2"/>
        <v>0.53300000000000003</v>
      </c>
      <c r="V43" s="104">
        <f t="shared" si="3"/>
        <v>0.53300000000000003</v>
      </c>
      <c r="X43" s="103" t="e">
        <f t="shared" si="4"/>
        <v>#REF!</v>
      </c>
      <c r="Y43" s="103" t="e">
        <f t="shared" si="5"/>
        <v>#REF!</v>
      </c>
      <c r="Z43" s="104" t="e">
        <f t="shared" si="6"/>
        <v>#REF!</v>
      </c>
      <c r="AA43" s="104" t="e">
        <f t="shared" si="7"/>
        <v>#REF!</v>
      </c>
      <c r="AC43" s="103" t="e">
        <f t="shared" si="8"/>
        <v>#REF!</v>
      </c>
      <c r="AD43" s="103" t="e">
        <f t="shared" si="9"/>
        <v>#REF!</v>
      </c>
      <c r="AE43" s="104" t="e">
        <f t="shared" si="10"/>
        <v>#REF!</v>
      </c>
      <c r="AF43" s="104" t="e">
        <f t="shared" si="11"/>
        <v>#REF!</v>
      </c>
      <c r="AH43" s="103" t="e">
        <f t="shared" si="12"/>
        <v>#REF!</v>
      </c>
      <c r="AI43" s="103" t="e">
        <f t="shared" si="13"/>
        <v>#REF!</v>
      </c>
      <c r="AJ43" s="104" t="e">
        <f t="shared" si="14"/>
        <v>#REF!</v>
      </c>
      <c r="AK43" s="104" t="e">
        <f t="shared" si="15"/>
        <v>#REF!</v>
      </c>
      <c r="DJ43" s="77"/>
      <c r="EV43" s="77"/>
      <c r="GM43" s="77"/>
      <c r="SJ43" s="77"/>
      <c r="TQ43" s="77"/>
      <c r="WJ43" s="77"/>
      <c r="XG43" s="77"/>
      <c r="AEZ43" s="77"/>
      <c r="AFG43" s="77"/>
      <c r="AHC43" s="77"/>
      <c r="AHN43" s="77"/>
      <c r="ALQ43" s="77"/>
      <c r="AYQ43" s="77"/>
      <c r="BBW43" s="77"/>
      <c r="BOW43" s="77"/>
      <c r="BRB43" s="77"/>
      <c r="BUS43" s="77"/>
      <c r="BWK43" s="77"/>
      <c r="CDB43" s="77"/>
      <c r="CIE43" s="77"/>
      <c r="CJY43" s="77"/>
      <c r="CNP43" s="77"/>
      <c r="CVA43" s="77"/>
      <c r="DAR43" s="77"/>
      <c r="DEG43" s="77"/>
      <c r="DEJ43" s="77"/>
      <c r="DEZ43" s="77"/>
      <c r="DKR43" s="77"/>
      <c r="DLQ43" s="77"/>
      <c r="DNH43" s="77"/>
      <c r="DWM43" s="77"/>
    </row>
    <row r="44" spans="1:1005 1130:1961 2134:3033 3076:3315" ht="15" customHeight="1">
      <c r="A44" s="97"/>
      <c r="B44" s="105" t="s">
        <v>146</v>
      </c>
      <c r="C44" s="99"/>
      <c r="D44" s="100">
        <v>15.518000000000001</v>
      </c>
      <c r="E44" s="102">
        <v>0.03</v>
      </c>
      <c r="F44" s="102">
        <v>-0.03</v>
      </c>
      <c r="G44" s="18">
        <f t="shared" si="16"/>
        <v>15.548</v>
      </c>
      <c r="H44" s="23">
        <f t="shared" si="17"/>
        <v>15.488000000000001</v>
      </c>
      <c r="I44" s="27"/>
      <c r="J44" s="3"/>
      <c r="K44" s="3"/>
      <c r="L44" s="3"/>
      <c r="M44" s="3"/>
      <c r="N44" s="3"/>
      <c r="O44" s="3"/>
      <c r="P44" s="3"/>
      <c r="Q44" s="3"/>
      <c r="S44" s="103">
        <f t="shared" si="0"/>
        <v>0</v>
      </c>
      <c r="T44" s="103">
        <f t="shared" si="1"/>
        <v>0</v>
      </c>
      <c r="U44" s="104">
        <f t="shared" si="2"/>
        <v>15.518000000000001</v>
      </c>
      <c r="V44" s="104">
        <f t="shared" si="3"/>
        <v>15.518000000000001</v>
      </c>
      <c r="X44" s="103" t="e">
        <f t="shared" si="4"/>
        <v>#REF!</v>
      </c>
      <c r="Y44" s="103" t="e">
        <f t="shared" si="5"/>
        <v>#REF!</v>
      </c>
      <c r="Z44" s="104" t="e">
        <f t="shared" si="6"/>
        <v>#REF!</v>
      </c>
      <c r="AA44" s="104" t="e">
        <f t="shared" si="7"/>
        <v>#REF!</v>
      </c>
      <c r="AC44" s="103" t="e">
        <f t="shared" si="8"/>
        <v>#REF!</v>
      </c>
      <c r="AD44" s="103" t="e">
        <f t="shared" si="9"/>
        <v>#REF!</v>
      </c>
      <c r="AE44" s="104" t="e">
        <f t="shared" si="10"/>
        <v>#REF!</v>
      </c>
      <c r="AF44" s="104" t="e">
        <f t="shared" si="11"/>
        <v>#REF!</v>
      </c>
      <c r="AH44" s="103" t="e">
        <f t="shared" si="12"/>
        <v>#REF!</v>
      </c>
      <c r="AI44" s="103" t="e">
        <f t="shared" si="13"/>
        <v>#REF!</v>
      </c>
      <c r="AJ44" s="104" t="e">
        <f t="shared" si="14"/>
        <v>#REF!</v>
      </c>
      <c r="AK44" s="104" t="e">
        <f t="shared" si="15"/>
        <v>#REF!</v>
      </c>
      <c r="DJ44" s="77"/>
      <c r="EV44" s="77"/>
      <c r="GM44" s="77"/>
      <c r="SJ44" s="77"/>
      <c r="TQ44" s="77"/>
      <c r="WJ44" s="77"/>
      <c r="XG44" s="77"/>
      <c r="AEZ44" s="77"/>
      <c r="AFG44" s="77"/>
      <c r="AHC44" s="77"/>
      <c r="AHN44" s="77"/>
      <c r="ALQ44" s="77"/>
      <c r="AYQ44" s="77"/>
      <c r="BBW44" s="77"/>
      <c r="BOW44" s="77"/>
      <c r="BRB44" s="77"/>
      <c r="BUS44" s="77"/>
      <c r="BWK44" s="77"/>
      <c r="CDB44" s="77"/>
      <c r="CIE44" s="77"/>
      <c r="CJY44" s="77"/>
      <c r="CNP44" s="77"/>
      <c r="CVA44" s="77"/>
      <c r="DAR44" s="77"/>
      <c r="DEG44" s="77"/>
      <c r="DEJ44" s="77"/>
      <c r="DEZ44" s="77"/>
      <c r="DKR44" s="77"/>
      <c r="DLQ44" s="77"/>
      <c r="DNH44" s="77"/>
      <c r="DWM44" s="77"/>
    </row>
    <row r="45" spans="1:1005 1130:1961 2134:3033 3076:3315" ht="15" customHeight="1">
      <c r="A45" s="97"/>
      <c r="B45" s="105" t="s">
        <v>147</v>
      </c>
      <c r="C45" s="99"/>
      <c r="D45" s="100">
        <v>15.518000000000001</v>
      </c>
      <c r="E45" s="102">
        <v>0.03</v>
      </c>
      <c r="F45" s="102">
        <v>-0.03</v>
      </c>
      <c r="G45" s="18">
        <f t="shared" si="16"/>
        <v>15.548</v>
      </c>
      <c r="H45" s="23">
        <f t="shared" si="17"/>
        <v>15.488000000000001</v>
      </c>
      <c r="I45" s="27"/>
      <c r="J45" s="3"/>
      <c r="K45" s="3"/>
      <c r="L45" s="3"/>
      <c r="M45" s="3"/>
      <c r="N45" s="3"/>
      <c r="O45" s="3"/>
      <c r="P45" s="3"/>
      <c r="Q45" s="3"/>
      <c r="S45" s="103">
        <f t="shared" si="0"/>
        <v>0</v>
      </c>
      <c r="T45" s="103">
        <f t="shared" si="1"/>
        <v>0</v>
      </c>
      <c r="U45" s="104">
        <f t="shared" si="2"/>
        <v>15.518000000000001</v>
      </c>
      <c r="V45" s="104">
        <f t="shared" si="3"/>
        <v>15.518000000000001</v>
      </c>
      <c r="X45" s="103" t="e">
        <f t="shared" si="4"/>
        <v>#REF!</v>
      </c>
      <c r="Y45" s="103" t="e">
        <f t="shared" si="5"/>
        <v>#REF!</v>
      </c>
      <c r="Z45" s="104" t="e">
        <f t="shared" si="6"/>
        <v>#REF!</v>
      </c>
      <c r="AA45" s="104" t="e">
        <f t="shared" si="7"/>
        <v>#REF!</v>
      </c>
      <c r="AC45" s="103" t="e">
        <f t="shared" si="8"/>
        <v>#REF!</v>
      </c>
      <c r="AD45" s="103" t="e">
        <f t="shared" si="9"/>
        <v>#REF!</v>
      </c>
      <c r="AE45" s="104" t="e">
        <f t="shared" si="10"/>
        <v>#REF!</v>
      </c>
      <c r="AF45" s="104" t="e">
        <f t="shared" si="11"/>
        <v>#REF!</v>
      </c>
      <c r="AH45" s="103" t="e">
        <f t="shared" si="12"/>
        <v>#REF!</v>
      </c>
      <c r="AI45" s="103" t="e">
        <f t="shared" si="13"/>
        <v>#REF!</v>
      </c>
      <c r="AJ45" s="104" t="e">
        <f t="shared" si="14"/>
        <v>#REF!</v>
      </c>
      <c r="AK45" s="104" t="e">
        <f t="shared" si="15"/>
        <v>#REF!</v>
      </c>
      <c r="DJ45" s="77"/>
      <c r="EV45" s="77"/>
      <c r="GM45" s="77"/>
      <c r="SJ45" s="77"/>
      <c r="TQ45" s="77"/>
      <c r="WJ45" s="77"/>
      <c r="XG45" s="77"/>
      <c r="AEZ45" s="77"/>
      <c r="AFG45" s="77"/>
      <c r="AHC45" s="77"/>
      <c r="AHN45" s="77"/>
      <c r="ALQ45" s="77"/>
      <c r="AYQ45" s="77"/>
      <c r="BBW45" s="77"/>
      <c r="BOW45" s="77"/>
      <c r="BRB45" s="77"/>
      <c r="BUS45" s="77"/>
      <c r="BWK45" s="77"/>
      <c r="CDB45" s="77"/>
      <c r="CIE45" s="77"/>
      <c r="CJY45" s="77"/>
      <c r="CNP45" s="77"/>
      <c r="CVA45" s="77"/>
      <c r="DAR45" s="77"/>
      <c r="DEG45" s="77"/>
      <c r="DEJ45" s="77"/>
      <c r="DEZ45" s="77"/>
      <c r="DKR45" s="77"/>
      <c r="DLQ45" s="77"/>
      <c r="DNH45" s="77"/>
      <c r="DWM45" s="77"/>
    </row>
    <row r="46" spans="1:1005 1130:1961 2134:3033 3076:3315" ht="15" customHeight="1">
      <c r="A46" s="97"/>
      <c r="B46" s="105" t="s">
        <v>148</v>
      </c>
      <c r="C46" s="99"/>
      <c r="D46" s="100">
        <v>1.0149999999999999</v>
      </c>
      <c r="E46" s="102">
        <v>0.03</v>
      </c>
      <c r="F46" s="102">
        <v>-0.03</v>
      </c>
      <c r="G46" s="18">
        <f t="shared" si="16"/>
        <v>1.0449999999999999</v>
      </c>
      <c r="H46" s="23">
        <f t="shared" si="17"/>
        <v>0.98499999999999988</v>
      </c>
      <c r="I46" s="27"/>
      <c r="J46" s="3"/>
      <c r="K46" s="3"/>
      <c r="L46" s="3"/>
      <c r="M46" s="3"/>
      <c r="N46" s="3"/>
      <c r="O46" s="3"/>
      <c r="P46" s="3"/>
      <c r="Q46" s="3"/>
      <c r="S46" s="103">
        <f t="shared" si="0"/>
        <v>0</v>
      </c>
      <c r="T46" s="103">
        <f t="shared" si="1"/>
        <v>0</v>
      </c>
      <c r="U46" s="104">
        <f t="shared" si="2"/>
        <v>1.0149999999999999</v>
      </c>
      <c r="V46" s="104">
        <f t="shared" si="3"/>
        <v>1.0149999999999999</v>
      </c>
      <c r="X46" s="103" t="e">
        <f t="shared" si="4"/>
        <v>#REF!</v>
      </c>
      <c r="Y46" s="103" t="e">
        <f t="shared" si="5"/>
        <v>#REF!</v>
      </c>
      <c r="Z46" s="104" t="e">
        <f t="shared" si="6"/>
        <v>#REF!</v>
      </c>
      <c r="AA46" s="104" t="e">
        <f t="shared" si="7"/>
        <v>#REF!</v>
      </c>
      <c r="AC46" s="103" t="e">
        <f t="shared" si="8"/>
        <v>#REF!</v>
      </c>
      <c r="AD46" s="103" t="e">
        <f t="shared" si="9"/>
        <v>#REF!</v>
      </c>
      <c r="AE46" s="104" t="e">
        <f t="shared" si="10"/>
        <v>#REF!</v>
      </c>
      <c r="AF46" s="104" t="e">
        <f t="shared" si="11"/>
        <v>#REF!</v>
      </c>
      <c r="AH46" s="103" t="e">
        <f t="shared" si="12"/>
        <v>#REF!</v>
      </c>
      <c r="AI46" s="103" t="e">
        <f t="shared" si="13"/>
        <v>#REF!</v>
      </c>
      <c r="AJ46" s="104" t="e">
        <f t="shared" si="14"/>
        <v>#REF!</v>
      </c>
      <c r="AK46" s="104" t="e">
        <f t="shared" si="15"/>
        <v>#REF!</v>
      </c>
      <c r="DJ46" s="77"/>
      <c r="EV46" s="77"/>
      <c r="GM46" s="77"/>
      <c r="SJ46" s="77"/>
      <c r="TQ46" s="77"/>
      <c r="WJ46" s="77"/>
      <c r="XG46" s="77"/>
      <c r="AEZ46" s="77"/>
      <c r="AFG46" s="77"/>
      <c r="AHC46" s="77"/>
      <c r="AHN46" s="77"/>
      <c r="ALQ46" s="77"/>
      <c r="AYQ46" s="77"/>
      <c r="BBW46" s="77"/>
      <c r="BOW46" s="77"/>
      <c r="BRB46" s="77"/>
      <c r="BUS46" s="77"/>
      <c r="BWK46" s="77"/>
      <c r="CDB46" s="77"/>
      <c r="CIE46" s="77"/>
      <c r="CJY46" s="77"/>
      <c r="CNP46" s="77"/>
      <c r="CVA46" s="77"/>
      <c r="DAR46" s="77"/>
      <c r="DEG46" s="77"/>
      <c r="DEJ46" s="77"/>
      <c r="DEZ46" s="77"/>
      <c r="DKR46" s="77"/>
      <c r="DLQ46" s="77"/>
      <c r="DNH46" s="77"/>
      <c r="DWM46" s="77"/>
    </row>
    <row r="47" spans="1:1005 1130:1961 2134:3033 3076:3315" ht="15" customHeight="1">
      <c r="A47" s="97"/>
      <c r="B47" s="105" t="s">
        <v>149</v>
      </c>
      <c r="C47" s="99"/>
      <c r="D47" s="100">
        <v>14.803000000000001</v>
      </c>
      <c r="E47" s="102">
        <v>0.03</v>
      </c>
      <c r="F47" s="102">
        <v>-0.04</v>
      </c>
      <c r="G47" s="18">
        <f t="shared" si="16"/>
        <v>14.833</v>
      </c>
      <c r="H47" s="23">
        <f t="shared" si="17"/>
        <v>14.763000000000002</v>
      </c>
      <c r="I47" s="27"/>
      <c r="J47" s="3"/>
      <c r="K47" s="3"/>
      <c r="L47" s="3"/>
      <c r="M47" s="3"/>
      <c r="N47" s="3"/>
      <c r="O47" s="3"/>
      <c r="P47" s="3"/>
      <c r="Q47" s="3"/>
      <c r="S47" s="103">
        <f t="shared" si="0"/>
        <v>0</v>
      </c>
      <c r="T47" s="103">
        <f t="shared" si="1"/>
        <v>0</v>
      </c>
      <c r="U47" s="104">
        <f t="shared" si="2"/>
        <v>14.803000000000001</v>
      </c>
      <c r="V47" s="104">
        <f t="shared" si="3"/>
        <v>14.803000000000001</v>
      </c>
      <c r="X47" s="103" t="e">
        <f t="shared" si="4"/>
        <v>#REF!</v>
      </c>
      <c r="Y47" s="103" t="e">
        <f t="shared" si="5"/>
        <v>#REF!</v>
      </c>
      <c r="Z47" s="104" t="e">
        <f t="shared" si="6"/>
        <v>#REF!</v>
      </c>
      <c r="AA47" s="104" t="e">
        <f t="shared" si="7"/>
        <v>#REF!</v>
      </c>
      <c r="AC47" s="103" t="e">
        <f t="shared" si="8"/>
        <v>#REF!</v>
      </c>
      <c r="AD47" s="103" t="e">
        <f t="shared" si="9"/>
        <v>#REF!</v>
      </c>
      <c r="AE47" s="104" t="e">
        <f t="shared" si="10"/>
        <v>#REF!</v>
      </c>
      <c r="AF47" s="104" t="e">
        <f t="shared" si="11"/>
        <v>#REF!</v>
      </c>
      <c r="AH47" s="103" t="e">
        <f t="shared" si="12"/>
        <v>#REF!</v>
      </c>
      <c r="AI47" s="103" t="e">
        <f t="shared" si="13"/>
        <v>#REF!</v>
      </c>
      <c r="AJ47" s="104" t="e">
        <f t="shared" si="14"/>
        <v>#REF!</v>
      </c>
      <c r="AK47" s="104" t="e">
        <f t="shared" si="15"/>
        <v>#REF!</v>
      </c>
      <c r="DJ47" s="77"/>
      <c r="EV47" s="77"/>
      <c r="GM47" s="77"/>
      <c r="SJ47" s="77"/>
      <c r="TQ47" s="77"/>
      <c r="WJ47" s="77"/>
      <c r="XG47" s="77"/>
      <c r="AEZ47" s="77"/>
      <c r="AFG47" s="77"/>
      <c r="AHC47" s="77"/>
      <c r="AHN47" s="77"/>
      <c r="ALQ47" s="77"/>
      <c r="AYQ47" s="77"/>
      <c r="BBW47" s="77"/>
      <c r="BOW47" s="77"/>
      <c r="BRB47" s="77"/>
      <c r="BUS47" s="77"/>
      <c r="BWK47" s="77"/>
      <c r="CDB47" s="77"/>
      <c r="CIE47" s="77"/>
      <c r="CJY47" s="77"/>
      <c r="CNP47" s="77"/>
      <c r="CVA47" s="77"/>
      <c r="DAR47" s="77"/>
      <c r="DEG47" s="77"/>
      <c r="DEJ47" s="77"/>
      <c r="DEZ47" s="77"/>
      <c r="DKR47" s="77"/>
      <c r="DLQ47" s="77"/>
      <c r="DNH47" s="77"/>
      <c r="DWM47" s="77"/>
    </row>
    <row r="48" spans="1:1005 1130:1961 2134:3033 3076:3315" ht="15" customHeight="1">
      <c r="A48" s="97"/>
      <c r="B48" s="105" t="s">
        <v>150</v>
      </c>
      <c r="C48" s="99"/>
      <c r="D48" s="100">
        <v>11.644</v>
      </c>
      <c r="E48" s="102">
        <v>0.03</v>
      </c>
      <c r="F48" s="102">
        <v>-0.03</v>
      </c>
      <c r="G48" s="18">
        <f t="shared" si="16"/>
        <v>11.673999999999999</v>
      </c>
      <c r="H48" s="23">
        <f t="shared" si="17"/>
        <v>11.614000000000001</v>
      </c>
      <c r="I48" s="27"/>
      <c r="J48" s="3"/>
      <c r="K48" s="3"/>
      <c r="L48" s="3"/>
      <c r="M48" s="3"/>
      <c r="N48" s="3"/>
      <c r="O48" s="3"/>
      <c r="P48" s="3"/>
      <c r="Q48" s="3"/>
      <c r="S48" s="103">
        <f t="shared" si="0"/>
        <v>0</v>
      </c>
      <c r="T48" s="103">
        <f t="shared" si="1"/>
        <v>0</v>
      </c>
      <c r="U48" s="104">
        <f t="shared" si="2"/>
        <v>11.644</v>
      </c>
      <c r="V48" s="104">
        <f t="shared" si="3"/>
        <v>11.644</v>
      </c>
      <c r="X48" s="103" t="e">
        <f t="shared" si="4"/>
        <v>#REF!</v>
      </c>
      <c r="Y48" s="103" t="e">
        <f t="shared" si="5"/>
        <v>#REF!</v>
      </c>
      <c r="Z48" s="104" t="e">
        <f t="shared" si="6"/>
        <v>#REF!</v>
      </c>
      <c r="AA48" s="104" t="e">
        <f t="shared" si="7"/>
        <v>#REF!</v>
      </c>
      <c r="AC48" s="103" t="e">
        <f t="shared" si="8"/>
        <v>#REF!</v>
      </c>
      <c r="AD48" s="103" t="e">
        <f t="shared" si="9"/>
        <v>#REF!</v>
      </c>
      <c r="AE48" s="104" t="e">
        <f t="shared" si="10"/>
        <v>#REF!</v>
      </c>
      <c r="AF48" s="104" t="e">
        <f t="shared" si="11"/>
        <v>#REF!</v>
      </c>
      <c r="AH48" s="103" t="e">
        <f t="shared" si="12"/>
        <v>#REF!</v>
      </c>
      <c r="AI48" s="103" t="e">
        <f t="shared" si="13"/>
        <v>#REF!</v>
      </c>
      <c r="AJ48" s="104" t="e">
        <f t="shared" si="14"/>
        <v>#REF!</v>
      </c>
      <c r="AK48" s="104" t="e">
        <f t="shared" si="15"/>
        <v>#REF!</v>
      </c>
      <c r="DJ48" s="77"/>
      <c r="EV48" s="77"/>
      <c r="GM48" s="77"/>
      <c r="SJ48" s="77"/>
      <c r="TQ48" s="77"/>
      <c r="WJ48" s="77"/>
      <c r="XG48" s="77"/>
      <c r="AEZ48" s="77"/>
      <c r="AFG48" s="77"/>
      <c r="AHC48" s="77"/>
      <c r="AHN48" s="77"/>
      <c r="ALQ48" s="77"/>
      <c r="AYQ48" s="77"/>
      <c r="BBW48" s="77"/>
      <c r="BOW48" s="77"/>
      <c r="BRB48" s="77"/>
      <c r="BUS48" s="77"/>
      <c r="BWK48" s="77"/>
      <c r="CDB48" s="77"/>
      <c r="CIE48" s="77"/>
      <c r="CJY48" s="77"/>
      <c r="CNP48" s="77"/>
      <c r="CVA48" s="77"/>
      <c r="DAR48" s="77"/>
      <c r="DEG48" s="77"/>
      <c r="DEJ48" s="77"/>
      <c r="DEZ48" s="77"/>
      <c r="DKR48" s="77"/>
      <c r="DLQ48" s="77"/>
      <c r="DNH48" s="77"/>
      <c r="DWM48" s="77"/>
    </row>
    <row r="49" spans="1:995 1029:2000 2058:3015 3118:3398" ht="15" customHeight="1">
      <c r="A49" s="97"/>
      <c r="B49" s="105" t="s">
        <v>151</v>
      </c>
      <c r="C49" s="99"/>
      <c r="D49" s="100">
        <v>0.86</v>
      </c>
      <c r="E49" s="102">
        <v>0.03</v>
      </c>
      <c r="F49" s="102">
        <v>-0.03</v>
      </c>
      <c r="G49" s="18">
        <f t="shared" si="16"/>
        <v>0.89</v>
      </c>
      <c r="H49" s="23">
        <f t="shared" si="17"/>
        <v>0.83</v>
      </c>
      <c r="I49" s="27"/>
      <c r="J49" s="3"/>
      <c r="K49" s="3"/>
      <c r="L49" s="3"/>
      <c r="M49" s="3"/>
      <c r="N49" s="3"/>
      <c r="O49" s="3"/>
      <c r="P49" s="3"/>
      <c r="Q49" s="3"/>
      <c r="S49" s="103">
        <f t="shared" si="0"/>
        <v>0</v>
      </c>
      <c r="T49" s="103">
        <f t="shared" si="1"/>
        <v>0</v>
      </c>
      <c r="U49" s="104">
        <f t="shared" si="2"/>
        <v>0.86</v>
      </c>
      <c r="V49" s="104">
        <f t="shared" si="3"/>
        <v>0.86</v>
      </c>
      <c r="X49" s="103" t="e">
        <f t="shared" si="4"/>
        <v>#REF!</v>
      </c>
      <c r="Y49" s="103" t="e">
        <f t="shared" si="5"/>
        <v>#REF!</v>
      </c>
      <c r="Z49" s="104" t="e">
        <f t="shared" si="6"/>
        <v>#REF!</v>
      </c>
      <c r="AA49" s="104" t="e">
        <f t="shared" si="7"/>
        <v>#REF!</v>
      </c>
      <c r="AC49" s="103" t="e">
        <f t="shared" si="8"/>
        <v>#REF!</v>
      </c>
      <c r="AD49" s="103" t="e">
        <f t="shared" si="9"/>
        <v>#REF!</v>
      </c>
      <c r="AE49" s="104" t="e">
        <f t="shared" si="10"/>
        <v>#REF!</v>
      </c>
      <c r="AF49" s="104" t="e">
        <f t="shared" si="11"/>
        <v>#REF!</v>
      </c>
      <c r="AH49" s="103" t="e">
        <f t="shared" si="12"/>
        <v>#REF!</v>
      </c>
      <c r="AI49" s="103" t="e">
        <f t="shared" si="13"/>
        <v>#REF!</v>
      </c>
      <c r="AJ49" s="104" t="e">
        <f t="shared" si="14"/>
        <v>#REF!</v>
      </c>
      <c r="AK49" s="104" t="e">
        <f t="shared" si="15"/>
        <v>#REF!</v>
      </c>
      <c r="AT49" s="77"/>
      <c r="CN49" s="77"/>
      <c r="LV49" s="77"/>
      <c r="MB49" s="77"/>
      <c r="RG49" s="77"/>
      <c r="SX49" s="77"/>
      <c r="TC49" s="77"/>
      <c r="VN49" s="77"/>
      <c r="ZO49" s="77"/>
      <c r="ZR49" s="77"/>
      <c r="ACC49" s="77"/>
      <c r="ACM49" s="77"/>
      <c r="ACV49" s="77"/>
      <c r="ADC49" s="77"/>
      <c r="ADP49" s="77"/>
      <c r="AEA49" s="77"/>
      <c r="AEJ49" s="77"/>
      <c r="AFC49" s="77"/>
      <c r="AKO49" s="77"/>
      <c r="ALC49" s="77"/>
      <c r="AMO49" s="77"/>
      <c r="BQU49" s="77"/>
      <c r="DJI49" s="77"/>
      <c r="DOX49" s="77"/>
    </row>
    <row r="50" spans="1:995 1029:2000 2058:3015 3118:3398" ht="15" customHeight="1">
      <c r="A50" s="97"/>
      <c r="B50" s="105" t="s">
        <v>152</v>
      </c>
      <c r="C50" s="99"/>
      <c r="D50" s="100">
        <v>9.9390000000000001</v>
      </c>
      <c r="E50" s="102">
        <v>0.03</v>
      </c>
      <c r="F50" s="102">
        <v>-0.03</v>
      </c>
      <c r="G50" s="18">
        <f t="shared" si="16"/>
        <v>9.9689999999999994</v>
      </c>
      <c r="H50" s="23">
        <f t="shared" si="17"/>
        <v>9.9090000000000007</v>
      </c>
      <c r="I50" s="27"/>
      <c r="J50" s="3"/>
      <c r="K50" s="3"/>
      <c r="L50" s="3"/>
      <c r="M50" s="3"/>
      <c r="N50" s="3"/>
      <c r="O50" s="3"/>
      <c r="P50" s="3"/>
      <c r="Q50" s="3"/>
      <c r="S50" s="103">
        <f t="shared" si="0"/>
        <v>0</v>
      </c>
      <c r="T50" s="103">
        <f t="shared" si="1"/>
        <v>0</v>
      </c>
      <c r="U50" s="104">
        <f t="shared" si="2"/>
        <v>9.9390000000000001</v>
      </c>
      <c r="V50" s="104">
        <f t="shared" si="3"/>
        <v>9.9390000000000001</v>
      </c>
      <c r="X50" s="103" t="e">
        <f t="shared" si="4"/>
        <v>#REF!</v>
      </c>
      <c r="Y50" s="103" t="e">
        <f t="shared" si="5"/>
        <v>#REF!</v>
      </c>
      <c r="Z50" s="104" t="e">
        <f t="shared" si="6"/>
        <v>#REF!</v>
      </c>
      <c r="AA50" s="104" t="e">
        <f t="shared" si="7"/>
        <v>#REF!</v>
      </c>
      <c r="AC50" s="103" t="e">
        <f t="shared" si="8"/>
        <v>#REF!</v>
      </c>
      <c r="AD50" s="103" t="e">
        <f t="shared" si="9"/>
        <v>#REF!</v>
      </c>
      <c r="AE50" s="104" t="e">
        <f t="shared" si="10"/>
        <v>#REF!</v>
      </c>
      <c r="AF50" s="104" t="e">
        <f t="shared" si="11"/>
        <v>#REF!</v>
      </c>
      <c r="AH50" s="103" t="e">
        <f t="shared" si="12"/>
        <v>#REF!</v>
      </c>
      <c r="AI50" s="103" t="e">
        <f t="shared" si="13"/>
        <v>#REF!</v>
      </c>
      <c r="AJ50" s="104" t="e">
        <f t="shared" si="14"/>
        <v>#REF!</v>
      </c>
      <c r="AK50" s="104" t="e">
        <f t="shared" si="15"/>
        <v>#REF!</v>
      </c>
      <c r="EI50" s="77"/>
      <c r="PW50" s="77"/>
      <c r="QQ50" s="77"/>
      <c r="TQ50" s="77"/>
      <c r="TX50" s="77"/>
      <c r="UG50" s="77"/>
      <c r="UP50" s="77"/>
      <c r="XG50" s="77"/>
      <c r="XU50" s="77"/>
      <c r="YW50" s="77"/>
      <c r="ZR50" s="77"/>
      <c r="ZX50" s="77"/>
      <c r="ACV50" s="77"/>
      <c r="ADF50" s="77"/>
      <c r="ADR50" s="77"/>
      <c r="AHN50" s="77"/>
      <c r="AQQ50" s="77"/>
      <c r="ARE50" s="77"/>
      <c r="AZL50" s="77"/>
      <c r="BER50" s="77"/>
      <c r="BHS50" s="77"/>
      <c r="BMD50" s="77"/>
      <c r="BUR50" s="77"/>
      <c r="BUU50" s="77"/>
      <c r="BVX50" s="77"/>
      <c r="CAD50" s="77"/>
      <c r="CAO50" s="77"/>
      <c r="CWU50" s="77"/>
      <c r="CZG50" s="77"/>
      <c r="DET50" s="77"/>
      <c r="DIG50" s="77"/>
      <c r="DRF50" s="77"/>
    </row>
    <row r="51" spans="1:995 1029:2000 2058:3015 3118:3398" ht="15" customHeight="1">
      <c r="A51" s="97"/>
      <c r="B51" s="105" t="s">
        <v>153</v>
      </c>
      <c r="C51" s="99"/>
      <c r="D51" s="100">
        <v>9.9390000000000001</v>
      </c>
      <c r="E51" s="102">
        <v>0.03</v>
      </c>
      <c r="F51" s="102">
        <v>-0.03</v>
      </c>
      <c r="G51" s="18">
        <f t="shared" si="16"/>
        <v>9.9689999999999994</v>
      </c>
      <c r="H51" s="23">
        <f t="shared" si="17"/>
        <v>9.9090000000000007</v>
      </c>
      <c r="I51" s="27"/>
      <c r="J51" s="3"/>
      <c r="K51" s="3"/>
      <c r="L51" s="3"/>
      <c r="M51" s="3"/>
      <c r="N51" s="3"/>
      <c r="O51" s="3"/>
      <c r="P51" s="3"/>
      <c r="Q51" s="3"/>
      <c r="S51" s="103">
        <f t="shared" si="0"/>
        <v>0</v>
      </c>
      <c r="T51" s="103">
        <f t="shared" si="1"/>
        <v>0</v>
      </c>
      <c r="U51" s="104">
        <f t="shared" si="2"/>
        <v>9.9390000000000001</v>
      </c>
      <c r="V51" s="104">
        <f t="shared" si="3"/>
        <v>9.9390000000000001</v>
      </c>
      <c r="X51" s="103" t="e">
        <f t="shared" si="4"/>
        <v>#REF!</v>
      </c>
      <c r="Y51" s="103" t="e">
        <f t="shared" si="5"/>
        <v>#REF!</v>
      </c>
      <c r="Z51" s="104" t="e">
        <f t="shared" si="6"/>
        <v>#REF!</v>
      </c>
      <c r="AA51" s="104" t="e">
        <f t="shared" si="7"/>
        <v>#REF!</v>
      </c>
      <c r="AC51" s="103" t="e">
        <f t="shared" si="8"/>
        <v>#REF!</v>
      </c>
      <c r="AD51" s="103" t="e">
        <f t="shared" si="9"/>
        <v>#REF!</v>
      </c>
      <c r="AE51" s="104" t="e">
        <f t="shared" si="10"/>
        <v>#REF!</v>
      </c>
      <c r="AF51" s="104" t="e">
        <f t="shared" si="11"/>
        <v>#REF!</v>
      </c>
      <c r="AH51" s="103" t="e">
        <f t="shared" si="12"/>
        <v>#REF!</v>
      </c>
      <c r="AI51" s="103" t="e">
        <f t="shared" si="13"/>
        <v>#REF!</v>
      </c>
      <c r="AJ51" s="104" t="e">
        <f t="shared" si="14"/>
        <v>#REF!</v>
      </c>
      <c r="AK51" s="104" t="e">
        <f t="shared" si="15"/>
        <v>#REF!</v>
      </c>
      <c r="CH51" s="77"/>
      <c r="HM51" s="77"/>
      <c r="HR51" s="77"/>
      <c r="NG51" s="77"/>
      <c r="QF51" s="77"/>
      <c r="SJ51" s="77"/>
      <c r="UX51" s="77"/>
      <c r="VV51" s="77"/>
      <c r="ALG51" s="77"/>
      <c r="APV51" s="77"/>
      <c r="AWA51" s="77"/>
      <c r="BCZ51" s="77"/>
      <c r="BFE51" s="77"/>
      <c r="BLU51" s="77"/>
      <c r="BMN51" s="77"/>
      <c r="BPT51" s="77"/>
      <c r="BWJ51" s="77"/>
      <c r="BXX51" s="77"/>
      <c r="CJH51" s="77"/>
      <c r="CKQ51" s="77"/>
      <c r="CRV51" s="77"/>
      <c r="CWM51" s="77"/>
      <c r="CYH51" s="77"/>
      <c r="DAI51" s="77"/>
      <c r="DDB51" s="77"/>
      <c r="DDR51" s="77"/>
      <c r="DEJ51" s="77"/>
      <c r="DGS51" s="77"/>
      <c r="DII51" s="77"/>
      <c r="DPM51" s="77"/>
      <c r="DRY51" s="77"/>
      <c r="DUS51" s="77"/>
      <c r="DXI51" s="77"/>
    </row>
    <row r="52" spans="1:995 1029:2000 2058:3015 3118:3398" ht="15" customHeight="1">
      <c r="A52" s="97"/>
      <c r="B52" s="105" t="s">
        <v>154</v>
      </c>
      <c r="C52" s="99"/>
      <c r="D52" s="100">
        <v>0.57499999999999996</v>
      </c>
      <c r="E52" s="102">
        <v>0.03</v>
      </c>
      <c r="F52" s="102">
        <v>-0.03</v>
      </c>
      <c r="G52" s="18">
        <f t="shared" si="16"/>
        <v>0.60499999999999998</v>
      </c>
      <c r="H52" s="23">
        <f t="shared" si="17"/>
        <v>0.54499999999999993</v>
      </c>
      <c r="I52" s="27"/>
      <c r="J52" s="3"/>
      <c r="K52" s="3"/>
      <c r="L52" s="3"/>
      <c r="M52" s="3"/>
      <c r="N52" s="3"/>
      <c r="O52" s="3"/>
      <c r="P52" s="3"/>
      <c r="Q52" s="3"/>
      <c r="S52" s="103">
        <f t="shared" si="0"/>
        <v>0</v>
      </c>
      <c r="T52" s="103">
        <f t="shared" si="1"/>
        <v>0</v>
      </c>
      <c r="U52" s="104">
        <f t="shared" si="2"/>
        <v>0.57499999999999996</v>
      </c>
      <c r="V52" s="104">
        <f t="shared" si="3"/>
        <v>0.57499999999999996</v>
      </c>
      <c r="X52" s="103" t="e">
        <f t="shared" si="4"/>
        <v>#REF!</v>
      </c>
      <c r="Y52" s="103" t="e">
        <f t="shared" si="5"/>
        <v>#REF!</v>
      </c>
      <c r="Z52" s="104" t="e">
        <f t="shared" si="6"/>
        <v>#REF!</v>
      </c>
      <c r="AA52" s="104" t="e">
        <f t="shared" si="7"/>
        <v>#REF!</v>
      </c>
      <c r="AC52" s="103" t="e">
        <f t="shared" si="8"/>
        <v>#REF!</v>
      </c>
      <c r="AD52" s="103" t="e">
        <f t="shared" si="9"/>
        <v>#REF!</v>
      </c>
      <c r="AE52" s="104" t="e">
        <f t="shared" si="10"/>
        <v>#REF!</v>
      </c>
      <c r="AF52" s="104" t="e">
        <f t="shared" si="11"/>
        <v>#REF!</v>
      </c>
      <c r="AH52" s="103" t="e">
        <f t="shared" si="12"/>
        <v>#REF!</v>
      </c>
      <c r="AI52" s="103" t="e">
        <f t="shared" si="13"/>
        <v>#REF!</v>
      </c>
      <c r="AJ52" s="104" t="e">
        <f t="shared" si="14"/>
        <v>#REF!</v>
      </c>
      <c r="AK52" s="104" t="e">
        <f t="shared" si="15"/>
        <v>#REF!</v>
      </c>
      <c r="EI52" s="77"/>
      <c r="PW52" s="77"/>
      <c r="QQ52" s="77"/>
      <c r="TQ52" s="77"/>
      <c r="TX52" s="77"/>
      <c r="UG52" s="77"/>
      <c r="UP52" s="77"/>
      <c r="XG52" s="77"/>
      <c r="XU52" s="77"/>
      <c r="YW52" s="77"/>
      <c r="ZR52" s="77"/>
      <c r="ZX52" s="77"/>
      <c r="ACV52" s="77"/>
      <c r="ADF52" s="77"/>
      <c r="ADR52" s="77"/>
      <c r="AHN52" s="77"/>
      <c r="AQQ52" s="77"/>
      <c r="ARE52" s="77"/>
      <c r="AZL52" s="77"/>
      <c r="BER52" s="77"/>
      <c r="BHS52" s="77"/>
      <c r="BMD52" s="77"/>
      <c r="BUR52" s="77"/>
      <c r="BUU52" s="77"/>
      <c r="BVX52" s="77"/>
      <c r="CAD52" s="77"/>
      <c r="CAO52" s="77"/>
      <c r="CWU52" s="77"/>
      <c r="CZG52" s="77"/>
      <c r="DET52" s="77"/>
      <c r="DIG52" s="77"/>
      <c r="DRF52" s="77"/>
    </row>
    <row r="53" spans="1:995 1029:2000 2058:3015 3118:3398" ht="15" customHeight="1">
      <c r="A53" s="97"/>
      <c r="B53" s="105" t="s">
        <v>155</v>
      </c>
      <c r="C53" s="99"/>
      <c r="D53" s="100">
        <v>0.57499999999999996</v>
      </c>
      <c r="E53" s="102">
        <v>0.03</v>
      </c>
      <c r="F53" s="102">
        <v>-0.03</v>
      </c>
      <c r="G53" s="18">
        <f t="shared" si="16"/>
        <v>0.60499999999999998</v>
      </c>
      <c r="H53" s="23">
        <f t="shared" si="17"/>
        <v>0.54499999999999993</v>
      </c>
      <c r="I53" s="27"/>
      <c r="J53" s="3"/>
      <c r="K53" s="3"/>
      <c r="L53" s="3"/>
      <c r="M53" s="3"/>
      <c r="N53" s="3"/>
      <c r="O53" s="3"/>
      <c r="P53" s="3"/>
      <c r="Q53" s="3"/>
      <c r="S53" s="103">
        <f t="shared" si="0"/>
        <v>0</v>
      </c>
      <c r="T53" s="103">
        <f t="shared" si="1"/>
        <v>0</v>
      </c>
      <c r="U53" s="104">
        <f t="shared" si="2"/>
        <v>0.57499999999999996</v>
      </c>
      <c r="V53" s="104">
        <f t="shared" si="3"/>
        <v>0.57499999999999996</v>
      </c>
      <c r="X53" s="103" t="e">
        <f t="shared" si="4"/>
        <v>#REF!</v>
      </c>
      <c r="Y53" s="103" t="e">
        <f t="shared" si="5"/>
        <v>#REF!</v>
      </c>
      <c r="Z53" s="104" t="e">
        <f t="shared" si="6"/>
        <v>#REF!</v>
      </c>
      <c r="AA53" s="104" t="e">
        <f t="shared" si="7"/>
        <v>#REF!</v>
      </c>
      <c r="AC53" s="103" t="e">
        <f t="shared" si="8"/>
        <v>#REF!</v>
      </c>
      <c r="AD53" s="103" t="e">
        <f t="shared" si="9"/>
        <v>#REF!</v>
      </c>
      <c r="AE53" s="104" t="e">
        <f t="shared" si="10"/>
        <v>#REF!</v>
      </c>
      <c r="AF53" s="104" t="e">
        <f t="shared" si="11"/>
        <v>#REF!</v>
      </c>
      <c r="AH53" s="103" t="e">
        <f t="shared" si="12"/>
        <v>#REF!</v>
      </c>
      <c r="AI53" s="103" t="e">
        <f t="shared" si="13"/>
        <v>#REF!</v>
      </c>
      <c r="AJ53" s="104" t="e">
        <f t="shared" si="14"/>
        <v>#REF!</v>
      </c>
      <c r="AK53" s="104" t="e">
        <f t="shared" si="15"/>
        <v>#REF!</v>
      </c>
      <c r="CH53" s="77"/>
      <c r="HM53" s="77"/>
      <c r="HR53" s="77"/>
      <c r="NG53" s="77"/>
      <c r="QF53" s="77"/>
      <c r="SJ53" s="77"/>
      <c r="UX53" s="77"/>
      <c r="VV53" s="77"/>
      <c r="ALG53" s="77"/>
      <c r="APV53" s="77"/>
      <c r="AWA53" s="77"/>
      <c r="BCZ53" s="77"/>
      <c r="BFE53" s="77"/>
      <c r="BLU53" s="77"/>
      <c r="BMN53" s="77"/>
      <c r="BPT53" s="77"/>
      <c r="BWJ53" s="77"/>
      <c r="BXX53" s="77"/>
      <c r="CJH53" s="77"/>
      <c r="CKQ53" s="77"/>
      <c r="CRV53" s="77"/>
      <c r="CWM53" s="77"/>
      <c r="CYH53" s="77"/>
      <c r="DAI53" s="77"/>
      <c r="DDB53" s="77"/>
      <c r="DDR53" s="77"/>
      <c r="DEJ53" s="77"/>
      <c r="DGS53" s="77"/>
      <c r="DII53" s="77"/>
      <c r="DPM53" s="77"/>
      <c r="DRY53" s="77"/>
      <c r="DUS53" s="77"/>
      <c r="DXI53" s="77"/>
    </row>
    <row r="54" spans="1:995 1029:2000 2058:3015 3118:3398" ht="15" customHeight="1">
      <c r="A54" s="97"/>
      <c r="B54" s="105" t="s">
        <v>156</v>
      </c>
      <c r="C54" s="99"/>
      <c r="D54" s="100">
        <v>1.125</v>
      </c>
      <c r="E54" s="102">
        <v>0.03</v>
      </c>
      <c r="F54" s="102">
        <v>-0.03</v>
      </c>
      <c r="G54" s="18">
        <f t="shared" si="16"/>
        <v>1.155</v>
      </c>
      <c r="H54" s="23">
        <f t="shared" si="17"/>
        <v>1.095</v>
      </c>
      <c r="I54" s="27"/>
      <c r="J54" s="3"/>
      <c r="K54" s="3"/>
      <c r="L54" s="3"/>
      <c r="M54" s="3"/>
      <c r="N54" s="3"/>
      <c r="O54" s="3"/>
      <c r="P54" s="3"/>
      <c r="Q54" s="3"/>
      <c r="S54" s="103">
        <f t="shared" si="0"/>
        <v>0</v>
      </c>
      <c r="T54" s="103">
        <f t="shared" si="1"/>
        <v>0</v>
      </c>
      <c r="U54" s="104">
        <f t="shared" si="2"/>
        <v>1.125</v>
      </c>
      <c r="V54" s="104">
        <f t="shared" si="3"/>
        <v>1.125</v>
      </c>
      <c r="X54" s="103" t="e">
        <f t="shared" si="4"/>
        <v>#REF!</v>
      </c>
      <c r="Y54" s="103" t="e">
        <f t="shared" si="5"/>
        <v>#REF!</v>
      </c>
      <c r="Z54" s="104" t="e">
        <f t="shared" si="6"/>
        <v>#REF!</v>
      </c>
      <c r="AA54" s="104" t="e">
        <f t="shared" si="7"/>
        <v>#REF!</v>
      </c>
      <c r="AC54" s="103" t="e">
        <f t="shared" si="8"/>
        <v>#REF!</v>
      </c>
      <c r="AD54" s="103" t="e">
        <f t="shared" si="9"/>
        <v>#REF!</v>
      </c>
      <c r="AE54" s="104" t="e">
        <f t="shared" si="10"/>
        <v>#REF!</v>
      </c>
      <c r="AF54" s="104" t="e">
        <f t="shared" si="11"/>
        <v>#REF!</v>
      </c>
      <c r="AH54" s="103" t="e">
        <f t="shared" si="12"/>
        <v>#REF!</v>
      </c>
      <c r="AI54" s="103" t="e">
        <f t="shared" si="13"/>
        <v>#REF!</v>
      </c>
      <c r="AJ54" s="104" t="e">
        <f t="shared" si="14"/>
        <v>#REF!</v>
      </c>
      <c r="AK54" s="104" t="e">
        <f t="shared" si="15"/>
        <v>#REF!</v>
      </c>
      <c r="AX54" s="77"/>
      <c r="LW54" s="77"/>
      <c r="SE54" s="77"/>
      <c r="SO54" s="77"/>
      <c r="SV54" s="77"/>
      <c r="VK54" s="77"/>
      <c r="WY54" s="77"/>
      <c r="ADQ54" s="77"/>
      <c r="AIP54" s="77"/>
      <c r="AKU54" s="77"/>
      <c r="ARN54" s="77"/>
      <c r="BCZ54" s="77"/>
      <c r="BID54" s="77"/>
      <c r="BJT54" s="77"/>
      <c r="BKL54" s="77"/>
      <c r="BPT54" s="77"/>
      <c r="BVZ54" s="77"/>
      <c r="CAG54" s="77"/>
      <c r="CKT54" s="77"/>
      <c r="CNT54" s="77"/>
      <c r="CTI54" s="77"/>
      <c r="CUZ54" s="77"/>
      <c r="CVE54" s="77"/>
      <c r="CWG54" s="77"/>
      <c r="DEW54" s="77"/>
      <c r="DHC54" s="77"/>
      <c r="DJU54" s="77"/>
      <c r="DKT54" s="77"/>
      <c r="DKY54" s="77"/>
      <c r="DOX54" s="77"/>
      <c r="DZR54" s="77"/>
    </row>
    <row r="55" spans="1:995 1029:2000 2058:3015 3118:3398" ht="15" customHeight="1">
      <c r="A55" s="97"/>
      <c r="B55" s="105" t="s">
        <v>157</v>
      </c>
      <c r="C55" s="99"/>
      <c r="D55" s="100">
        <v>3.899</v>
      </c>
      <c r="E55" s="102">
        <v>0.03</v>
      </c>
      <c r="F55" s="102">
        <v>-0.03</v>
      </c>
      <c r="G55" s="18">
        <f t="shared" si="16"/>
        <v>3.9289999999999998</v>
      </c>
      <c r="H55" s="23">
        <f t="shared" si="17"/>
        <v>3.8690000000000002</v>
      </c>
      <c r="I55" s="27"/>
      <c r="J55" s="3"/>
      <c r="K55" s="3"/>
      <c r="L55" s="3"/>
      <c r="M55" s="3"/>
      <c r="N55" s="3"/>
      <c r="O55" s="3"/>
      <c r="P55" s="3"/>
      <c r="Q55" s="3"/>
      <c r="S55" s="103">
        <f t="shared" si="0"/>
        <v>0</v>
      </c>
      <c r="T55" s="103">
        <f t="shared" si="1"/>
        <v>0</v>
      </c>
      <c r="U55" s="104">
        <f t="shared" si="2"/>
        <v>3.899</v>
      </c>
      <c r="V55" s="104">
        <f t="shared" si="3"/>
        <v>3.899</v>
      </c>
      <c r="X55" s="103" t="e">
        <f t="shared" si="4"/>
        <v>#REF!</v>
      </c>
      <c r="Y55" s="103" t="e">
        <f t="shared" si="5"/>
        <v>#REF!</v>
      </c>
      <c r="Z55" s="104" t="e">
        <f t="shared" si="6"/>
        <v>#REF!</v>
      </c>
      <c r="AA55" s="104" t="e">
        <f t="shared" si="7"/>
        <v>#REF!</v>
      </c>
      <c r="AC55" s="103" t="e">
        <f t="shared" si="8"/>
        <v>#REF!</v>
      </c>
      <c r="AD55" s="103" t="e">
        <f t="shared" si="9"/>
        <v>#REF!</v>
      </c>
      <c r="AE55" s="104" t="e">
        <f t="shared" si="10"/>
        <v>#REF!</v>
      </c>
      <c r="AF55" s="104" t="e">
        <f t="shared" si="11"/>
        <v>#REF!</v>
      </c>
      <c r="AH55" s="103" t="e">
        <f t="shared" si="12"/>
        <v>#REF!</v>
      </c>
      <c r="AI55" s="103" t="e">
        <f t="shared" si="13"/>
        <v>#REF!</v>
      </c>
      <c r="AJ55" s="104" t="e">
        <f t="shared" si="14"/>
        <v>#REF!</v>
      </c>
      <c r="AK55" s="104" t="e">
        <f t="shared" si="15"/>
        <v>#REF!</v>
      </c>
    </row>
    <row r="56" spans="1:995 1029:2000 2058:3015 3118:3398" ht="15" customHeight="1">
      <c r="A56" s="97"/>
      <c r="B56" s="105" t="s">
        <v>158</v>
      </c>
      <c r="C56" s="99"/>
      <c r="D56" s="100">
        <v>3.899</v>
      </c>
      <c r="E56" s="102">
        <v>0.03</v>
      </c>
      <c r="F56" s="102">
        <v>-0.03</v>
      </c>
      <c r="G56" s="18">
        <f t="shared" si="16"/>
        <v>3.9289999999999998</v>
      </c>
      <c r="H56" s="23">
        <f t="shared" si="17"/>
        <v>3.8690000000000002</v>
      </c>
      <c r="I56" s="27"/>
      <c r="J56" s="3"/>
      <c r="K56" s="3"/>
      <c r="L56" s="3"/>
      <c r="M56" s="3"/>
      <c r="N56" s="3"/>
      <c r="O56" s="3"/>
      <c r="P56" s="3"/>
      <c r="Q56" s="3"/>
      <c r="S56" s="103">
        <f t="shared" si="0"/>
        <v>0</v>
      </c>
      <c r="T56" s="103">
        <f t="shared" si="1"/>
        <v>0</v>
      </c>
      <c r="U56" s="104">
        <f t="shared" si="2"/>
        <v>3.899</v>
      </c>
      <c r="V56" s="104">
        <f t="shared" si="3"/>
        <v>3.899</v>
      </c>
      <c r="X56" s="103" t="e">
        <f t="shared" si="4"/>
        <v>#REF!</v>
      </c>
      <c r="Y56" s="103" t="e">
        <f t="shared" si="5"/>
        <v>#REF!</v>
      </c>
      <c r="Z56" s="104" t="e">
        <f t="shared" si="6"/>
        <v>#REF!</v>
      </c>
      <c r="AA56" s="104" t="e">
        <f t="shared" si="7"/>
        <v>#REF!</v>
      </c>
      <c r="AC56" s="103" t="e">
        <f t="shared" si="8"/>
        <v>#REF!</v>
      </c>
      <c r="AD56" s="103" t="e">
        <f t="shared" si="9"/>
        <v>#REF!</v>
      </c>
      <c r="AE56" s="104" t="e">
        <f t="shared" si="10"/>
        <v>#REF!</v>
      </c>
      <c r="AF56" s="104" t="e">
        <f t="shared" si="11"/>
        <v>#REF!</v>
      </c>
      <c r="AH56" s="103" t="e">
        <f t="shared" si="12"/>
        <v>#REF!</v>
      </c>
      <c r="AI56" s="103" t="e">
        <f t="shared" si="13"/>
        <v>#REF!</v>
      </c>
      <c r="AJ56" s="104" t="e">
        <f t="shared" si="14"/>
        <v>#REF!</v>
      </c>
      <c r="AK56" s="104" t="e">
        <f t="shared" si="15"/>
        <v>#REF!</v>
      </c>
    </row>
    <row r="57" spans="1:995 1029:2000 2058:3015 3118:3398" ht="15" customHeight="1">
      <c r="A57" s="107"/>
      <c r="B57" s="108" t="s">
        <v>159</v>
      </c>
      <c r="C57" s="99"/>
      <c r="D57" s="100">
        <v>4.6340000000000003</v>
      </c>
      <c r="E57" s="102">
        <v>0.03</v>
      </c>
      <c r="F57" s="102">
        <v>-0.03</v>
      </c>
      <c r="G57" s="18">
        <f t="shared" si="16"/>
        <v>4.6640000000000006</v>
      </c>
      <c r="H57" s="23">
        <f t="shared" si="17"/>
        <v>4.6040000000000001</v>
      </c>
      <c r="I57" s="27"/>
      <c r="J57" s="3"/>
      <c r="K57" s="3"/>
      <c r="L57" s="3"/>
      <c r="M57" s="3"/>
      <c r="N57" s="3"/>
      <c r="O57" s="3"/>
      <c r="P57" s="3"/>
      <c r="Q57" s="3"/>
      <c r="S57" s="103">
        <f t="shared" si="0"/>
        <v>0</v>
      </c>
      <c r="T57" s="103">
        <f t="shared" si="1"/>
        <v>0</v>
      </c>
      <c r="U57" s="104">
        <f t="shared" si="2"/>
        <v>4.6340000000000003</v>
      </c>
      <c r="V57" s="104">
        <f t="shared" si="3"/>
        <v>4.6340000000000003</v>
      </c>
      <c r="X57" s="103" t="e">
        <f t="shared" si="4"/>
        <v>#REF!</v>
      </c>
      <c r="Y57" s="103" t="e">
        <f t="shared" si="5"/>
        <v>#REF!</v>
      </c>
      <c r="Z57" s="104" t="e">
        <f t="shared" si="6"/>
        <v>#REF!</v>
      </c>
      <c r="AA57" s="104" t="e">
        <f t="shared" si="7"/>
        <v>#REF!</v>
      </c>
      <c r="AC57" s="103" t="e">
        <f t="shared" si="8"/>
        <v>#REF!</v>
      </c>
      <c r="AD57" s="103" t="e">
        <f t="shared" si="9"/>
        <v>#REF!</v>
      </c>
      <c r="AE57" s="104" t="e">
        <f t="shared" si="10"/>
        <v>#REF!</v>
      </c>
      <c r="AF57" s="104" t="e">
        <f t="shared" si="11"/>
        <v>#REF!</v>
      </c>
      <c r="AH57" s="103" t="e">
        <f t="shared" si="12"/>
        <v>#REF!</v>
      </c>
      <c r="AI57" s="103" t="e">
        <f t="shared" si="13"/>
        <v>#REF!</v>
      </c>
      <c r="AJ57" s="104" t="e">
        <f t="shared" si="14"/>
        <v>#REF!</v>
      </c>
      <c r="AK57" s="104" t="e">
        <f t="shared" si="15"/>
        <v>#REF!</v>
      </c>
    </row>
    <row r="58" spans="1:995 1029:2000 2058:3015 3118:3398" ht="15" customHeight="1">
      <c r="A58" s="97"/>
      <c r="B58" s="106" t="s">
        <v>160</v>
      </c>
      <c r="C58" s="99"/>
      <c r="D58" s="100">
        <v>1.01</v>
      </c>
      <c r="E58" s="102">
        <v>0.03</v>
      </c>
      <c r="F58" s="102">
        <v>-0.03</v>
      </c>
      <c r="G58" s="18">
        <f t="shared" si="16"/>
        <v>1.04</v>
      </c>
      <c r="H58" s="23">
        <f t="shared" si="17"/>
        <v>0.98</v>
      </c>
      <c r="I58" s="27"/>
      <c r="J58" s="3"/>
      <c r="K58" s="3"/>
      <c r="L58" s="3"/>
      <c r="M58" s="3"/>
      <c r="N58" s="3"/>
      <c r="O58" s="3"/>
      <c r="P58" s="3"/>
      <c r="Q58" s="3"/>
      <c r="S58" s="103">
        <f t="shared" si="0"/>
        <v>0</v>
      </c>
      <c r="T58" s="103">
        <f t="shared" si="1"/>
        <v>0</v>
      </c>
      <c r="U58" s="104">
        <f t="shared" si="2"/>
        <v>1.01</v>
      </c>
      <c r="V58" s="104">
        <f t="shared" si="3"/>
        <v>1.01</v>
      </c>
      <c r="X58" s="103" t="e">
        <f t="shared" si="4"/>
        <v>#REF!</v>
      </c>
      <c r="Y58" s="103" t="e">
        <f t="shared" si="5"/>
        <v>#REF!</v>
      </c>
      <c r="Z58" s="104" t="e">
        <f t="shared" si="6"/>
        <v>#REF!</v>
      </c>
      <c r="AA58" s="104" t="e">
        <f t="shared" si="7"/>
        <v>#REF!</v>
      </c>
      <c r="AC58" s="103" t="e">
        <f t="shared" si="8"/>
        <v>#REF!</v>
      </c>
      <c r="AD58" s="103" t="e">
        <f t="shared" si="9"/>
        <v>#REF!</v>
      </c>
      <c r="AE58" s="104" t="e">
        <f t="shared" si="10"/>
        <v>#REF!</v>
      </c>
      <c r="AF58" s="104" t="e">
        <f t="shared" si="11"/>
        <v>#REF!</v>
      </c>
      <c r="AH58" s="103" t="e">
        <f t="shared" si="12"/>
        <v>#REF!</v>
      </c>
      <c r="AI58" s="103" t="e">
        <f t="shared" si="13"/>
        <v>#REF!</v>
      </c>
      <c r="AJ58" s="104" t="e">
        <f t="shared" si="14"/>
        <v>#REF!</v>
      </c>
      <c r="AK58" s="104" t="e">
        <f t="shared" si="15"/>
        <v>#REF!</v>
      </c>
    </row>
    <row r="59" spans="1:995 1029:2000 2058:3015 3118:3398" ht="15" customHeight="1">
      <c r="A59" s="97"/>
      <c r="B59" s="106" t="s">
        <v>161</v>
      </c>
      <c r="C59" s="99"/>
      <c r="D59" s="100">
        <v>11.074</v>
      </c>
      <c r="E59" s="102">
        <v>0.03</v>
      </c>
      <c r="F59" s="102">
        <v>-0.03</v>
      </c>
      <c r="G59" s="18">
        <f t="shared" si="16"/>
        <v>11.103999999999999</v>
      </c>
      <c r="H59" s="23">
        <f t="shared" si="17"/>
        <v>11.044</v>
      </c>
      <c r="I59" s="27"/>
      <c r="J59" s="3"/>
      <c r="K59" s="3"/>
      <c r="L59" s="3"/>
      <c r="M59" s="3"/>
      <c r="N59" s="3"/>
      <c r="O59" s="3"/>
      <c r="P59" s="3"/>
      <c r="Q59" s="3"/>
      <c r="S59" s="103">
        <f t="shared" si="0"/>
        <v>0</v>
      </c>
      <c r="T59" s="103">
        <f t="shared" si="1"/>
        <v>0</v>
      </c>
      <c r="U59" s="104">
        <f t="shared" si="2"/>
        <v>11.074</v>
      </c>
      <c r="V59" s="104">
        <f t="shared" si="3"/>
        <v>11.074</v>
      </c>
      <c r="X59" s="103" t="e">
        <f t="shared" si="4"/>
        <v>#REF!</v>
      </c>
      <c r="Y59" s="103" t="e">
        <f t="shared" si="5"/>
        <v>#REF!</v>
      </c>
      <c r="Z59" s="104" t="e">
        <f t="shared" si="6"/>
        <v>#REF!</v>
      </c>
      <c r="AA59" s="104" t="e">
        <f t="shared" si="7"/>
        <v>#REF!</v>
      </c>
      <c r="AC59" s="103" t="e">
        <f t="shared" si="8"/>
        <v>#REF!</v>
      </c>
      <c r="AD59" s="103" t="e">
        <f t="shared" si="9"/>
        <v>#REF!</v>
      </c>
      <c r="AE59" s="104" t="e">
        <f t="shared" si="10"/>
        <v>#REF!</v>
      </c>
      <c r="AF59" s="104" t="e">
        <f t="shared" si="11"/>
        <v>#REF!</v>
      </c>
      <c r="AH59" s="103" t="e">
        <f t="shared" si="12"/>
        <v>#REF!</v>
      </c>
      <c r="AI59" s="103" t="e">
        <f t="shared" si="13"/>
        <v>#REF!</v>
      </c>
      <c r="AJ59" s="104" t="e">
        <f t="shared" si="14"/>
        <v>#REF!</v>
      </c>
      <c r="AK59" s="104" t="e">
        <f t="shared" si="15"/>
        <v>#REF!</v>
      </c>
    </row>
    <row r="60" spans="1:995 1029:2000 2058:3015 3118:3398" ht="15" customHeight="1">
      <c r="A60" s="97"/>
      <c r="B60" s="106" t="s">
        <v>162</v>
      </c>
      <c r="C60" s="99"/>
      <c r="D60" s="100">
        <v>14.792999999999999</v>
      </c>
      <c r="E60" s="102">
        <v>0.03</v>
      </c>
      <c r="F60" s="102">
        <v>-0.03</v>
      </c>
      <c r="G60" s="18">
        <f t="shared" si="16"/>
        <v>14.822999999999999</v>
      </c>
      <c r="H60" s="23">
        <f t="shared" si="17"/>
        <v>14.763</v>
      </c>
      <c r="I60" s="27"/>
      <c r="J60" s="3"/>
      <c r="K60" s="3"/>
      <c r="L60" s="3"/>
      <c r="M60" s="3"/>
      <c r="N60" s="3"/>
      <c r="O60" s="3"/>
      <c r="P60" s="3"/>
      <c r="Q60" s="3"/>
      <c r="S60" s="103">
        <f t="shared" si="0"/>
        <v>0</v>
      </c>
      <c r="T60" s="103">
        <f t="shared" si="1"/>
        <v>0</v>
      </c>
      <c r="U60" s="104">
        <f t="shared" si="2"/>
        <v>14.792999999999999</v>
      </c>
      <c r="V60" s="104">
        <f t="shared" si="3"/>
        <v>14.792999999999999</v>
      </c>
      <c r="X60" s="103" t="e">
        <f t="shared" si="4"/>
        <v>#REF!</v>
      </c>
      <c r="Y60" s="103" t="e">
        <f t="shared" si="5"/>
        <v>#REF!</v>
      </c>
      <c r="Z60" s="104" t="e">
        <f t="shared" si="6"/>
        <v>#REF!</v>
      </c>
      <c r="AA60" s="104" t="e">
        <f t="shared" si="7"/>
        <v>#REF!</v>
      </c>
      <c r="AC60" s="103" t="e">
        <f t="shared" si="8"/>
        <v>#REF!</v>
      </c>
      <c r="AD60" s="103" t="e">
        <f t="shared" si="9"/>
        <v>#REF!</v>
      </c>
      <c r="AE60" s="104" t="e">
        <f t="shared" si="10"/>
        <v>#REF!</v>
      </c>
      <c r="AF60" s="104" t="e">
        <f t="shared" si="11"/>
        <v>#REF!</v>
      </c>
      <c r="AH60" s="103" t="e">
        <f t="shared" si="12"/>
        <v>#REF!</v>
      </c>
      <c r="AI60" s="103" t="e">
        <f t="shared" si="13"/>
        <v>#REF!</v>
      </c>
      <c r="AJ60" s="104" t="e">
        <f t="shared" si="14"/>
        <v>#REF!</v>
      </c>
      <c r="AK60" s="104" t="e">
        <f t="shared" si="15"/>
        <v>#REF!</v>
      </c>
    </row>
    <row r="61" spans="1:995 1029:2000 2058:3015 3118:3398" ht="15" customHeight="1">
      <c r="A61" s="97" t="s">
        <v>119</v>
      </c>
      <c r="B61" s="106" t="s">
        <v>280</v>
      </c>
      <c r="C61" s="99">
        <v>1.33</v>
      </c>
      <c r="D61" s="100">
        <v>0.13500000000000001</v>
      </c>
      <c r="E61" s="102">
        <v>5.0000000000000001E-3</v>
      </c>
      <c r="F61" s="102">
        <v>-5.0000000000000001E-3</v>
      </c>
      <c r="G61" s="18">
        <f t="shared" si="16"/>
        <v>0.14000000000000001</v>
      </c>
      <c r="H61" s="23">
        <f t="shared" si="17"/>
        <v>0.13</v>
      </c>
      <c r="I61" s="27"/>
      <c r="J61" s="3"/>
      <c r="K61" s="3"/>
      <c r="L61" s="3"/>
      <c r="M61" s="3"/>
      <c r="N61" s="3"/>
      <c r="O61" s="3"/>
      <c r="P61" s="3"/>
      <c r="Q61" s="3"/>
      <c r="S61" s="103">
        <f t="shared" si="0"/>
        <v>0</v>
      </c>
      <c r="T61" s="103">
        <f t="shared" si="1"/>
        <v>0</v>
      </c>
      <c r="U61" s="104">
        <f t="shared" si="2"/>
        <v>0.13500000000000001</v>
      </c>
      <c r="V61" s="104">
        <f t="shared" si="3"/>
        <v>0.13500000000000001</v>
      </c>
      <c r="X61" s="103" t="e">
        <f t="shared" si="4"/>
        <v>#REF!</v>
      </c>
      <c r="Y61" s="103" t="e">
        <f t="shared" si="5"/>
        <v>#REF!</v>
      </c>
      <c r="Z61" s="104" t="e">
        <f t="shared" si="6"/>
        <v>#REF!</v>
      </c>
      <c r="AA61" s="104" t="e">
        <f t="shared" si="7"/>
        <v>#REF!</v>
      </c>
      <c r="AC61" s="103" t="e">
        <f t="shared" si="8"/>
        <v>#REF!</v>
      </c>
      <c r="AD61" s="103" t="e">
        <f t="shared" si="9"/>
        <v>#REF!</v>
      </c>
      <c r="AE61" s="104" t="e">
        <f t="shared" si="10"/>
        <v>#REF!</v>
      </c>
      <c r="AF61" s="104" t="e">
        <f t="shared" si="11"/>
        <v>#REF!</v>
      </c>
      <c r="AH61" s="103" t="e">
        <f t="shared" si="12"/>
        <v>#REF!</v>
      </c>
      <c r="AI61" s="103" t="e">
        <f t="shared" si="13"/>
        <v>#REF!</v>
      </c>
      <c r="AJ61" s="104" t="e">
        <f t="shared" si="14"/>
        <v>#REF!</v>
      </c>
      <c r="AK61" s="104" t="e">
        <f t="shared" si="15"/>
        <v>#REF!</v>
      </c>
    </row>
    <row r="62" spans="1:995 1029:2000 2058:3015 3118:3398" ht="15" customHeight="1">
      <c r="A62" s="97"/>
      <c r="B62" s="106" t="s">
        <v>163</v>
      </c>
      <c r="C62" s="99"/>
      <c r="D62" s="100">
        <v>2.17</v>
      </c>
      <c r="E62" s="102">
        <v>0.03</v>
      </c>
      <c r="F62" s="102">
        <v>-0.03</v>
      </c>
      <c r="G62" s="18">
        <f t="shared" si="16"/>
        <v>2.1999999999999997</v>
      </c>
      <c r="H62" s="23">
        <f t="shared" si="17"/>
        <v>2.14</v>
      </c>
      <c r="I62" s="27"/>
      <c r="J62" s="3"/>
      <c r="K62" s="3"/>
      <c r="L62" s="3"/>
      <c r="M62" s="3"/>
      <c r="N62" s="3"/>
      <c r="O62" s="3"/>
      <c r="P62" s="3"/>
      <c r="Q62" s="3"/>
      <c r="S62" s="103">
        <f t="shared" si="0"/>
        <v>0</v>
      </c>
      <c r="T62" s="103">
        <f t="shared" si="1"/>
        <v>0</v>
      </c>
      <c r="U62" s="104">
        <f t="shared" si="2"/>
        <v>2.17</v>
      </c>
      <c r="V62" s="104">
        <f t="shared" si="3"/>
        <v>2.17</v>
      </c>
      <c r="X62" s="103" t="e">
        <f t="shared" si="4"/>
        <v>#REF!</v>
      </c>
      <c r="Y62" s="103" t="e">
        <f t="shared" si="5"/>
        <v>#REF!</v>
      </c>
      <c r="Z62" s="104" t="e">
        <f t="shared" si="6"/>
        <v>#REF!</v>
      </c>
      <c r="AA62" s="104" t="e">
        <f t="shared" si="7"/>
        <v>#REF!</v>
      </c>
      <c r="AC62" s="103" t="e">
        <f t="shared" si="8"/>
        <v>#REF!</v>
      </c>
      <c r="AD62" s="103" t="e">
        <f t="shared" si="9"/>
        <v>#REF!</v>
      </c>
      <c r="AE62" s="104" t="e">
        <f t="shared" si="10"/>
        <v>#REF!</v>
      </c>
      <c r="AF62" s="104" t="e">
        <f t="shared" si="11"/>
        <v>#REF!</v>
      </c>
      <c r="AH62" s="103" t="e">
        <f t="shared" si="12"/>
        <v>#REF!</v>
      </c>
      <c r="AI62" s="103" t="e">
        <f t="shared" si="13"/>
        <v>#REF!</v>
      </c>
      <c r="AJ62" s="104" t="e">
        <f t="shared" si="14"/>
        <v>#REF!</v>
      </c>
      <c r="AK62" s="104" t="e">
        <f t="shared" si="15"/>
        <v>#REF!</v>
      </c>
    </row>
    <row r="63" spans="1:995 1029:2000 2058:3015 3118:3398" ht="15" customHeight="1">
      <c r="A63" s="97"/>
      <c r="B63" s="106" t="s">
        <v>164</v>
      </c>
      <c r="C63" s="99"/>
      <c r="D63" s="100">
        <v>2.17</v>
      </c>
      <c r="E63" s="102">
        <v>0.03</v>
      </c>
      <c r="F63" s="102">
        <v>-0.03</v>
      </c>
      <c r="G63" s="18">
        <f t="shared" si="16"/>
        <v>2.1999999999999997</v>
      </c>
      <c r="H63" s="23">
        <f t="shared" si="17"/>
        <v>2.14</v>
      </c>
      <c r="I63" s="27"/>
      <c r="J63" s="3"/>
      <c r="K63" s="3"/>
      <c r="L63" s="3"/>
      <c r="M63" s="3"/>
      <c r="N63" s="3"/>
      <c r="O63" s="3"/>
      <c r="P63" s="3"/>
      <c r="Q63" s="3"/>
      <c r="S63" s="103">
        <f t="shared" si="0"/>
        <v>0</v>
      </c>
      <c r="T63" s="103">
        <f t="shared" si="1"/>
        <v>0</v>
      </c>
      <c r="U63" s="104">
        <f t="shared" si="2"/>
        <v>2.17</v>
      </c>
      <c r="V63" s="104">
        <f t="shared" si="3"/>
        <v>2.17</v>
      </c>
      <c r="X63" s="103" t="e">
        <f t="shared" si="4"/>
        <v>#REF!</v>
      </c>
      <c r="Y63" s="103" t="e">
        <f t="shared" si="5"/>
        <v>#REF!</v>
      </c>
      <c r="Z63" s="104" t="e">
        <f t="shared" si="6"/>
        <v>#REF!</v>
      </c>
      <c r="AA63" s="104" t="e">
        <f t="shared" si="7"/>
        <v>#REF!</v>
      </c>
      <c r="AC63" s="103" t="e">
        <f t="shared" si="8"/>
        <v>#REF!</v>
      </c>
      <c r="AD63" s="103" t="e">
        <f t="shared" si="9"/>
        <v>#REF!</v>
      </c>
      <c r="AE63" s="104" t="e">
        <f t="shared" si="10"/>
        <v>#REF!</v>
      </c>
      <c r="AF63" s="104" t="e">
        <f t="shared" si="11"/>
        <v>#REF!</v>
      </c>
      <c r="AH63" s="103" t="e">
        <f t="shared" si="12"/>
        <v>#REF!</v>
      </c>
      <c r="AI63" s="103" t="e">
        <f t="shared" si="13"/>
        <v>#REF!</v>
      </c>
      <c r="AJ63" s="104" t="e">
        <f t="shared" si="14"/>
        <v>#REF!</v>
      </c>
      <c r="AK63" s="104" t="e">
        <f t="shared" si="15"/>
        <v>#REF!</v>
      </c>
    </row>
    <row r="64" spans="1:995 1029:2000 2058:3015 3118:3398" ht="15" customHeight="1">
      <c r="A64" s="97"/>
      <c r="B64" s="106" t="s">
        <v>165</v>
      </c>
      <c r="C64" s="99"/>
      <c r="D64" s="100">
        <v>14.343999999999999</v>
      </c>
      <c r="E64" s="102">
        <v>0.03</v>
      </c>
      <c r="F64" s="102">
        <v>-0.03</v>
      </c>
      <c r="G64" s="18">
        <f t="shared" si="16"/>
        <v>14.373999999999999</v>
      </c>
      <c r="H64" s="23">
        <f t="shared" si="17"/>
        <v>14.314</v>
      </c>
      <c r="I64" s="27"/>
      <c r="J64" s="3"/>
      <c r="K64" s="3"/>
      <c r="L64" s="3"/>
      <c r="M64" s="3"/>
      <c r="N64" s="3"/>
      <c r="O64" s="3"/>
      <c r="P64" s="3"/>
      <c r="Q64" s="3"/>
      <c r="S64" s="103">
        <f t="shared" si="0"/>
        <v>0</v>
      </c>
      <c r="T64" s="103">
        <f t="shared" si="1"/>
        <v>0</v>
      </c>
      <c r="U64" s="104">
        <f t="shared" si="2"/>
        <v>14.343999999999999</v>
      </c>
      <c r="V64" s="104">
        <f t="shared" si="3"/>
        <v>14.343999999999999</v>
      </c>
      <c r="X64" s="103" t="e">
        <f t="shared" si="4"/>
        <v>#REF!</v>
      </c>
      <c r="Y64" s="103" t="e">
        <f t="shared" si="5"/>
        <v>#REF!</v>
      </c>
      <c r="Z64" s="104" t="e">
        <f t="shared" si="6"/>
        <v>#REF!</v>
      </c>
      <c r="AA64" s="104" t="e">
        <f t="shared" si="7"/>
        <v>#REF!</v>
      </c>
      <c r="AC64" s="103" t="e">
        <f t="shared" si="8"/>
        <v>#REF!</v>
      </c>
      <c r="AD64" s="103" t="e">
        <f t="shared" si="9"/>
        <v>#REF!</v>
      </c>
      <c r="AE64" s="104" t="e">
        <f t="shared" si="10"/>
        <v>#REF!</v>
      </c>
      <c r="AF64" s="104" t="e">
        <f t="shared" si="11"/>
        <v>#REF!</v>
      </c>
      <c r="AH64" s="103" t="e">
        <f t="shared" si="12"/>
        <v>#REF!</v>
      </c>
      <c r="AI64" s="103" t="e">
        <f t="shared" si="13"/>
        <v>#REF!</v>
      </c>
      <c r="AJ64" s="104" t="e">
        <f t="shared" si="14"/>
        <v>#REF!</v>
      </c>
      <c r="AK64" s="104" t="e">
        <f t="shared" si="15"/>
        <v>#REF!</v>
      </c>
    </row>
    <row r="65" spans="1:37" ht="15" customHeight="1">
      <c r="A65" s="97"/>
      <c r="B65" s="106" t="s">
        <v>166</v>
      </c>
      <c r="C65" s="99"/>
      <c r="D65" s="100">
        <v>14.343999999999999</v>
      </c>
      <c r="E65" s="102">
        <v>0.03</v>
      </c>
      <c r="F65" s="102">
        <v>-0.03</v>
      </c>
      <c r="G65" s="18">
        <f t="shared" si="16"/>
        <v>14.373999999999999</v>
      </c>
      <c r="H65" s="23">
        <f t="shared" si="17"/>
        <v>14.314</v>
      </c>
      <c r="I65" s="27"/>
      <c r="J65" s="3"/>
      <c r="K65" s="3"/>
      <c r="L65" s="3"/>
      <c r="M65" s="3"/>
      <c r="N65" s="3"/>
      <c r="O65" s="3"/>
      <c r="P65" s="3"/>
      <c r="Q65" s="3"/>
      <c r="S65" s="103">
        <f t="shared" si="0"/>
        <v>0</v>
      </c>
      <c r="T65" s="103">
        <f t="shared" si="1"/>
        <v>0</v>
      </c>
      <c r="U65" s="104">
        <f t="shared" si="2"/>
        <v>14.343999999999999</v>
      </c>
      <c r="V65" s="104">
        <f t="shared" si="3"/>
        <v>14.343999999999999</v>
      </c>
      <c r="X65" s="103" t="e">
        <f t="shared" si="4"/>
        <v>#REF!</v>
      </c>
      <c r="Y65" s="103" t="e">
        <f t="shared" si="5"/>
        <v>#REF!</v>
      </c>
      <c r="Z65" s="104" t="e">
        <f t="shared" si="6"/>
        <v>#REF!</v>
      </c>
      <c r="AA65" s="104" t="e">
        <f t="shared" si="7"/>
        <v>#REF!</v>
      </c>
      <c r="AC65" s="103" t="e">
        <f t="shared" si="8"/>
        <v>#REF!</v>
      </c>
      <c r="AD65" s="103" t="e">
        <f t="shared" si="9"/>
        <v>#REF!</v>
      </c>
      <c r="AE65" s="104" t="e">
        <f t="shared" si="10"/>
        <v>#REF!</v>
      </c>
      <c r="AF65" s="104" t="e">
        <f t="shared" si="11"/>
        <v>#REF!</v>
      </c>
      <c r="AH65" s="103" t="e">
        <f t="shared" si="12"/>
        <v>#REF!</v>
      </c>
      <c r="AI65" s="103" t="e">
        <f t="shared" si="13"/>
        <v>#REF!</v>
      </c>
      <c r="AJ65" s="104" t="e">
        <f t="shared" si="14"/>
        <v>#REF!</v>
      </c>
      <c r="AK65" s="104" t="e">
        <f t="shared" si="15"/>
        <v>#REF!</v>
      </c>
    </row>
    <row r="66" spans="1:37" ht="15" customHeight="1">
      <c r="A66" s="97"/>
      <c r="B66" s="106" t="s">
        <v>167</v>
      </c>
      <c r="C66" s="99"/>
      <c r="D66" s="100">
        <v>0.2</v>
      </c>
      <c r="E66" s="102">
        <v>0.04</v>
      </c>
      <c r="F66" s="102">
        <v>-7.0000000000000007E-2</v>
      </c>
      <c r="G66" s="18">
        <f t="shared" si="16"/>
        <v>0.24000000000000002</v>
      </c>
      <c r="H66" s="23">
        <f t="shared" si="17"/>
        <v>0.13</v>
      </c>
      <c r="I66" s="27"/>
      <c r="J66" s="3"/>
      <c r="K66" s="3"/>
      <c r="L66" s="3"/>
      <c r="M66" s="3"/>
      <c r="N66" s="3"/>
      <c r="O66" s="3"/>
      <c r="P66" s="3"/>
      <c r="Q66" s="3"/>
      <c r="S66" s="103">
        <f t="shared" si="0"/>
        <v>0</v>
      </c>
      <c r="T66" s="103">
        <f t="shared" si="1"/>
        <v>0</v>
      </c>
      <c r="U66" s="104">
        <f t="shared" si="2"/>
        <v>0.2</v>
      </c>
      <c r="V66" s="104">
        <f t="shared" si="3"/>
        <v>0.2</v>
      </c>
      <c r="X66" s="103" t="e">
        <f t="shared" si="4"/>
        <v>#REF!</v>
      </c>
      <c r="Y66" s="103" t="e">
        <f t="shared" si="5"/>
        <v>#REF!</v>
      </c>
      <c r="Z66" s="104" t="e">
        <f t="shared" si="6"/>
        <v>#REF!</v>
      </c>
      <c r="AA66" s="104" t="e">
        <f t="shared" si="7"/>
        <v>#REF!</v>
      </c>
      <c r="AC66" s="103" t="e">
        <f t="shared" si="8"/>
        <v>#REF!</v>
      </c>
      <c r="AD66" s="103" t="e">
        <f t="shared" si="9"/>
        <v>#REF!</v>
      </c>
      <c r="AE66" s="104" t="e">
        <f t="shared" si="10"/>
        <v>#REF!</v>
      </c>
      <c r="AF66" s="104" t="e">
        <f t="shared" si="11"/>
        <v>#REF!</v>
      </c>
      <c r="AH66" s="103" t="e">
        <f t="shared" si="12"/>
        <v>#REF!</v>
      </c>
      <c r="AI66" s="103" t="e">
        <f t="shared" si="13"/>
        <v>#REF!</v>
      </c>
      <c r="AJ66" s="104" t="e">
        <f t="shared" si="14"/>
        <v>#REF!</v>
      </c>
      <c r="AK66" s="104" t="e">
        <f t="shared" si="15"/>
        <v>#REF!</v>
      </c>
    </row>
    <row r="67" spans="1:37" ht="15" customHeight="1">
      <c r="A67" s="97"/>
      <c r="B67" s="106" t="s">
        <v>168</v>
      </c>
      <c r="C67" s="99"/>
      <c r="D67" s="100">
        <v>0.2</v>
      </c>
      <c r="E67" s="102">
        <v>0.04</v>
      </c>
      <c r="F67" s="102">
        <v>-7.0000000000000007E-2</v>
      </c>
      <c r="G67" s="18">
        <f t="shared" si="16"/>
        <v>0.24000000000000002</v>
      </c>
      <c r="H67" s="23">
        <f t="shared" si="17"/>
        <v>0.13</v>
      </c>
      <c r="I67" s="27"/>
      <c r="J67" s="3"/>
      <c r="K67" s="3"/>
      <c r="L67" s="3"/>
      <c r="M67" s="3"/>
      <c r="N67" s="3"/>
      <c r="O67" s="3"/>
      <c r="P67" s="3"/>
      <c r="Q67" s="3"/>
      <c r="S67" s="103">
        <f t="shared" si="0"/>
        <v>0</v>
      </c>
      <c r="T67" s="103">
        <f t="shared" si="1"/>
        <v>0</v>
      </c>
      <c r="U67" s="104">
        <f t="shared" si="2"/>
        <v>0.2</v>
      </c>
      <c r="V67" s="104">
        <f t="shared" si="3"/>
        <v>0.2</v>
      </c>
      <c r="X67" s="103" t="e">
        <f t="shared" si="4"/>
        <v>#REF!</v>
      </c>
      <c r="Y67" s="103" t="e">
        <f t="shared" si="5"/>
        <v>#REF!</v>
      </c>
      <c r="Z67" s="104" t="e">
        <f t="shared" si="6"/>
        <v>#REF!</v>
      </c>
      <c r="AA67" s="104" t="e">
        <f t="shared" si="7"/>
        <v>#REF!</v>
      </c>
      <c r="AC67" s="103" t="e">
        <f t="shared" si="8"/>
        <v>#REF!</v>
      </c>
      <c r="AD67" s="103" t="e">
        <f t="shared" si="9"/>
        <v>#REF!</v>
      </c>
      <c r="AE67" s="104" t="e">
        <f t="shared" si="10"/>
        <v>#REF!</v>
      </c>
      <c r="AF67" s="104" t="e">
        <f t="shared" si="11"/>
        <v>#REF!</v>
      </c>
      <c r="AH67" s="103" t="e">
        <f t="shared" si="12"/>
        <v>#REF!</v>
      </c>
      <c r="AI67" s="103" t="e">
        <f t="shared" si="13"/>
        <v>#REF!</v>
      </c>
      <c r="AJ67" s="104" t="e">
        <f t="shared" si="14"/>
        <v>#REF!</v>
      </c>
      <c r="AK67" s="104" t="e">
        <f t="shared" si="15"/>
        <v>#REF!</v>
      </c>
    </row>
    <row r="68" spans="1:37" ht="15" customHeight="1">
      <c r="A68" s="97"/>
      <c r="B68" s="106" t="s">
        <v>169</v>
      </c>
      <c r="C68" s="99"/>
      <c r="D68" s="100">
        <v>1.0900000000000001</v>
      </c>
      <c r="E68" s="102">
        <v>0.03</v>
      </c>
      <c r="F68" s="102">
        <v>-0.03</v>
      </c>
      <c r="G68" s="18">
        <f t="shared" si="16"/>
        <v>1.1200000000000001</v>
      </c>
      <c r="H68" s="23">
        <f t="shared" si="17"/>
        <v>1.06</v>
      </c>
      <c r="I68" s="27"/>
      <c r="J68" s="3"/>
      <c r="K68" s="3"/>
      <c r="L68" s="3"/>
      <c r="M68" s="3"/>
      <c r="N68" s="3"/>
      <c r="O68" s="3"/>
      <c r="P68" s="3"/>
      <c r="Q68" s="3"/>
      <c r="S68" s="103">
        <f t="shared" si="0"/>
        <v>0</v>
      </c>
      <c r="T68" s="103">
        <f t="shared" si="1"/>
        <v>0</v>
      </c>
      <c r="U68" s="104">
        <f t="shared" si="2"/>
        <v>1.0900000000000001</v>
      </c>
      <c r="V68" s="104">
        <f t="shared" si="3"/>
        <v>1.0900000000000001</v>
      </c>
      <c r="X68" s="103" t="e">
        <f t="shared" si="4"/>
        <v>#REF!</v>
      </c>
      <c r="Y68" s="103" t="e">
        <f t="shared" si="5"/>
        <v>#REF!</v>
      </c>
      <c r="Z68" s="104" t="e">
        <f t="shared" si="6"/>
        <v>#REF!</v>
      </c>
      <c r="AA68" s="104" t="e">
        <f t="shared" si="7"/>
        <v>#REF!</v>
      </c>
      <c r="AC68" s="103" t="e">
        <f t="shared" si="8"/>
        <v>#REF!</v>
      </c>
      <c r="AD68" s="103" t="e">
        <f t="shared" si="9"/>
        <v>#REF!</v>
      </c>
      <c r="AE68" s="104" t="e">
        <f t="shared" si="10"/>
        <v>#REF!</v>
      </c>
      <c r="AF68" s="104" t="e">
        <f t="shared" si="11"/>
        <v>#REF!</v>
      </c>
      <c r="AH68" s="103" t="e">
        <f t="shared" si="12"/>
        <v>#REF!</v>
      </c>
      <c r="AI68" s="103" t="e">
        <f t="shared" si="13"/>
        <v>#REF!</v>
      </c>
      <c r="AJ68" s="104" t="e">
        <f t="shared" si="14"/>
        <v>#REF!</v>
      </c>
      <c r="AK68" s="104" t="e">
        <f t="shared" si="15"/>
        <v>#REF!</v>
      </c>
    </row>
    <row r="69" spans="1:37" ht="15" customHeight="1">
      <c r="A69" s="97"/>
      <c r="B69" s="106" t="s">
        <v>170</v>
      </c>
      <c r="C69" s="99"/>
      <c r="D69" s="100">
        <v>14.917999999999999</v>
      </c>
      <c r="E69" s="102">
        <v>0.03</v>
      </c>
      <c r="F69" s="102">
        <v>-0.03</v>
      </c>
      <c r="G69" s="18">
        <f t="shared" si="16"/>
        <v>14.947999999999999</v>
      </c>
      <c r="H69" s="23">
        <f t="shared" si="17"/>
        <v>14.888</v>
      </c>
      <c r="I69" s="27"/>
      <c r="J69" s="3"/>
      <c r="K69" s="3"/>
      <c r="L69" s="3"/>
      <c r="M69" s="3"/>
      <c r="N69" s="3"/>
      <c r="O69" s="3"/>
      <c r="P69" s="3"/>
      <c r="Q69" s="3"/>
      <c r="S69" s="103">
        <f t="shared" si="0"/>
        <v>0</v>
      </c>
      <c r="T69" s="103">
        <f t="shared" si="1"/>
        <v>0</v>
      </c>
      <c r="U69" s="104">
        <f t="shared" si="2"/>
        <v>14.917999999999999</v>
      </c>
      <c r="V69" s="104">
        <f t="shared" si="3"/>
        <v>14.917999999999999</v>
      </c>
      <c r="X69" s="103" t="e">
        <f t="shared" si="4"/>
        <v>#REF!</v>
      </c>
      <c r="Y69" s="103" t="e">
        <f t="shared" si="5"/>
        <v>#REF!</v>
      </c>
      <c r="Z69" s="104" t="e">
        <f t="shared" si="6"/>
        <v>#REF!</v>
      </c>
      <c r="AA69" s="104" t="e">
        <f t="shared" si="7"/>
        <v>#REF!</v>
      </c>
      <c r="AC69" s="103" t="e">
        <f t="shared" si="8"/>
        <v>#REF!</v>
      </c>
      <c r="AD69" s="103" t="e">
        <f t="shared" si="9"/>
        <v>#REF!</v>
      </c>
      <c r="AE69" s="104" t="e">
        <f t="shared" si="10"/>
        <v>#REF!</v>
      </c>
      <c r="AF69" s="104" t="e">
        <f t="shared" si="11"/>
        <v>#REF!</v>
      </c>
      <c r="AH69" s="103" t="e">
        <f t="shared" si="12"/>
        <v>#REF!</v>
      </c>
      <c r="AI69" s="103" t="e">
        <f t="shared" si="13"/>
        <v>#REF!</v>
      </c>
      <c r="AJ69" s="104" t="e">
        <f t="shared" si="14"/>
        <v>#REF!</v>
      </c>
      <c r="AK69" s="104" t="e">
        <f t="shared" si="15"/>
        <v>#REF!</v>
      </c>
    </row>
    <row r="70" spans="1:37" ht="15" customHeight="1">
      <c r="A70" s="97"/>
      <c r="B70" s="106" t="s">
        <v>171</v>
      </c>
      <c r="C70" s="99"/>
      <c r="D70" s="100">
        <v>1</v>
      </c>
      <c r="E70" s="102">
        <v>0.03</v>
      </c>
      <c r="F70" s="102">
        <v>-0.03</v>
      </c>
      <c r="G70" s="18">
        <f t="shared" si="16"/>
        <v>1.03</v>
      </c>
      <c r="H70" s="23">
        <f t="shared" si="17"/>
        <v>0.97</v>
      </c>
      <c r="I70" s="27"/>
      <c r="J70" s="3"/>
      <c r="K70" s="3"/>
      <c r="L70" s="3"/>
      <c r="M70" s="3"/>
      <c r="N70" s="3"/>
      <c r="O70" s="3"/>
      <c r="P70" s="3"/>
      <c r="Q70" s="3"/>
      <c r="S70" s="103">
        <f t="shared" si="0"/>
        <v>0</v>
      </c>
      <c r="T70" s="103">
        <f t="shared" si="1"/>
        <v>0</v>
      </c>
      <c r="U70" s="104">
        <f t="shared" si="2"/>
        <v>1</v>
      </c>
      <c r="V70" s="104">
        <f t="shared" si="3"/>
        <v>1</v>
      </c>
      <c r="X70" s="103" t="e">
        <f t="shared" si="4"/>
        <v>#REF!</v>
      </c>
      <c r="Y70" s="103" t="e">
        <f t="shared" si="5"/>
        <v>#REF!</v>
      </c>
      <c r="Z70" s="104" t="e">
        <f t="shared" si="6"/>
        <v>#REF!</v>
      </c>
      <c r="AA70" s="104" t="e">
        <f t="shared" si="7"/>
        <v>#REF!</v>
      </c>
      <c r="AC70" s="103" t="e">
        <f t="shared" si="8"/>
        <v>#REF!</v>
      </c>
      <c r="AD70" s="103" t="e">
        <f t="shared" si="9"/>
        <v>#REF!</v>
      </c>
      <c r="AE70" s="104" t="e">
        <f t="shared" si="10"/>
        <v>#REF!</v>
      </c>
      <c r="AF70" s="104" t="e">
        <f t="shared" si="11"/>
        <v>#REF!</v>
      </c>
      <c r="AH70" s="103" t="e">
        <f t="shared" si="12"/>
        <v>#REF!</v>
      </c>
      <c r="AI70" s="103" t="e">
        <f t="shared" si="13"/>
        <v>#REF!</v>
      </c>
      <c r="AJ70" s="104" t="e">
        <f t="shared" si="14"/>
        <v>#REF!</v>
      </c>
      <c r="AK70" s="104" t="e">
        <f t="shared" si="15"/>
        <v>#REF!</v>
      </c>
    </row>
    <row r="71" spans="1:37" ht="15" customHeight="1">
      <c r="A71" s="97"/>
      <c r="B71" s="106" t="s">
        <v>172</v>
      </c>
      <c r="C71" s="99"/>
      <c r="D71" s="100">
        <v>0.95</v>
      </c>
      <c r="E71" s="102">
        <v>0.03</v>
      </c>
      <c r="F71" s="102">
        <v>-0.03</v>
      </c>
      <c r="G71" s="18">
        <f t="shared" si="16"/>
        <v>0.98</v>
      </c>
      <c r="H71" s="23">
        <f t="shared" si="17"/>
        <v>0.91999999999999993</v>
      </c>
      <c r="I71" s="27"/>
      <c r="J71" s="3"/>
      <c r="K71" s="3"/>
      <c r="L71" s="3"/>
      <c r="M71" s="3"/>
      <c r="N71" s="3"/>
      <c r="O71" s="3"/>
      <c r="P71" s="3"/>
      <c r="Q71" s="3"/>
      <c r="S71" s="103">
        <f t="shared" si="0"/>
        <v>0</v>
      </c>
      <c r="T71" s="103">
        <f t="shared" si="1"/>
        <v>0</v>
      </c>
      <c r="U71" s="104">
        <f t="shared" si="2"/>
        <v>0.95</v>
      </c>
      <c r="V71" s="104">
        <f t="shared" si="3"/>
        <v>0.95</v>
      </c>
      <c r="X71" s="103" t="e">
        <f t="shared" si="4"/>
        <v>#REF!</v>
      </c>
      <c r="Y71" s="103" t="e">
        <f t="shared" si="5"/>
        <v>#REF!</v>
      </c>
      <c r="Z71" s="104" t="e">
        <f t="shared" si="6"/>
        <v>#REF!</v>
      </c>
      <c r="AA71" s="104" t="e">
        <f t="shared" si="7"/>
        <v>#REF!</v>
      </c>
      <c r="AC71" s="103" t="e">
        <f t="shared" si="8"/>
        <v>#REF!</v>
      </c>
      <c r="AD71" s="103" t="e">
        <f t="shared" si="9"/>
        <v>#REF!</v>
      </c>
      <c r="AE71" s="104" t="e">
        <f t="shared" si="10"/>
        <v>#REF!</v>
      </c>
      <c r="AF71" s="104" t="e">
        <f t="shared" si="11"/>
        <v>#REF!</v>
      </c>
      <c r="AH71" s="103" t="e">
        <f t="shared" si="12"/>
        <v>#REF!</v>
      </c>
      <c r="AI71" s="103" t="e">
        <f t="shared" si="13"/>
        <v>#REF!</v>
      </c>
      <c r="AJ71" s="104" t="e">
        <f t="shared" si="14"/>
        <v>#REF!</v>
      </c>
      <c r="AK71" s="104" t="e">
        <f t="shared" si="15"/>
        <v>#REF!</v>
      </c>
    </row>
    <row r="72" spans="1:37" ht="15" customHeight="1">
      <c r="A72" s="97"/>
      <c r="B72" s="106" t="s">
        <v>173</v>
      </c>
      <c r="C72" s="99"/>
      <c r="D72" s="100">
        <v>2.17</v>
      </c>
      <c r="E72" s="102">
        <v>0.03</v>
      </c>
      <c r="F72" s="102">
        <v>-0.03</v>
      </c>
      <c r="G72" s="18">
        <f t="shared" si="16"/>
        <v>2.1999999999999997</v>
      </c>
      <c r="H72" s="23">
        <f t="shared" si="17"/>
        <v>2.14</v>
      </c>
      <c r="I72" s="27"/>
      <c r="J72" s="3"/>
      <c r="K72" s="3"/>
      <c r="L72" s="3"/>
      <c r="M72" s="3"/>
      <c r="N72" s="3"/>
      <c r="O72" s="3"/>
      <c r="P72" s="3"/>
      <c r="Q72" s="3"/>
      <c r="S72" s="103">
        <f t="shared" si="0"/>
        <v>0</v>
      </c>
      <c r="T72" s="103">
        <f t="shared" si="1"/>
        <v>0</v>
      </c>
      <c r="U72" s="104">
        <f t="shared" si="2"/>
        <v>2.17</v>
      </c>
      <c r="V72" s="104">
        <f t="shared" si="3"/>
        <v>2.17</v>
      </c>
      <c r="X72" s="103" t="e">
        <f t="shared" si="4"/>
        <v>#REF!</v>
      </c>
      <c r="Y72" s="103" t="e">
        <f t="shared" si="5"/>
        <v>#REF!</v>
      </c>
      <c r="Z72" s="104" t="e">
        <f t="shared" si="6"/>
        <v>#REF!</v>
      </c>
      <c r="AA72" s="104" t="e">
        <f t="shared" si="7"/>
        <v>#REF!</v>
      </c>
      <c r="AC72" s="103" t="e">
        <f t="shared" si="8"/>
        <v>#REF!</v>
      </c>
      <c r="AD72" s="103" t="e">
        <f t="shared" si="9"/>
        <v>#REF!</v>
      </c>
      <c r="AE72" s="104" t="e">
        <f t="shared" si="10"/>
        <v>#REF!</v>
      </c>
      <c r="AF72" s="104" t="e">
        <f t="shared" si="11"/>
        <v>#REF!</v>
      </c>
      <c r="AH72" s="103" t="e">
        <f t="shared" si="12"/>
        <v>#REF!</v>
      </c>
      <c r="AI72" s="103" t="e">
        <f t="shared" si="13"/>
        <v>#REF!</v>
      </c>
      <c r="AJ72" s="104" t="e">
        <f t="shared" si="14"/>
        <v>#REF!</v>
      </c>
      <c r="AK72" s="104" t="e">
        <f t="shared" si="15"/>
        <v>#REF!</v>
      </c>
    </row>
    <row r="73" spans="1:37" ht="15" customHeight="1">
      <c r="A73" s="97"/>
      <c r="B73" s="106" t="s">
        <v>174</v>
      </c>
      <c r="C73" s="99"/>
      <c r="D73" s="100">
        <v>2.17</v>
      </c>
      <c r="E73" s="102">
        <v>0.03</v>
      </c>
      <c r="F73" s="102">
        <v>-0.03</v>
      </c>
      <c r="G73" s="18">
        <f t="shared" si="16"/>
        <v>2.1999999999999997</v>
      </c>
      <c r="H73" s="23">
        <f t="shared" si="17"/>
        <v>2.14</v>
      </c>
      <c r="I73" s="27"/>
      <c r="J73" s="3"/>
      <c r="K73" s="3"/>
      <c r="L73" s="3"/>
      <c r="M73" s="3"/>
      <c r="N73" s="3"/>
      <c r="O73" s="3"/>
      <c r="P73" s="3"/>
      <c r="Q73" s="3"/>
      <c r="S73" s="103">
        <f t="shared" si="0"/>
        <v>0</v>
      </c>
      <c r="T73" s="103">
        <f t="shared" si="1"/>
        <v>0</v>
      </c>
      <c r="U73" s="104">
        <f t="shared" si="2"/>
        <v>2.17</v>
      </c>
      <c r="V73" s="104">
        <f t="shared" si="3"/>
        <v>2.17</v>
      </c>
      <c r="X73" s="103" t="e">
        <f t="shared" si="4"/>
        <v>#REF!</v>
      </c>
      <c r="Y73" s="103" t="e">
        <f t="shared" si="5"/>
        <v>#REF!</v>
      </c>
      <c r="Z73" s="104" t="e">
        <f t="shared" si="6"/>
        <v>#REF!</v>
      </c>
      <c r="AA73" s="104" t="e">
        <f t="shared" si="7"/>
        <v>#REF!</v>
      </c>
      <c r="AC73" s="103" t="e">
        <f t="shared" si="8"/>
        <v>#REF!</v>
      </c>
      <c r="AD73" s="103" t="e">
        <f t="shared" si="9"/>
        <v>#REF!</v>
      </c>
      <c r="AE73" s="104" t="e">
        <f t="shared" si="10"/>
        <v>#REF!</v>
      </c>
      <c r="AF73" s="104" t="e">
        <f t="shared" si="11"/>
        <v>#REF!</v>
      </c>
      <c r="AH73" s="103" t="e">
        <f t="shared" si="12"/>
        <v>#REF!</v>
      </c>
      <c r="AI73" s="103" t="e">
        <f t="shared" si="13"/>
        <v>#REF!</v>
      </c>
      <c r="AJ73" s="104" t="e">
        <f t="shared" si="14"/>
        <v>#REF!</v>
      </c>
      <c r="AK73" s="104" t="e">
        <f t="shared" si="15"/>
        <v>#REF!</v>
      </c>
    </row>
    <row r="74" spans="1:37" ht="15" customHeight="1">
      <c r="A74" s="97"/>
      <c r="B74" s="106" t="s">
        <v>175</v>
      </c>
      <c r="C74" s="99"/>
      <c r="D74" s="100">
        <v>12.545999999999999</v>
      </c>
      <c r="E74" s="102">
        <v>0.03</v>
      </c>
      <c r="F74" s="102">
        <v>-0.03</v>
      </c>
      <c r="G74" s="18">
        <f t="shared" si="16"/>
        <v>12.575999999999999</v>
      </c>
      <c r="H74" s="23">
        <f t="shared" si="17"/>
        <v>12.516</v>
      </c>
      <c r="I74" s="27"/>
      <c r="J74" s="3"/>
      <c r="K74" s="3"/>
      <c r="L74" s="3"/>
      <c r="M74" s="3"/>
      <c r="N74" s="3"/>
      <c r="O74" s="3"/>
      <c r="P74" s="3"/>
      <c r="Q74" s="3"/>
      <c r="S74" s="103">
        <f t="shared" si="0"/>
        <v>0</v>
      </c>
      <c r="T74" s="103">
        <f t="shared" si="1"/>
        <v>0</v>
      </c>
      <c r="U74" s="104">
        <f t="shared" si="2"/>
        <v>12.545999999999999</v>
      </c>
      <c r="V74" s="104">
        <f t="shared" si="3"/>
        <v>12.545999999999999</v>
      </c>
      <c r="X74" s="103" t="e">
        <f t="shared" si="4"/>
        <v>#REF!</v>
      </c>
      <c r="Y74" s="103" t="e">
        <f t="shared" si="5"/>
        <v>#REF!</v>
      </c>
      <c r="Z74" s="104" t="e">
        <f t="shared" si="6"/>
        <v>#REF!</v>
      </c>
      <c r="AA74" s="104" t="e">
        <f t="shared" si="7"/>
        <v>#REF!</v>
      </c>
      <c r="AC74" s="103" t="e">
        <f t="shared" si="8"/>
        <v>#REF!</v>
      </c>
      <c r="AD74" s="103" t="e">
        <f t="shared" si="9"/>
        <v>#REF!</v>
      </c>
      <c r="AE74" s="104" t="e">
        <f t="shared" si="10"/>
        <v>#REF!</v>
      </c>
      <c r="AF74" s="104" t="e">
        <f t="shared" si="11"/>
        <v>#REF!</v>
      </c>
      <c r="AH74" s="103" t="e">
        <f t="shared" si="12"/>
        <v>#REF!</v>
      </c>
      <c r="AI74" s="103" t="e">
        <f t="shared" si="13"/>
        <v>#REF!</v>
      </c>
      <c r="AJ74" s="104" t="e">
        <f t="shared" si="14"/>
        <v>#REF!</v>
      </c>
      <c r="AK74" s="104" t="e">
        <f t="shared" si="15"/>
        <v>#REF!</v>
      </c>
    </row>
    <row r="75" spans="1:37" ht="15" customHeight="1">
      <c r="A75" s="97"/>
      <c r="B75" s="106" t="s">
        <v>176</v>
      </c>
      <c r="C75" s="99"/>
      <c r="D75" s="100">
        <v>1.2</v>
      </c>
      <c r="E75" s="102">
        <v>0.03</v>
      </c>
      <c r="F75" s="102">
        <v>-0.03</v>
      </c>
      <c r="G75" s="18">
        <f t="shared" si="16"/>
        <v>1.23</v>
      </c>
      <c r="H75" s="23">
        <f t="shared" si="17"/>
        <v>1.17</v>
      </c>
      <c r="I75" s="27"/>
      <c r="J75" s="3"/>
      <c r="K75" s="3"/>
      <c r="L75" s="3"/>
      <c r="M75" s="3"/>
      <c r="N75" s="3"/>
      <c r="O75" s="3"/>
      <c r="P75" s="3"/>
      <c r="Q75" s="3"/>
      <c r="S75" s="103">
        <f t="shared" si="0"/>
        <v>0</v>
      </c>
      <c r="T75" s="103">
        <f t="shared" si="1"/>
        <v>0</v>
      </c>
      <c r="U75" s="104">
        <f t="shared" si="2"/>
        <v>1.2</v>
      </c>
      <c r="V75" s="104">
        <f t="shared" si="3"/>
        <v>1.2</v>
      </c>
      <c r="X75" s="103" t="e">
        <f t="shared" si="4"/>
        <v>#REF!</v>
      </c>
      <c r="Y75" s="103" t="e">
        <f t="shared" si="5"/>
        <v>#REF!</v>
      </c>
      <c r="Z75" s="104" t="e">
        <f t="shared" si="6"/>
        <v>#REF!</v>
      </c>
      <c r="AA75" s="104" t="e">
        <f t="shared" si="7"/>
        <v>#REF!</v>
      </c>
      <c r="AC75" s="103" t="e">
        <f t="shared" si="8"/>
        <v>#REF!</v>
      </c>
      <c r="AD75" s="103" t="e">
        <f t="shared" si="9"/>
        <v>#REF!</v>
      </c>
      <c r="AE75" s="104" t="e">
        <f t="shared" si="10"/>
        <v>#REF!</v>
      </c>
      <c r="AF75" s="104" t="e">
        <f t="shared" si="11"/>
        <v>#REF!</v>
      </c>
      <c r="AH75" s="103" t="e">
        <f t="shared" si="12"/>
        <v>#REF!</v>
      </c>
      <c r="AI75" s="103" t="e">
        <f t="shared" si="13"/>
        <v>#REF!</v>
      </c>
      <c r="AJ75" s="104" t="e">
        <f t="shared" si="14"/>
        <v>#REF!</v>
      </c>
      <c r="AK75" s="104" t="e">
        <f t="shared" si="15"/>
        <v>#REF!</v>
      </c>
    </row>
    <row r="76" spans="1:37" ht="15" customHeight="1">
      <c r="A76" s="97"/>
      <c r="B76" s="106" t="s">
        <v>177</v>
      </c>
      <c r="C76" s="99"/>
      <c r="D76" s="100">
        <v>0.99</v>
      </c>
      <c r="E76" s="102">
        <v>0.03</v>
      </c>
      <c r="F76" s="102">
        <v>-0.03</v>
      </c>
      <c r="G76" s="18">
        <f t="shared" si="16"/>
        <v>1.02</v>
      </c>
      <c r="H76" s="23">
        <f t="shared" si="17"/>
        <v>0.96</v>
      </c>
      <c r="I76" s="27"/>
      <c r="J76" s="3"/>
      <c r="K76" s="3"/>
      <c r="L76" s="3"/>
      <c r="M76" s="3"/>
      <c r="N76" s="3"/>
      <c r="O76" s="3"/>
      <c r="P76" s="3"/>
      <c r="Q76" s="3"/>
      <c r="S76" s="103">
        <f t="shared" ref="S76:S100" si="18">IF($A76&lt;&gt;"(DC)", $E76*$R$7, $E76)</f>
        <v>0</v>
      </c>
      <c r="T76" s="103">
        <f t="shared" ref="T76:T100" si="19">IF($A76&lt;&gt;"(DC)", $F76*$R$7, $F76)</f>
        <v>0</v>
      </c>
      <c r="U76" s="104">
        <f t="shared" ref="U76:U100" si="20">IF(AND($D76="",S76=""),"",IF($D76="",S76,$D76+S76))</f>
        <v>0.99</v>
      </c>
      <c r="V76" s="104">
        <f t="shared" ref="V76:V100" si="21">IF(AND($D76="",T76=""),"",IF($D76="",T76,$D76+T76))</f>
        <v>0.99</v>
      </c>
      <c r="X76" s="103" t="e">
        <f t="shared" ref="X76:X100" si="22">IF($A76&lt;&gt;"(DC)", $E76*$W$7, $E76)</f>
        <v>#REF!</v>
      </c>
      <c r="Y76" s="103" t="e">
        <f t="shared" ref="Y76:Y100" si="23">IF($A76&lt;&gt;"(DC)", $F76*$W$7, $F76)</f>
        <v>#REF!</v>
      </c>
      <c r="Z76" s="104" t="e">
        <f t="shared" ref="Z76:Z100" si="24">IF(AND($D76="",X76=""),"",IF($D76="",X76,$D76+X76))</f>
        <v>#REF!</v>
      </c>
      <c r="AA76" s="104" t="e">
        <f t="shared" ref="AA76:AA100" si="25">IF(AND($D76="",Y76=""),"",IF($D76="",Y76,$D76+Y76))</f>
        <v>#REF!</v>
      </c>
      <c r="AC76" s="103" t="e">
        <f t="shared" ref="AC76:AC100" si="26">IF($A76&lt;&gt;"(DC)", $E76*$AB$7, $E76)</f>
        <v>#REF!</v>
      </c>
      <c r="AD76" s="103" t="e">
        <f t="shared" ref="AD76:AD100" si="27">IF($A76&lt;&gt;"(DC)", $F76*$AB$7, $F76)</f>
        <v>#REF!</v>
      </c>
      <c r="AE76" s="104" t="e">
        <f t="shared" ref="AE76:AE100" si="28">IF(AND($D76="",AC76=""),"",IF($D76="",AC76,$D76+AC76))</f>
        <v>#REF!</v>
      </c>
      <c r="AF76" s="104" t="e">
        <f t="shared" ref="AF76:AF100" si="29">IF(AND($D76="",AD76=""),"",IF($D76="",AD76,$D76+AD76))</f>
        <v>#REF!</v>
      </c>
      <c r="AH76" s="103" t="e">
        <f t="shared" ref="AH76:AH100" si="30">IF($A76&lt;&gt;"(DC)", $E76*$AG$7, $E76)</f>
        <v>#REF!</v>
      </c>
      <c r="AI76" s="103" t="e">
        <f t="shared" ref="AI76:AI100" si="31">IF($A76&lt;&gt;"(DC)", $F76*$AG$7, $F76)</f>
        <v>#REF!</v>
      </c>
      <c r="AJ76" s="104" t="e">
        <f t="shared" ref="AJ76:AJ100" si="32">IF(AND($D76="",AH76=""),"",IF($D76="",AH76,$D76+AH76))</f>
        <v>#REF!</v>
      </c>
      <c r="AK76" s="104" t="e">
        <f t="shared" ref="AK76:AK100" si="33">IF(AND($D76="",AI76=""),"",IF($D76="",AI76,$D76+AI76))</f>
        <v>#REF!</v>
      </c>
    </row>
    <row r="77" spans="1:37" ht="15" customHeight="1">
      <c r="A77" s="97"/>
      <c r="B77" s="106" t="s">
        <v>178</v>
      </c>
      <c r="C77" s="99"/>
      <c r="D77" s="100">
        <v>15.042999999999999</v>
      </c>
      <c r="E77" s="102">
        <v>0.03</v>
      </c>
      <c r="F77" s="102">
        <v>-0.04</v>
      </c>
      <c r="G77" s="18">
        <f t="shared" si="16"/>
        <v>15.072999999999999</v>
      </c>
      <c r="H77" s="23">
        <f t="shared" si="17"/>
        <v>15.003</v>
      </c>
      <c r="I77" s="27"/>
      <c r="J77" s="3"/>
      <c r="K77" s="3"/>
      <c r="L77" s="3"/>
      <c r="M77" s="3"/>
      <c r="N77" s="3"/>
      <c r="O77" s="3"/>
      <c r="P77" s="3"/>
      <c r="Q77" s="3"/>
      <c r="S77" s="103">
        <f t="shared" si="18"/>
        <v>0</v>
      </c>
      <c r="T77" s="103">
        <f t="shared" si="19"/>
        <v>0</v>
      </c>
      <c r="U77" s="104">
        <f t="shared" si="20"/>
        <v>15.042999999999999</v>
      </c>
      <c r="V77" s="104">
        <f t="shared" si="21"/>
        <v>15.042999999999999</v>
      </c>
      <c r="X77" s="103" t="e">
        <f t="shared" si="22"/>
        <v>#REF!</v>
      </c>
      <c r="Y77" s="103" t="e">
        <f t="shared" si="23"/>
        <v>#REF!</v>
      </c>
      <c r="Z77" s="104" t="e">
        <f t="shared" si="24"/>
        <v>#REF!</v>
      </c>
      <c r="AA77" s="104" t="e">
        <f t="shared" si="25"/>
        <v>#REF!</v>
      </c>
      <c r="AC77" s="103" t="e">
        <f t="shared" si="26"/>
        <v>#REF!</v>
      </c>
      <c r="AD77" s="103" t="e">
        <f t="shared" si="27"/>
        <v>#REF!</v>
      </c>
      <c r="AE77" s="104" t="e">
        <f t="shared" si="28"/>
        <v>#REF!</v>
      </c>
      <c r="AF77" s="104" t="e">
        <f t="shared" si="29"/>
        <v>#REF!</v>
      </c>
      <c r="AH77" s="103" t="e">
        <f t="shared" si="30"/>
        <v>#REF!</v>
      </c>
      <c r="AI77" s="103" t="e">
        <f t="shared" si="31"/>
        <v>#REF!</v>
      </c>
      <c r="AJ77" s="104" t="e">
        <f t="shared" si="32"/>
        <v>#REF!</v>
      </c>
      <c r="AK77" s="104" t="e">
        <f t="shared" si="33"/>
        <v>#REF!</v>
      </c>
    </row>
    <row r="78" spans="1:37" ht="15" customHeight="1">
      <c r="A78" s="97"/>
      <c r="B78" s="106" t="s">
        <v>274</v>
      </c>
      <c r="C78" s="99"/>
      <c r="D78" s="100">
        <v>16.117999999999999</v>
      </c>
      <c r="E78" s="102">
        <v>0.03</v>
      </c>
      <c r="F78" s="102">
        <v>-0.03</v>
      </c>
      <c r="G78" s="18">
        <f t="shared" si="16"/>
        <v>16.148</v>
      </c>
      <c r="H78" s="23">
        <f t="shared" si="17"/>
        <v>16.087999999999997</v>
      </c>
      <c r="I78" s="27"/>
      <c r="J78" s="3"/>
      <c r="K78" s="3"/>
      <c r="L78" s="3"/>
      <c r="M78" s="3"/>
      <c r="N78" s="3"/>
      <c r="O78" s="3"/>
      <c r="P78" s="3"/>
      <c r="Q78" s="3"/>
      <c r="S78" s="103">
        <f t="shared" si="18"/>
        <v>0</v>
      </c>
      <c r="T78" s="103">
        <f t="shared" si="19"/>
        <v>0</v>
      </c>
      <c r="U78" s="104">
        <f t="shared" si="20"/>
        <v>16.117999999999999</v>
      </c>
      <c r="V78" s="104">
        <f t="shared" si="21"/>
        <v>16.117999999999999</v>
      </c>
      <c r="X78" s="103" t="e">
        <f t="shared" si="22"/>
        <v>#REF!</v>
      </c>
      <c r="Y78" s="103" t="e">
        <f t="shared" si="23"/>
        <v>#REF!</v>
      </c>
      <c r="Z78" s="104" t="e">
        <f t="shared" si="24"/>
        <v>#REF!</v>
      </c>
      <c r="AA78" s="104" t="e">
        <f t="shared" si="25"/>
        <v>#REF!</v>
      </c>
      <c r="AC78" s="103" t="e">
        <f t="shared" si="26"/>
        <v>#REF!</v>
      </c>
      <c r="AD78" s="103" t="e">
        <f t="shared" si="27"/>
        <v>#REF!</v>
      </c>
      <c r="AE78" s="104" t="e">
        <f t="shared" si="28"/>
        <v>#REF!</v>
      </c>
      <c r="AF78" s="104" t="e">
        <f t="shared" si="29"/>
        <v>#REF!</v>
      </c>
      <c r="AH78" s="103" t="e">
        <f t="shared" si="30"/>
        <v>#REF!</v>
      </c>
      <c r="AI78" s="103" t="e">
        <f t="shared" si="31"/>
        <v>#REF!</v>
      </c>
      <c r="AJ78" s="104" t="e">
        <f t="shared" si="32"/>
        <v>#REF!</v>
      </c>
      <c r="AK78" s="104" t="e">
        <f t="shared" si="33"/>
        <v>#REF!</v>
      </c>
    </row>
    <row r="79" spans="1:37" ht="15" customHeight="1">
      <c r="A79" s="97"/>
      <c r="B79" s="106" t="s">
        <v>275</v>
      </c>
      <c r="C79" s="99"/>
      <c r="D79" s="100">
        <v>16.117999999999999</v>
      </c>
      <c r="E79" s="102">
        <v>0.03</v>
      </c>
      <c r="F79" s="102">
        <v>-0.03</v>
      </c>
      <c r="G79" s="18">
        <f t="shared" si="16"/>
        <v>16.148</v>
      </c>
      <c r="H79" s="23">
        <f t="shared" si="17"/>
        <v>16.087999999999997</v>
      </c>
      <c r="I79" s="27"/>
      <c r="J79" s="3"/>
      <c r="K79" s="3"/>
      <c r="L79" s="3"/>
      <c r="M79" s="3"/>
      <c r="N79" s="3"/>
      <c r="O79" s="3"/>
      <c r="P79" s="3"/>
      <c r="Q79" s="3"/>
      <c r="S79" s="103">
        <f t="shared" si="18"/>
        <v>0</v>
      </c>
      <c r="T79" s="103">
        <f t="shared" si="19"/>
        <v>0</v>
      </c>
      <c r="U79" s="104">
        <f t="shared" si="20"/>
        <v>16.117999999999999</v>
      </c>
      <c r="V79" s="104">
        <f t="shared" si="21"/>
        <v>16.117999999999999</v>
      </c>
      <c r="X79" s="103" t="e">
        <f t="shared" si="22"/>
        <v>#REF!</v>
      </c>
      <c r="Y79" s="103" t="e">
        <f t="shared" si="23"/>
        <v>#REF!</v>
      </c>
      <c r="Z79" s="104" t="e">
        <f t="shared" si="24"/>
        <v>#REF!</v>
      </c>
      <c r="AA79" s="104" t="e">
        <f t="shared" si="25"/>
        <v>#REF!</v>
      </c>
      <c r="AC79" s="103" t="e">
        <f t="shared" si="26"/>
        <v>#REF!</v>
      </c>
      <c r="AD79" s="103" t="e">
        <f t="shared" si="27"/>
        <v>#REF!</v>
      </c>
      <c r="AE79" s="104" t="e">
        <f t="shared" si="28"/>
        <v>#REF!</v>
      </c>
      <c r="AF79" s="104" t="e">
        <f t="shared" si="29"/>
        <v>#REF!</v>
      </c>
      <c r="AH79" s="103" t="e">
        <f t="shared" si="30"/>
        <v>#REF!</v>
      </c>
      <c r="AI79" s="103" t="e">
        <f t="shared" si="31"/>
        <v>#REF!</v>
      </c>
      <c r="AJ79" s="104" t="e">
        <f t="shared" si="32"/>
        <v>#REF!</v>
      </c>
      <c r="AK79" s="104" t="e">
        <f t="shared" si="33"/>
        <v>#REF!</v>
      </c>
    </row>
    <row r="80" spans="1:37" ht="15" customHeight="1">
      <c r="A80" s="97" t="s">
        <v>241</v>
      </c>
      <c r="B80" s="106" t="s">
        <v>179</v>
      </c>
      <c r="C80" s="99">
        <v>1.33</v>
      </c>
      <c r="D80" s="100">
        <v>7.0000000000000007E-2</v>
      </c>
      <c r="E80" s="102">
        <v>0.03</v>
      </c>
      <c r="F80" s="102">
        <v>-0.03</v>
      </c>
      <c r="G80" s="18">
        <f t="shared" si="16"/>
        <v>0.1</v>
      </c>
      <c r="H80" s="23">
        <f t="shared" si="17"/>
        <v>4.0000000000000008E-2</v>
      </c>
      <c r="I80" s="27"/>
      <c r="J80" s="3"/>
      <c r="K80" s="3"/>
      <c r="L80" s="3"/>
      <c r="M80" s="3"/>
      <c r="N80" s="3"/>
      <c r="O80" s="3"/>
      <c r="P80" s="3"/>
      <c r="Q80" s="3"/>
      <c r="S80" s="103">
        <f t="shared" si="18"/>
        <v>0</v>
      </c>
      <c r="T80" s="103">
        <f t="shared" si="19"/>
        <v>0</v>
      </c>
      <c r="U80" s="104">
        <f t="shared" si="20"/>
        <v>7.0000000000000007E-2</v>
      </c>
      <c r="V80" s="104">
        <f t="shared" si="21"/>
        <v>7.0000000000000007E-2</v>
      </c>
      <c r="X80" s="103" t="e">
        <f t="shared" si="22"/>
        <v>#REF!</v>
      </c>
      <c r="Y80" s="103" t="e">
        <f t="shared" si="23"/>
        <v>#REF!</v>
      </c>
      <c r="Z80" s="104" t="e">
        <f t="shared" si="24"/>
        <v>#REF!</v>
      </c>
      <c r="AA80" s="104" t="e">
        <f t="shared" si="25"/>
        <v>#REF!</v>
      </c>
      <c r="AC80" s="103" t="e">
        <f t="shared" si="26"/>
        <v>#REF!</v>
      </c>
      <c r="AD80" s="103" t="e">
        <f t="shared" si="27"/>
        <v>#REF!</v>
      </c>
      <c r="AE80" s="104" t="e">
        <f t="shared" si="28"/>
        <v>#REF!</v>
      </c>
      <c r="AF80" s="104" t="e">
        <f t="shared" si="29"/>
        <v>#REF!</v>
      </c>
      <c r="AH80" s="103" t="e">
        <f t="shared" si="30"/>
        <v>#REF!</v>
      </c>
      <c r="AI80" s="103" t="e">
        <f t="shared" si="31"/>
        <v>#REF!</v>
      </c>
      <c r="AJ80" s="104" t="e">
        <f t="shared" si="32"/>
        <v>#REF!</v>
      </c>
      <c r="AK80" s="104" t="e">
        <f t="shared" si="33"/>
        <v>#REF!</v>
      </c>
    </row>
    <row r="81" spans="1:995 1114:2000 2058:3015 3118:3398" ht="15" customHeight="1">
      <c r="A81" s="97" t="s">
        <v>241</v>
      </c>
      <c r="B81" s="106" t="s">
        <v>180</v>
      </c>
      <c r="C81" s="99">
        <v>1.33</v>
      </c>
      <c r="D81" s="100">
        <v>7.0000000000000007E-2</v>
      </c>
      <c r="E81" s="102">
        <v>0.03</v>
      </c>
      <c r="F81" s="102">
        <v>-0.03</v>
      </c>
      <c r="G81" s="18">
        <f t="shared" si="16"/>
        <v>0.1</v>
      </c>
      <c r="H81" s="23">
        <f t="shared" si="17"/>
        <v>4.0000000000000008E-2</v>
      </c>
      <c r="I81" s="27"/>
      <c r="J81" s="3"/>
      <c r="K81" s="3"/>
      <c r="L81" s="3"/>
      <c r="M81" s="3"/>
      <c r="N81" s="3"/>
      <c r="O81" s="3"/>
      <c r="P81" s="3"/>
      <c r="Q81" s="3"/>
      <c r="S81" s="103">
        <f t="shared" si="18"/>
        <v>0</v>
      </c>
      <c r="T81" s="103">
        <f t="shared" si="19"/>
        <v>0</v>
      </c>
      <c r="U81" s="104">
        <f t="shared" si="20"/>
        <v>7.0000000000000007E-2</v>
      </c>
      <c r="V81" s="104">
        <f t="shared" si="21"/>
        <v>7.0000000000000007E-2</v>
      </c>
      <c r="X81" s="103" t="e">
        <f t="shared" si="22"/>
        <v>#REF!</v>
      </c>
      <c r="Y81" s="103" t="e">
        <f t="shared" si="23"/>
        <v>#REF!</v>
      </c>
      <c r="Z81" s="104" t="e">
        <f t="shared" si="24"/>
        <v>#REF!</v>
      </c>
      <c r="AA81" s="104" t="e">
        <f t="shared" si="25"/>
        <v>#REF!</v>
      </c>
      <c r="AC81" s="103" t="e">
        <f t="shared" si="26"/>
        <v>#REF!</v>
      </c>
      <c r="AD81" s="103" t="e">
        <f t="shared" si="27"/>
        <v>#REF!</v>
      </c>
      <c r="AE81" s="104" t="e">
        <f t="shared" si="28"/>
        <v>#REF!</v>
      </c>
      <c r="AF81" s="104" t="e">
        <f t="shared" si="29"/>
        <v>#REF!</v>
      </c>
      <c r="AH81" s="103" t="e">
        <f t="shared" si="30"/>
        <v>#REF!</v>
      </c>
      <c r="AI81" s="103" t="e">
        <f t="shared" si="31"/>
        <v>#REF!</v>
      </c>
      <c r="AJ81" s="104" t="e">
        <f t="shared" si="32"/>
        <v>#REF!</v>
      </c>
      <c r="AK81" s="104" t="e">
        <f t="shared" si="33"/>
        <v>#REF!</v>
      </c>
    </row>
    <row r="82" spans="1:995 1114:2000 2058:3015 3118:3398" ht="15" customHeight="1">
      <c r="A82" s="97" t="s">
        <v>240</v>
      </c>
      <c r="B82" s="106" t="s">
        <v>181</v>
      </c>
      <c r="C82" s="99">
        <v>1.33</v>
      </c>
      <c r="D82" s="100">
        <v>7.0000000000000007E-2</v>
      </c>
      <c r="E82" s="102">
        <v>0.03</v>
      </c>
      <c r="F82" s="102">
        <v>-0.03</v>
      </c>
      <c r="G82" s="18">
        <f t="shared" si="16"/>
        <v>0.1</v>
      </c>
      <c r="H82" s="23">
        <f t="shared" si="17"/>
        <v>4.0000000000000008E-2</v>
      </c>
      <c r="I82" s="27"/>
      <c r="J82" s="3"/>
      <c r="K82" s="3"/>
      <c r="L82" s="3"/>
      <c r="M82" s="3"/>
      <c r="N82" s="3"/>
      <c r="O82" s="3"/>
      <c r="P82" s="3"/>
      <c r="Q82" s="3"/>
      <c r="S82" s="103">
        <f t="shared" si="18"/>
        <v>0</v>
      </c>
      <c r="T82" s="103">
        <f t="shared" si="19"/>
        <v>0</v>
      </c>
      <c r="U82" s="104">
        <f t="shared" si="20"/>
        <v>7.0000000000000007E-2</v>
      </c>
      <c r="V82" s="104">
        <f t="shared" si="21"/>
        <v>7.0000000000000007E-2</v>
      </c>
      <c r="X82" s="103" t="e">
        <f t="shared" si="22"/>
        <v>#REF!</v>
      </c>
      <c r="Y82" s="103" t="e">
        <f t="shared" si="23"/>
        <v>#REF!</v>
      </c>
      <c r="Z82" s="104" t="e">
        <f t="shared" si="24"/>
        <v>#REF!</v>
      </c>
      <c r="AA82" s="104" t="e">
        <f t="shared" si="25"/>
        <v>#REF!</v>
      </c>
      <c r="AC82" s="103" t="e">
        <f t="shared" si="26"/>
        <v>#REF!</v>
      </c>
      <c r="AD82" s="103" t="e">
        <f t="shared" si="27"/>
        <v>#REF!</v>
      </c>
      <c r="AE82" s="104" t="e">
        <f t="shared" si="28"/>
        <v>#REF!</v>
      </c>
      <c r="AF82" s="104" t="e">
        <f t="shared" si="29"/>
        <v>#REF!</v>
      </c>
      <c r="AH82" s="103" t="e">
        <f t="shared" si="30"/>
        <v>#REF!</v>
      </c>
      <c r="AI82" s="103" t="e">
        <f t="shared" si="31"/>
        <v>#REF!</v>
      </c>
      <c r="AJ82" s="104" t="e">
        <f t="shared" si="32"/>
        <v>#REF!</v>
      </c>
      <c r="AK82" s="104" t="e">
        <f t="shared" si="33"/>
        <v>#REF!</v>
      </c>
    </row>
    <row r="83" spans="1:995 1114:2000 2058:3015 3118:3398" ht="15" customHeight="1">
      <c r="A83" s="97" t="s">
        <v>240</v>
      </c>
      <c r="B83" s="106" t="s">
        <v>182</v>
      </c>
      <c r="C83" s="99">
        <v>1.33</v>
      </c>
      <c r="D83" s="100">
        <v>7.0000000000000007E-2</v>
      </c>
      <c r="E83" s="102">
        <v>0.03</v>
      </c>
      <c r="F83" s="102">
        <v>-0.03</v>
      </c>
      <c r="G83" s="18">
        <f t="shared" si="16"/>
        <v>0.1</v>
      </c>
      <c r="H83" s="23">
        <f t="shared" si="17"/>
        <v>4.0000000000000008E-2</v>
      </c>
      <c r="I83" s="27"/>
      <c r="J83" s="3"/>
      <c r="K83" s="3"/>
      <c r="L83" s="3"/>
      <c r="M83" s="3"/>
      <c r="N83" s="3"/>
      <c r="O83" s="3"/>
      <c r="P83" s="3"/>
      <c r="Q83" s="3"/>
      <c r="S83" s="103">
        <f t="shared" si="18"/>
        <v>0</v>
      </c>
      <c r="T83" s="103">
        <f t="shared" si="19"/>
        <v>0</v>
      </c>
      <c r="U83" s="104">
        <f t="shared" si="20"/>
        <v>7.0000000000000007E-2</v>
      </c>
      <c r="V83" s="104">
        <f t="shared" si="21"/>
        <v>7.0000000000000007E-2</v>
      </c>
      <c r="X83" s="103" t="e">
        <f t="shared" si="22"/>
        <v>#REF!</v>
      </c>
      <c r="Y83" s="103" t="e">
        <f t="shared" si="23"/>
        <v>#REF!</v>
      </c>
      <c r="Z83" s="104" t="e">
        <f t="shared" si="24"/>
        <v>#REF!</v>
      </c>
      <c r="AA83" s="104" t="e">
        <f t="shared" si="25"/>
        <v>#REF!</v>
      </c>
      <c r="AC83" s="103" t="e">
        <f t="shared" si="26"/>
        <v>#REF!</v>
      </c>
      <c r="AD83" s="103" t="e">
        <f t="shared" si="27"/>
        <v>#REF!</v>
      </c>
      <c r="AE83" s="104" t="e">
        <f t="shared" si="28"/>
        <v>#REF!</v>
      </c>
      <c r="AF83" s="104" t="e">
        <f t="shared" si="29"/>
        <v>#REF!</v>
      </c>
      <c r="AH83" s="103" t="e">
        <f t="shared" si="30"/>
        <v>#REF!</v>
      </c>
      <c r="AI83" s="103" t="e">
        <f t="shared" si="31"/>
        <v>#REF!</v>
      </c>
      <c r="AJ83" s="104" t="e">
        <f t="shared" si="32"/>
        <v>#REF!</v>
      </c>
      <c r="AK83" s="104" t="e">
        <f t="shared" si="33"/>
        <v>#REF!</v>
      </c>
    </row>
    <row r="84" spans="1:995 1114:2000 2058:3015 3118:3398" ht="15" customHeight="1">
      <c r="A84" s="97" t="s">
        <v>242</v>
      </c>
      <c r="B84" s="106" t="s">
        <v>183</v>
      </c>
      <c r="C84" s="99">
        <v>1.33</v>
      </c>
      <c r="D84" s="100">
        <v>7.0000000000000007E-2</v>
      </c>
      <c r="E84" s="102">
        <v>0.03</v>
      </c>
      <c r="F84" s="102">
        <v>-0.03</v>
      </c>
      <c r="G84" s="18">
        <f t="shared" si="16"/>
        <v>0.1</v>
      </c>
      <c r="H84" s="23">
        <f t="shared" si="17"/>
        <v>4.0000000000000008E-2</v>
      </c>
      <c r="I84" s="27"/>
      <c r="J84" s="3"/>
      <c r="K84" s="3"/>
      <c r="L84" s="3"/>
      <c r="M84" s="3"/>
      <c r="N84" s="3"/>
      <c r="O84" s="3"/>
      <c r="P84" s="3"/>
      <c r="Q84" s="3"/>
      <c r="S84" s="103">
        <f t="shared" si="18"/>
        <v>0</v>
      </c>
      <c r="T84" s="103">
        <f t="shared" si="19"/>
        <v>0</v>
      </c>
      <c r="U84" s="104">
        <f t="shared" si="20"/>
        <v>7.0000000000000007E-2</v>
      </c>
      <c r="V84" s="104">
        <f t="shared" si="21"/>
        <v>7.0000000000000007E-2</v>
      </c>
      <c r="X84" s="103" t="e">
        <f t="shared" si="22"/>
        <v>#REF!</v>
      </c>
      <c r="Y84" s="103" t="e">
        <f t="shared" si="23"/>
        <v>#REF!</v>
      </c>
      <c r="Z84" s="104" t="e">
        <f t="shared" si="24"/>
        <v>#REF!</v>
      </c>
      <c r="AA84" s="104" t="e">
        <f t="shared" si="25"/>
        <v>#REF!</v>
      </c>
      <c r="AC84" s="103" t="e">
        <f t="shared" si="26"/>
        <v>#REF!</v>
      </c>
      <c r="AD84" s="103" t="e">
        <f t="shared" si="27"/>
        <v>#REF!</v>
      </c>
      <c r="AE84" s="104" t="e">
        <f t="shared" si="28"/>
        <v>#REF!</v>
      </c>
      <c r="AF84" s="104" t="e">
        <f t="shared" si="29"/>
        <v>#REF!</v>
      </c>
      <c r="AH84" s="103" t="e">
        <f t="shared" si="30"/>
        <v>#REF!</v>
      </c>
      <c r="AI84" s="103" t="e">
        <f t="shared" si="31"/>
        <v>#REF!</v>
      </c>
      <c r="AJ84" s="104" t="e">
        <f t="shared" si="32"/>
        <v>#REF!</v>
      </c>
      <c r="AK84" s="104" t="e">
        <f t="shared" si="33"/>
        <v>#REF!</v>
      </c>
    </row>
    <row r="85" spans="1:995 1114:2000 2058:3015 3118:3398" ht="15" customHeight="1">
      <c r="A85" s="97" t="s">
        <v>242</v>
      </c>
      <c r="B85" s="106" t="s">
        <v>184</v>
      </c>
      <c r="C85" s="99">
        <v>1.33</v>
      </c>
      <c r="D85" s="100">
        <v>7.0000000000000007E-2</v>
      </c>
      <c r="E85" s="102">
        <v>0.03</v>
      </c>
      <c r="F85" s="102">
        <v>-0.03</v>
      </c>
      <c r="G85" s="18">
        <f t="shared" si="16"/>
        <v>0.1</v>
      </c>
      <c r="H85" s="23">
        <f t="shared" si="17"/>
        <v>4.0000000000000008E-2</v>
      </c>
      <c r="I85" s="26"/>
      <c r="J85" s="3"/>
      <c r="K85" s="3"/>
      <c r="L85" s="3"/>
      <c r="M85" s="3"/>
      <c r="N85" s="3"/>
      <c r="O85" s="3"/>
      <c r="P85" s="3"/>
      <c r="Q85" s="3"/>
      <c r="S85" s="103">
        <f t="shared" si="18"/>
        <v>0</v>
      </c>
      <c r="T85" s="103">
        <f t="shared" si="19"/>
        <v>0</v>
      </c>
      <c r="U85" s="104">
        <f t="shared" si="20"/>
        <v>7.0000000000000007E-2</v>
      </c>
      <c r="V85" s="104">
        <f t="shared" si="21"/>
        <v>7.0000000000000007E-2</v>
      </c>
      <c r="X85" s="103" t="e">
        <f t="shared" si="22"/>
        <v>#REF!</v>
      </c>
      <c r="Y85" s="103" t="e">
        <f t="shared" si="23"/>
        <v>#REF!</v>
      </c>
      <c r="Z85" s="104" t="e">
        <f t="shared" si="24"/>
        <v>#REF!</v>
      </c>
      <c r="AA85" s="104" t="e">
        <f t="shared" si="25"/>
        <v>#REF!</v>
      </c>
      <c r="AC85" s="103" t="e">
        <f t="shared" si="26"/>
        <v>#REF!</v>
      </c>
      <c r="AD85" s="103" t="e">
        <f t="shared" si="27"/>
        <v>#REF!</v>
      </c>
      <c r="AE85" s="104" t="e">
        <f t="shared" si="28"/>
        <v>#REF!</v>
      </c>
      <c r="AF85" s="104" t="e">
        <f t="shared" si="29"/>
        <v>#REF!</v>
      </c>
      <c r="AH85" s="103" t="e">
        <f t="shared" si="30"/>
        <v>#REF!</v>
      </c>
      <c r="AI85" s="103" t="e">
        <f t="shared" si="31"/>
        <v>#REF!</v>
      </c>
      <c r="AJ85" s="104" t="e">
        <f t="shared" si="32"/>
        <v>#REF!</v>
      </c>
      <c r="AK85" s="104" t="e">
        <f t="shared" si="33"/>
        <v>#REF!</v>
      </c>
    </row>
    <row r="86" spans="1:995 1114:2000 2058:3015 3118:3398" ht="15" customHeight="1">
      <c r="A86" s="97"/>
      <c r="B86" s="106" t="s">
        <v>185</v>
      </c>
      <c r="C86" s="99"/>
      <c r="D86" s="100">
        <v>0.1</v>
      </c>
      <c r="E86" s="102">
        <v>0.01</v>
      </c>
      <c r="F86" s="102">
        <v>-0.04</v>
      </c>
      <c r="G86" s="18">
        <f t="shared" si="16"/>
        <v>0.11</v>
      </c>
      <c r="H86" s="23">
        <f t="shared" si="17"/>
        <v>6.0000000000000005E-2</v>
      </c>
      <c r="I86" s="26"/>
      <c r="J86" s="3"/>
      <c r="K86" s="3"/>
      <c r="L86" s="3"/>
      <c r="M86" s="3"/>
      <c r="N86" s="3"/>
      <c r="O86" s="3"/>
      <c r="P86" s="3"/>
      <c r="Q86" s="3"/>
      <c r="S86" s="103">
        <f t="shared" si="18"/>
        <v>0</v>
      </c>
      <c r="T86" s="103">
        <f t="shared" si="19"/>
        <v>0</v>
      </c>
      <c r="U86" s="104">
        <f t="shared" si="20"/>
        <v>0.1</v>
      </c>
      <c r="V86" s="104">
        <f t="shared" si="21"/>
        <v>0.1</v>
      </c>
      <c r="X86" s="103" t="e">
        <f t="shared" si="22"/>
        <v>#REF!</v>
      </c>
      <c r="Y86" s="103" t="e">
        <f t="shared" si="23"/>
        <v>#REF!</v>
      </c>
      <c r="Z86" s="104" t="e">
        <f t="shared" si="24"/>
        <v>#REF!</v>
      </c>
      <c r="AA86" s="104" t="e">
        <f t="shared" si="25"/>
        <v>#REF!</v>
      </c>
      <c r="AC86" s="103" t="e">
        <f t="shared" si="26"/>
        <v>#REF!</v>
      </c>
      <c r="AD86" s="103" t="e">
        <f t="shared" si="27"/>
        <v>#REF!</v>
      </c>
      <c r="AE86" s="104" t="e">
        <f t="shared" si="28"/>
        <v>#REF!</v>
      </c>
      <c r="AF86" s="104" t="e">
        <f t="shared" si="29"/>
        <v>#REF!</v>
      </c>
      <c r="AH86" s="103" t="e">
        <f t="shared" si="30"/>
        <v>#REF!</v>
      </c>
      <c r="AI86" s="103" t="e">
        <f t="shared" si="31"/>
        <v>#REF!</v>
      </c>
      <c r="AJ86" s="104" t="e">
        <f t="shared" si="32"/>
        <v>#REF!</v>
      </c>
      <c r="AK86" s="104" t="e">
        <f t="shared" si="33"/>
        <v>#REF!</v>
      </c>
    </row>
    <row r="87" spans="1:995 1114:2000 2058:3015 3118:3398" ht="15" customHeight="1">
      <c r="A87" s="97"/>
      <c r="B87" s="106" t="s">
        <v>186</v>
      </c>
      <c r="C87" s="99"/>
      <c r="D87" s="100">
        <v>0.1</v>
      </c>
      <c r="E87" s="102">
        <v>0.01</v>
      </c>
      <c r="F87" s="102">
        <v>-0.04</v>
      </c>
      <c r="G87" s="18">
        <f t="shared" si="16"/>
        <v>0.11</v>
      </c>
      <c r="H87" s="23">
        <f t="shared" si="17"/>
        <v>6.0000000000000005E-2</v>
      </c>
      <c r="I87" s="26"/>
      <c r="J87" s="3"/>
      <c r="K87" s="3"/>
      <c r="L87" s="3"/>
      <c r="M87" s="3"/>
      <c r="N87" s="3"/>
      <c r="O87" s="3"/>
      <c r="P87" s="3"/>
      <c r="Q87" s="3"/>
      <c r="S87" s="103">
        <f t="shared" si="18"/>
        <v>0</v>
      </c>
      <c r="T87" s="103">
        <f t="shared" si="19"/>
        <v>0</v>
      </c>
      <c r="U87" s="104">
        <f t="shared" si="20"/>
        <v>0.1</v>
      </c>
      <c r="V87" s="104">
        <f t="shared" si="21"/>
        <v>0.1</v>
      </c>
      <c r="X87" s="103" t="e">
        <f t="shared" si="22"/>
        <v>#REF!</v>
      </c>
      <c r="Y87" s="103" t="e">
        <f t="shared" si="23"/>
        <v>#REF!</v>
      </c>
      <c r="Z87" s="104" t="e">
        <f t="shared" si="24"/>
        <v>#REF!</v>
      </c>
      <c r="AA87" s="104" t="e">
        <f t="shared" si="25"/>
        <v>#REF!</v>
      </c>
      <c r="AC87" s="103" t="e">
        <f t="shared" si="26"/>
        <v>#REF!</v>
      </c>
      <c r="AD87" s="103" t="e">
        <f t="shared" si="27"/>
        <v>#REF!</v>
      </c>
      <c r="AE87" s="104" t="e">
        <f t="shared" si="28"/>
        <v>#REF!</v>
      </c>
      <c r="AF87" s="104" t="e">
        <f t="shared" si="29"/>
        <v>#REF!</v>
      </c>
      <c r="AH87" s="103" t="e">
        <f t="shared" si="30"/>
        <v>#REF!</v>
      </c>
      <c r="AI87" s="103" t="e">
        <f t="shared" si="31"/>
        <v>#REF!</v>
      </c>
      <c r="AJ87" s="104" t="e">
        <f t="shared" si="32"/>
        <v>#REF!</v>
      </c>
      <c r="AK87" s="104" t="e">
        <f t="shared" si="33"/>
        <v>#REF!</v>
      </c>
    </row>
    <row r="88" spans="1:995 1114:2000 2058:3015 3118:3398" ht="15" customHeight="1">
      <c r="A88" s="97"/>
      <c r="B88" s="106" t="s">
        <v>187</v>
      </c>
      <c r="C88" s="99"/>
      <c r="D88" s="100">
        <v>0.1</v>
      </c>
      <c r="E88" s="102">
        <v>0.01</v>
      </c>
      <c r="F88" s="102">
        <v>-0.04</v>
      </c>
      <c r="G88" s="18">
        <f t="shared" si="16"/>
        <v>0.11</v>
      </c>
      <c r="H88" s="23">
        <f t="shared" si="17"/>
        <v>6.0000000000000005E-2</v>
      </c>
      <c r="I88" s="26"/>
      <c r="J88" s="3"/>
      <c r="K88" s="3"/>
      <c r="L88" s="3"/>
      <c r="M88" s="3"/>
      <c r="N88" s="3"/>
      <c r="O88" s="3"/>
      <c r="P88" s="3"/>
      <c r="Q88" s="3"/>
      <c r="S88" s="103">
        <f t="shared" si="18"/>
        <v>0</v>
      </c>
      <c r="T88" s="103">
        <f t="shared" si="19"/>
        <v>0</v>
      </c>
      <c r="U88" s="104">
        <f t="shared" si="20"/>
        <v>0.1</v>
      </c>
      <c r="V88" s="104">
        <f t="shared" si="21"/>
        <v>0.1</v>
      </c>
      <c r="X88" s="103" t="e">
        <f t="shared" si="22"/>
        <v>#REF!</v>
      </c>
      <c r="Y88" s="103" t="e">
        <f t="shared" si="23"/>
        <v>#REF!</v>
      </c>
      <c r="Z88" s="104" t="e">
        <f t="shared" si="24"/>
        <v>#REF!</v>
      </c>
      <c r="AA88" s="104" t="e">
        <f t="shared" si="25"/>
        <v>#REF!</v>
      </c>
      <c r="AC88" s="103" t="e">
        <f t="shared" si="26"/>
        <v>#REF!</v>
      </c>
      <c r="AD88" s="103" t="e">
        <f t="shared" si="27"/>
        <v>#REF!</v>
      </c>
      <c r="AE88" s="104" t="e">
        <f t="shared" si="28"/>
        <v>#REF!</v>
      </c>
      <c r="AF88" s="104" t="e">
        <f t="shared" si="29"/>
        <v>#REF!</v>
      </c>
      <c r="AH88" s="103" t="e">
        <f t="shared" si="30"/>
        <v>#REF!</v>
      </c>
      <c r="AI88" s="103" t="e">
        <f t="shared" si="31"/>
        <v>#REF!</v>
      </c>
      <c r="AJ88" s="104" t="e">
        <f t="shared" si="32"/>
        <v>#REF!</v>
      </c>
      <c r="AK88" s="104" t="e">
        <f t="shared" si="33"/>
        <v>#REF!</v>
      </c>
    </row>
    <row r="89" spans="1:995 1114:2000 2058:3015 3118:3398" ht="15" customHeight="1">
      <c r="A89" s="97"/>
      <c r="B89" s="106" t="s">
        <v>188</v>
      </c>
      <c r="C89" s="99"/>
      <c r="D89" s="100">
        <v>0.1</v>
      </c>
      <c r="E89" s="102">
        <v>0.01</v>
      </c>
      <c r="F89" s="102">
        <v>-0.04</v>
      </c>
      <c r="G89" s="18">
        <f t="shared" si="16"/>
        <v>0.11</v>
      </c>
      <c r="H89" s="23">
        <f t="shared" si="17"/>
        <v>6.0000000000000005E-2</v>
      </c>
      <c r="I89" s="27"/>
      <c r="J89" s="3"/>
      <c r="K89" s="3"/>
      <c r="L89" s="3"/>
      <c r="M89" s="3"/>
      <c r="N89" s="3"/>
      <c r="O89" s="3"/>
      <c r="P89" s="3"/>
      <c r="Q89" s="3"/>
      <c r="S89" s="103">
        <f t="shared" si="18"/>
        <v>0</v>
      </c>
      <c r="T89" s="103">
        <f t="shared" si="19"/>
        <v>0</v>
      </c>
      <c r="U89" s="104">
        <f t="shared" si="20"/>
        <v>0.1</v>
      </c>
      <c r="V89" s="104">
        <f t="shared" si="21"/>
        <v>0.1</v>
      </c>
      <c r="X89" s="103" t="e">
        <f t="shared" si="22"/>
        <v>#REF!</v>
      </c>
      <c r="Y89" s="103" t="e">
        <f t="shared" si="23"/>
        <v>#REF!</v>
      </c>
      <c r="Z89" s="104" t="e">
        <f t="shared" si="24"/>
        <v>#REF!</v>
      </c>
      <c r="AA89" s="104" t="e">
        <f t="shared" si="25"/>
        <v>#REF!</v>
      </c>
      <c r="AC89" s="103" t="e">
        <f t="shared" si="26"/>
        <v>#REF!</v>
      </c>
      <c r="AD89" s="103" t="e">
        <f t="shared" si="27"/>
        <v>#REF!</v>
      </c>
      <c r="AE89" s="104" t="e">
        <f t="shared" si="28"/>
        <v>#REF!</v>
      </c>
      <c r="AF89" s="104" t="e">
        <f t="shared" si="29"/>
        <v>#REF!</v>
      </c>
      <c r="AH89" s="103" t="e">
        <f t="shared" si="30"/>
        <v>#REF!</v>
      </c>
      <c r="AI89" s="103" t="e">
        <f t="shared" si="31"/>
        <v>#REF!</v>
      </c>
      <c r="AJ89" s="104" t="e">
        <f t="shared" si="32"/>
        <v>#REF!</v>
      </c>
      <c r="AK89" s="104" t="e">
        <f t="shared" si="33"/>
        <v>#REF!</v>
      </c>
    </row>
    <row r="90" spans="1:995 1114:2000 2058:3015 3118:3398" ht="15" customHeight="1">
      <c r="A90" s="97" t="s">
        <v>276</v>
      </c>
      <c r="B90" s="105" t="s">
        <v>189</v>
      </c>
      <c r="C90" s="99">
        <v>1.33</v>
      </c>
      <c r="D90" s="100">
        <v>0.13500000000000001</v>
      </c>
      <c r="E90" s="102">
        <v>5.0000000000000001E-3</v>
      </c>
      <c r="F90" s="102">
        <v>-5.0000000000000001E-3</v>
      </c>
      <c r="G90" s="18">
        <f t="shared" si="16"/>
        <v>0.14000000000000001</v>
      </c>
      <c r="H90" s="23">
        <f t="shared" si="17"/>
        <v>0.13</v>
      </c>
      <c r="I90" s="27"/>
      <c r="J90" s="3"/>
      <c r="K90" s="3"/>
      <c r="L90" s="3"/>
      <c r="M90" s="3"/>
      <c r="N90" s="3"/>
      <c r="O90" s="3"/>
      <c r="P90" s="3"/>
      <c r="Q90" s="3"/>
      <c r="S90" s="103">
        <f t="shared" si="18"/>
        <v>0</v>
      </c>
      <c r="T90" s="103">
        <f t="shared" si="19"/>
        <v>0</v>
      </c>
      <c r="U90" s="104">
        <f t="shared" si="20"/>
        <v>0.13500000000000001</v>
      </c>
      <c r="V90" s="104">
        <f t="shared" si="21"/>
        <v>0.13500000000000001</v>
      </c>
      <c r="X90" s="103" t="e">
        <f t="shared" si="22"/>
        <v>#REF!</v>
      </c>
      <c r="Y90" s="103" t="e">
        <f t="shared" si="23"/>
        <v>#REF!</v>
      </c>
      <c r="Z90" s="104" t="e">
        <f t="shared" si="24"/>
        <v>#REF!</v>
      </c>
      <c r="AA90" s="104" t="e">
        <f t="shared" si="25"/>
        <v>#REF!</v>
      </c>
      <c r="AC90" s="103" t="e">
        <f t="shared" si="26"/>
        <v>#REF!</v>
      </c>
      <c r="AD90" s="103" t="e">
        <f t="shared" si="27"/>
        <v>#REF!</v>
      </c>
      <c r="AE90" s="104" t="e">
        <f t="shared" si="28"/>
        <v>#REF!</v>
      </c>
      <c r="AF90" s="104" t="e">
        <f t="shared" si="29"/>
        <v>#REF!</v>
      </c>
      <c r="AH90" s="103" t="e">
        <f t="shared" si="30"/>
        <v>#REF!</v>
      </c>
      <c r="AI90" s="103" t="e">
        <f t="shared" si="31"/>
        <v>#REF!</v>
      </c>
      <c r="AJ90" s="104" t="e">
        <f t="shared" si="32"/>
        <v>#REF!</v>
      </c>
      <c r="AK90" s="104" t="e">
        <f t="shared" si="33"/>
        <v>#REF!</v>
      </c>
      <c r="EI90" s="77"/>
      <c r="PW90" s="77"/>
      <c r="QQ90" s="77"/>
      <c r="TQ90" s="77"/>
      <c r="TX90" s="77"/>
      <c r="UG90" s="77"/>
      <c r="UP90" s="77"/>
      <c r="XG90" s="77"/>
      <c r="XU90" s="77"/>
      <c r="YW90" s="77"/>
      <c r="ZR90" s="77"/>
      <c r="ZX90" s="77"/>
      <c r="ACV90" s="77"/>
      <c r="ADF90" s="77"/>
      <c r="ADR90" s="77"/>
      <c r="AHN90" s="77"/>
      <c r="AQQ90" s="77"/>
      <c r="ARE90" s="77"/>
      <c r="AZL90" s="77"/>
      <c r="BER90" s="77"/>
      <c r="BHS90" s="77"/>
      <c r="BMD90" s="77"/>
      <c r="BUR90" s="77"/>
      <c r="BUU90" s="77"/>
      <c r="BVX90" s="77"/>
      <c r="CAD90" s="77"/>
      <c r="CAO90" s="77"/>
      <c r="CWU90" s="77"/>
      <c r="CZG90" s="77"/>
      <c r="DET90" s="77"/>
      <c r="DIG90" s="77"/>
      <c r="DRF90" s="77"/>
    </row>
    <row r="91" spans="1:995 1114:2000 2058:3015 3118:3398" ht="15" customHeight="1">
      <c r="A91" s="97" t="s">
        <v>276</v>
      </c>
      <c r="B91" s="105" t="s">
        <v>190</v>
      </c>
      <c r="C91" s="99">
        <v>1.33</v>
      </c>
      <c r="D91" s="100">
        <v>0.13500000000000001</v>
      </c>
      <c r="E91" s="102">
        <v>5.0000000000000001E-3</v>
      </c>
      <c r="F91" s="102">
        <v>-5.0000000000000001E-3</v>
      </c>
      <c r="G91" s="18">
        <f t="shared" si="16"/>
        <v>0.14000000000000001</v>
      </c>
      <c r="H91" s="23">
        <f t="shared" si="17"/>
        <v>0.13</v>
      </c>
      <c r="I91" s="27"/>
      <c r="J91" s="3"/>
      <c r="K91" s="3"/>
      <c r="L91" s="3"/>
      <c r="M91" s="3"/>
      <c r="N91" s="3"/>
      <c r="O91" s="3"/>
      <c r="P91" s="3"/>
      <c r="Q91" s="3"/>
      <c r="S91" s="103">
        <f t="shared" si="18"/>
        <v>0</v>
      </c>
      <c r="T91" s="103">
        <f t="shared" si="19"/>
        <v>0</v>
      </c>
      <c r="U91" s="104">
        <f t="shared" si="20"/>
        <v>0.13500000000000001</v>
      </c>
      <c r="V91" s="104">
        <f t="shared" si="21"/>
        <v>0.13500000000000001</v>
      </c>
      <c r="X91" s="103" t="e">
        <f t="shared" si="22"/>
        <v>#REF!</v>
      </c>
      <c r="Y91" s="103" t="e">
        <f t="shared" si="23"/>
        <v>#REF!</v>
      </c>
      <c r="Z91" s="104" t="e">
        <f t="shared" si="24"/>
        <v>#REF!</v>
      </c>
      <c r="AA91" s="104" t="e">
        <f t="shared" si="25"/>
        <v>#REF!</v>
      </c>
      <c r="AC91" s="103" t="e">
        <f t="shared" si="26"/>
        <v>#REF!</v>
      </c>
      <c r="AD91" s="103" t="e">
        <f t="shared" si="27"/>
        <v>#REF!</v>
      </c>
      <c r="AE91" s="104" t="e">
        <f t="shared" si="28"/>
        <v>#REF!</v>
      </c>
      <c r="AF91" s="104" t="e">
        <f t="shared" si="29"/>
        <v>#REF!</v>
      </c>
      <c r="AH91" s="103" t="e">
        <f t="shared" si="30"/>
        <v>#REF!</v>
      </c>
      <c r="AI91" s="103" t="e">
        <f t="shared" si="31"/>
        <v>#REF!</v>
      </c>
      <c r="AJ91" s="104" t="e">
        <f t="shared" si="32"/>
        <v>#REF!</v>
      </c>
      <c r="AK91" s="104" t="e">
        <f t="shared" si="33"/>
        <v>#REF!</v>
      </c>
      <c r="CH91" s="77"/>
      <c r="HM91" s="77"/>
      <c r="HR91" s="77"/>
      <c r="NG91" s="77"/>
      <c r="QF91" s="77"/>
      <c r="SJ91" s="77"/>
      <c r="UX91" s="77"/>
      <c r="VV91" s="77"/>
      <c r="ALG91" s="77"/>
      <c r="APV91" s="77"/>
      <c r="AWA91" s="77"/>
      <c r="BCZ91" s="77"/>
      <c r="BFE91" s="77"/>
      <c r="BLU91" s="77"/>
      <c r="BMN91" s="77"/>
      <c r="BPT91" s="77"/>
      <c r="BWJ91" s="77"/>
      <c r="BXX91" s="77"/>
      <c r="CJH91" s="77"/>
      <c r="CKQ91" s="77"/>
      <c r="CRV91" s="77"/>
      <c r="CWM91" s="77"/>
      <c r="CYH91" s="77"/>
      <c r="DAI91" s="77"/>
      <c r="DDB91" s="77"/>
      <c r="DDR91" s="77"/>
      <c r="DEJ91" s="77"/>
      <c r="DGS91" s="77"/>
      <c r="DII91" s="77"/>
      <c r="DPM91" s="77"/>
      <c r="DRY91" s="77"/>
      <c r="DUS91" s="77"/>
      <c r="DXI91" s="77"/>
    </row>
    <row r="92" spans="1:995 1114:2000 2058:3015 3118:3398" ht="15" customHeight="1">
      <c r="A92" s="97" t="s">
        <v>38</v>
      </c>
      <c r="B92" s="105" t="s">
        <v>191</v>
      </c>
      <c r="C92" s="99">
        <v>1.33</v>
      </c>
      <c r="D92" s="100">
        <v>0.13500000000000001</v>
      </c>
      <c r="E92" s="102">
        <v>5.0000000000000001E-3</v>
      </c>
      <c r="F92" s="102">
        <v>-5.0000000000000001E-3</v>
      </c>
      <c r="G92" s="18">
        <f t="shared" si="16"/>
        <v>0.14000000000000001</v>
      </c>
      <c r="H92" s="23">
        <f t="shared" si="17"/>
        <v>0.13</v>
      </c>
      <c r="I92" s="27"/>
      <c r="J92" s="3"/>
      <c r="K92" s="3"/>
      <c r="L92" s="3"/>
      <c r="M92" s="3"/>
      <c r="N92" s="3"/>
      <c r="O92" s="3"/>
      <c r="P92" s="3"/>
      <c r="Q92" s="3"/>
      <c r="S92" s="103">
        <f t="shared" si="18"/>
        <v>0</v>
      </c>
      <c r="T92" s="103">
        <f t="shared" si="19"/>
        <v>0</v>
      </c>
      <c r="U92" s="104">
        <f t="shared" si="20"/>
        <v>0.13500000000000001</v>
      </c>
      <c r="V92" s="104">
        <f t="shared" si="21"/>
        <v>0.13500000000000001</v>
      </c>
      <c r="X92" s="103" t="e">
        <f t="shared" si="22"/>
        <v>#REF!</v>
      </c>
      <c r="Y92" s="103" t="e">
        <f t="shared" si="23"/>
        <v>#REF!</v>
      </c>
      <c r="Z92" s="104" t="e">
        <f t="shared" si="24"/>
        <v>#REF!</v>
      </c>
      <c r="AA92" s="104" t="e">
        <f t="shared" si="25"/>
        <v>#REF!</v>
      </c>
      <c r="AC92" s="103" t="e">
        <f t="shared" si="26"/>
        <v>#REF!</v>
      </c>
      <c r="AD92" s="103" t="e">
        <f t="shared" si="27"/>
        <v>#REF!</v>
      </c>
      <c r="AE92" s="104" t="e">
        <f t="shared" si="28"/>
        <v>#REF!</v>
      </c>
      <c r="AF92" s="104" t="e">
        <f t="shared" si="29"/>
        <v>#REF!</v>
      </c>
      <c r="AH92" s="103" t="e">
        <f t="shared" si="30"/>
        <v>#REF!</v>
      </c>
      <c r="AI92" s="103" t="e">
        <f t="shared" si="31"/>
        <v>#REF!</v>
      </c>
      <c r="AJ92" s="104" t="e">
        <f t="shared" si="32"/>
        <v>#REF!</v>
      </c>
      <c r="AK92" s="104" t="e">
        <f t="shared" si="33"/>
        <v>#REF!</v>
      </c>
      <c r="AX92" s="77"/>
      <c r="LW92" s="77"/>
      <c r="SE92" s="77"/>
      <c r="SO92" s="77"/>
      <c r="SV92" s="77"/>
      <c r="VK92" s="77"/>
      <c r="WY92" s="77"/>
      <c r="ADQ92" s="77"/>
      <c r="AIP92" s="77"/>
      <c r="AKU92" s="77"/>
      <c r="ARN92" s="77"/>
      <c r="BCZ92" s="77"/>
      <c r="BID92" s="77"/>
      <c r="BJT92" s="77"/>
      <c r="BKL92" s="77"/>
      <c r="BPT92" s="77"/>
      <c r="BVZ92" s="77"/>
      <c r="CAG92" s="77"/>
      <c r="CKT92" s="77"/>
      <c r="CNT92" s="77"/>
      <c r="CTI92" s="77"/>
      <c r="CUZ92" s="77"/>
      <c r="CVE92" s="77"/>
      <c r="CWG92" s="77"/>
      <c r="DEW92" s="77"/>
      <c r="DHC92" s="77"/>
      <c r="DJU92" s="77"/>
      <c r="DKT92" s="77"/>
      <c r="DKY92" s="77"/>
      <c r="DOX92" s="77"/>
      <c r="DZR92" s="77"/>
    </row>
    <row r="93" spans="1:995 1114:2000 2058:3015 3118:3398" ht="15" customHeight="1">
      <c r="A93" s="97" t="s">
        <v>38</v>
      </c>
      <c r="B93" s="105" t="s">
        <v>192</v>
      </c>
      <c r="C93" s="99">
        <v>1.33</v>
      </c>
      <c r="D93" s="100">
        <v>0.13500000000000001</v>
      </c>
      <c r="E93" s="102">
        <v>5.0000000000000001E-3</v>
      </c>
      <c r="F93" s="102">
        <v>-5.0000000000000001E-3</v>
      </c>
      <c r="G93" s="18">
        <f t="shared" si="16"/>
        <v>0.14000000000000001</v>
      </c>
      <c r="H93" s="23">
        <f t="shared" si="17"/>
        <v>0.13</v>
      </c>
      <c r="I93" s="27"/>
      <c r="J93" s="3"/>
      <c r="K93" s="3"/>
      <c r="L93" s="3"/>
      <c r="M93" s="3"/>
      <c r="N93" s="3"/>
      <c r="O93" s="3"/>
      <c r="P93" s="3"/>
      <c r="Q93" s="3"/>
      <c r="S93" s="103">
        <f t="shared" si="18"/>
        <v>0</v>
      </c>
      <c r="T93" s="103">
        <f t="shared" si="19"/>
        <v>0</v>
      </c>
      <c r="U93" s="104">
        <f t="shared" si="20"/>
        <v>0.13500000000000001</v>
      </c>
      <c r="V93" s="104">
        <f t="shared" si="21"/>
        <v>0.13500000000000001</v>
      </c>
      <c r="X93" s="103" t="e">
        <f t="shared" si="22"/>
        <v>#REF!</v>
      </c>
      <c r="Y93" s="103" t="e">
        <f t="shared" si="23"/>
        <v>#REF!</v>
      </c>
      <c r="Z93" s="104" t="e">
        <f t="shared" si="24"/>
        <v>#REF!</v>
      </c>
      <c r="AA93" s="104" t="e">
        <f t="shared" si="25"/>
        <v>#REF!</v>
      </c>
      <c r="AC93" s="103" t="e">
        <f t="shared" si="26"/>
        <v>#REF!</v>
      </c>
      <c r="AD93" s="103" t="e">
        <f t="shared" si="27"/>
        <v>#REF!</v>
      </c>
      <c r="AE93" s="104" t="e">
        <f t="shared" si="28"/>
        <v>#REF!</v>
      </c>
      <c r="AF93" s="104" t="e">
        <f t="shared" si="29"/>
        <v>#REF!</v>
      </c>
      <c r="AH93" s="103" t="e">
        <f t="shared" si="30"/>
        <v>#REF!</v>
      </c>
      <c r="AI93" s="103" t="e">
        <f t="shared" si="31"/>
        <v>#REF!</v>
      </c>
      <c r="AJ93" s="104" t="e">
        <f t="shared" si="32"/>
        <v>#REF!</v>
      </c>
      <c r="AK93" s="104" t="e">
        <f t="shared" si="33"/>
        <v>#REF!</v>
      </c>
    </row>
    <row r="94" spans="1:995 1114:2000 2058:3015 3118:3398" ht="15" customHeight="1">
      <c r="A94" s="97"/>
      <c r="B94" s="105"/>
      <c r="C94" s="99"/>
      <c r="D94" s="100"/>
      <c r="E94" s="102"/>
      <c r="F94" s="102"/>
      <c r="G94" s="18"/>
      <c r="H94" s="23"/>
      <c r="I94" s="27"/>
      <c r="J94" s="3"/>
      <c r="K94" s="3"/>
      <c r="L94" s="3"/>
      <c r="M94" s="3"/>
      <c r="N94" s="3"/>
      <c r="O94" s="3"/>
      <c r="P94" s="3"/>
      <c r="Q94" s="3"/>
      <c r="S94" s="103">
        <f t="shared" si="18"/>
        <v>0</v>
      </c>
      <c r="T94" s="103">
        <f t="shared" si="19"/>
        <v>0</v>
      </c>
      <c r="U94" s="104">
        <f t="shared" si="20"/>
        <v>0</v>
      </c>
      <c r="V94" s="104">
        <f t="shared" si="21"/>
        <v>0</v>
      </c>
      <c r="X94" s="103" t="e">
        <f t="shared" si="22"/>
        <v>#REF!</v>
      </c>
      <c r="Y94" s="103" t="e">
        <f t="shared" si="23"/>
        <v>#REF!</v>
      </c>
      <c r="Z94" s="104" t="e">
        <f t="shared" si="24"/>
        <v>#REF!</v>
      </c>
      <c r="AA94" s="104" t="e">
        <f t="shared" si="25"/>
        <v>#REF!</v>
      </c>
      <c r="AC94" s="103" t="e">
        <f t="shared" si="26"/>
        <v>#REF!</v>
      </c>
      <c r="AD94" s="103" t="e">
        <f t="shared" si="27"/>
        <v>#REF!</v>
      </c>
      <c r="AE94" s="104" t="e">
        <f t="shared" si="28"/>
        <v>#REF!</v>
      </c>
      <c r="AF94" s="104" t="e">
        <f t="shared" si="29"/>
        <v>#REF!</v>
      </c>
      <c r="AH94" s="103" t="e">
        <f t="shared" si="30"/>
        <v>#REF!</v>
      </c>
      <c r="AI94" s="103" t="e">
        <f t="shared" si="31"/>
        <v>#REF!</v>
      </c>
      <c r="AJ94" s="104" t="e">
        <f t="shared" si="32"/>
        <v>#REF!</v>
      </c>
      <c r="AK94" s="104" t="e">
        <f t="shared" si="33"/>
        <v>#REF!</v>
      </c>
    </row>
    <row r="95" spans="1:995 1114:2000 2058:3015 3118:3398" ht="15" customHeight="1">
      <c r="A95" s="97"/>
      <c r="B95" s="105" t="s">
        <v>277</v>
      </c>
      <c r="C95" s="99"/>
      <c r="D95" s="100">
        <v>1.2</v>
      </c>
      <c r="E95" s="102">
        <v>0.03</v>
      </c>
      <c r="F95" s="102">
        <v>-0.03</v>
      </c>
      <c r="G95" s="18">
        <f t="shared" si="16"/>
        <v>1.23</v>
      </c>
      <c r="H95" s="23">
        <f t="shared" si="17"/>
        <v>1.17</v>
      </c>
      <c r="I95" s="27"/>
      <c r="J95" s="3"/>
      <c r="K95" s="3"/>
      <c r="L95" s="3"/>
      <c r="M95" s="3"/>
      <c r="N95" s="3"/>
      <c r="O95" s="3"/>
      <c r="P95" s="3"/>
      <c r="Q95" s="3"/>
      <c r="S95" s="103">
        <f t="shared" si="18"/>
        <v>0</v>
      </c>
      <c r="T95" s="103">
        <f t="shared" si="19"/>
        <v>0</v>
      </c>
      <c r="U95" s="104">
        <f t="shared" si="20"/>
        <v>1.2</v>
      </c>
      <c r="V95" s="104">
        <f t="shared" si="21"/>
        <v>1.2</v>
      </c>
      <c r="X95" s="103" t="e">
        <f t="shared" si="22"/>
        <v>#REF!</v>
      </c>
      <c r="Y95" s="103" t="e">
        <f t="shared" si="23"/>
        <v>#REF!</v>
      </c>
      <c r="Z95" s="104" t="e">
        <f t="shared" si="24"/>
        <v>#REF!</v>
      </c>
      <c r="AA95" s="104" t="e">
        <f t="shared" si="25"/>
        <v>#REF!</v>
      </c>
      <c r="AC95" s="103" t="e">
        <f t="shared" si="26"/>
        <v>#REF!</v>
      </c>
      <c r="AD95" s="103" t="e">
        <f t="shared" si="27"/>
        <v>#REF!</v>
      </c>
      <c r="AE95" s="104" t="e">
        <f t="shared" si="28"/>
        <v>#REF!</v>
      </c>
      <c r="AF95" s="104" t="e">
        <f t="shared" si="29"/>
        <v>#REF!</v>
      </c>
      <c r="AH95" s="103" t="e">
        <f t="shared" si="30"/>
        <v>#REF!</v>
      </c>
      <c r="AI95" s="103" t="e">
        <f t="shared" si="31"/>
        <v>#REF!</v>
      </c>
      <c r="AJ95" s="104" t="e">
        <f t="shared" si="32"/>
        <v>#REF!</v>
      </c>
      <c r="AK95" s="104" t="e">
        <f t="shared" si="33"/>
        <v>#REF!</v>
      </c>
    </row>
    <row r="96" spans="1:995 1114:2000 2058:3015 3118:3398" ht="15" customHeight="1">
      <c r="A96" s="107"/>
      <c r="B96" s="108" t="s">
        <v>224</v>
      </c>
      <c r="C96" s="99"/>
      <c r="D96" s="100">
        <v>15.414</v>
      </c>
      <c r="E96" s="102">
        <v>0.24399999999999999</v>
      </c>
      <c r="F96" s="102">
        <v>-0.24399999999999999</v>
      </c>
      <c r="G96" s="18">
        <f t="shared" si="16"/>
        <v>15.657999999999999</v>
      </c>
      <c r="H96" s="23">
        <f t="shared" si="17"/>
        <v>15.17</v>
      </c>
      <c r="I96" s="27"/>
      <c r="J96" s="3"/>
      <c r="K96" s="3"/>
      <c r="L96" s="3"/>
      <c r="M96" s="3"/>
      <c r="N96" s="3"/>
      <c r="O96" s="3"/>
      <c r="P96" s="3"/>
      <c r="Q96" s="3"/>
      <c r="S96" s="103">
        <f t="shared" si="18"/>
        <v>0</v>
      </c>
      <c r="T96" s="103">
        <f t="shared" si="19"/>
        <v>0</v>
      </c>
      <c r="U96" s="104">
        <f t="shared" si="20"/>
        <v>15.414</v>
      </c>
      <c r="V96" s="104">
        <f t="shared" si="21"/>
        <v>15.414</v>
      </c>
      <c r="X96" s="103" t="e">
        <f t="shared" si="22"/>
        <v>#REF!</v>
      </c>
      <c r="Y96" s="103" t="e">
        <f t="shared" si="23"/>
        <v>#REF!</v>
      </c>
      <c r="Z96" s="104" t="e">
        <f t="shared" si="24"/>
        <v>#REF!</v>
      </c>
      <c r="AA96" s="104" t="e">
        <f t="shared" si="25"/>
        <v>#REF!</v>
      </c>
      <c r="AC96" s="103" t="e">
        <f t="shared" si="26"/>
        <v>#REF!</v>
      </c>
      <c r="AD96" s="103" t="e">
        <f t="shared" si="27"/>
        <v>#REF!</v>
      </c>
      <c r="AE96" s="104" t="e">
        <f t="shared" si="28"/>
        <v>#REF!</v>
      </c>
      <c r="AF96" s="104" t="e">
        <f t="shared" si="29"/>
        <v>#REF!</v>
      </c>
      <c r="AH96" s="103" t="e">
        <f t="shared" si="30"/>
        <v>#REF!</v>
      </c>
      <c r="AI96" s="103" t="e">
        <f t="shared" si="31"/>
        <v>#REF!</v>
      </c>
      <c r="AJ96" s="104" t="e">
        <f t="shared" si="32"/>
        <v>#REF!</v>
      </c>
      <c r="AK96" s="104" t="e">
        <f t="shared" si="33"/>
        <v>#REF!</v>
      </c>
    </row>
    <row r="97" spans="1:37" ht="15" customHeight="1">
      <c r="A97" s="97"/>
      <c r="B97" s="106" t="s">
        <v>225</v>
      </c>
      <c r="C97" s="99"/>
      <c r="D97" s="100">
        <v>6.9189999999999996</v>
      </c>
      <c r="E97" s="102">
        <v>0.3</v>
      </c>
      <c r="F97" s="102">
        <v>-0.3</v>
      </c>
      <c r="G97" s="18">
        <f t="shared" si="16"/>
        <v>7.2189999999999994</v>
      </c>
      <c r="H97" s="23">
        <f t="shared" si="17"/>
        <v>6.6189999999999998</v>
      </c>
      <c r="I97" s="27"/>
      <c r="J97" s="3"/>
      <c r="K97" s="3"/>
      <c r="L97" s="3"/>
      <c r="M97" s="3"/>
      <c r="N97" s="3"/>
      <c r="O97" s="3"/>
      <c r="P97" s="3"/>
      <c r="Q97" s="3"/>
      <c r="S97" s="103">
        <f t="shared" si="18"/>
        <v>0</v>
      </c>
      <c r="T97" s="103">
        <f t="shared" si="19"/>
        <v>0</v>
      </c>
      <c r="U97" s="104">
        <f t="shared" si="20"/>
        <v>6.9189999999999996</v>
      </c>
      <c r="V97" s="104">
        <f t="shared" si="21"/>
        <v>6.9189999999999996</v>
      </c>
      <c r="X97" s="103" t="e">
        <f t="shared" si="22"/>
        <v>#REF!</v>
      </c>
      <c r="Y97" s="103" t="e">
        <f t="shared" si="23"/>
        <v>#REF!</v>
      </c>
      <c r="Z97" s="104" t="e">
        <f t="shared" si="24"/>
        <v>#REF!</v>
      </c>
      <c r="AA97" s="104" t="e">
        <f t="shared" si="25"/>
        <v>#REF!</v>
      </c>
      <c r="AC97" s="103" t="e">
        <f t="shared" si="26"/>
        <v>#REF!</v>
      </c>
      <c r="AD97" s="103" t="e">
        <f t="shared" si="27"/>
        <v>#REF!</v>
      </c>
      <c r="AE97" s="104" t="e">
        <f t="shared" si="28"/>
        <v>#REF!</v>
      </c>
      <c r="AF97" s="104" t="e">
        <f t="shared" si="29"/>
        <v>#REF!</v>
      </c>
      <c r="AH97" s="103" t="e">
        <f t="shared" si="30"/>
        <v>#REF!</v>
      </c>
      <c r="AI97" s="103" t="e">
        <f t="shared" si="31"/>
        <v>#REF!</v>
      </c>
      <c r="AJ97" s="104" t="e">
        <f t="shared" si="32"/>
        <v>#REF!</v>
      </c>
      <c r="AK97" s="104" t="e">
        <f t="shared" si="33"/>
        <v>#REF!</v>
      </c>
    </row>
    <row r="98" spans="1:37" ht="15" customHeight="1">
      <c r="A98" s="97"/>
      <c r="B98" s="106" t="s">
        <v>226</v>
      </c>
      <c r="C98" s="99"/>
      <c r="D98" s="100">
        <v>0</v>
      </c>
      <c r="E98" s="102">
        <v>3</v>
      </c>
      <c r="F98" s="102">
        <v>-3</v>
      </c>
      <c r="G98" s="18">
        <f t="shared" si="16"/>
        <v>3</v>
      </c>
      <c r="H98" s="23">
        <f t="shared" si="17"/>
        <v>-3</v>
      </c>
      <c r="I98" s="27"/>
      <c r="J98" s="3"/>
      <c r="K98" s="3"/>
      <c r="L98" s="3"/>
      <c r="M98" s="3"/>
      <c r="N98" s="3"/>
      <c r="O98" s="3"/>
      <c r="P98" s="3"/>
      <c r="Q98" s="3"/>
      <c r="S98" s="103">
        <f t="shared" si="18"/>
        <v>0</v>
      </c>
      <c r="T98" s="103">
        <f t="shared" si="19"/>
        <v>0</v>
      </c>
      <c r="U98" s="104">
        <f t="shared" si="20"/>
        <v>0</v>
      </c>
      <c r="V98" s="104">
        <f t="shared" si="21"/>
        <v>0</v>
      </c>
      <c r="X98" s="103" t="e">
        <f t="shared" si="22"/>
        <v>#REF!</v>
      </c>
      <c r="Y98" s="103" t="e">
        <f t="shared" si="23"/>
        <v>#REF!</v>
      </c>
      <c r="Z98" s="104" t="e">
        <f t="shared" si="24"/>
        <v>#REF!</v>
      </c>
      <c r="AA98" s="104" t="e">
        <f t="shared" si="25"/>
        <v>#REF!</v>
      </c>
      <c r="AC98" s="103" t="e">
        <f t="shared" si="26"/>
        <v>#REF!</v>
      </c>
      <c r="AD98" s="103" t="e">
        <f t="shared" si="27"/>
        <v>#REF!</v>
      </c>
      <c r="AE98" s="104" t="e">
        <f t="shared" si="28"/>
        <v>#REF!</v>
      </c>
      <c r="AF98" s="104" t="e">
        <f t="shared" si="29"/>
        <v>#REF!</v>
      </c>
      <c r="AH98" s="103" t="e">
        <f t="shared" si="30"/>
        <v>#REF!</v>
      </c>
      <c r="AI98" s="103" t="e">
        <f t="shared" si="31"/>
        <v>#REF!</v>
      </c>
      <c r="AJ98" s="104" t="e">
        <f t="shared" si="32"/>
        <v>#REF!</v>
      </c>
      <c r="AK98" s="104" t="e">
        <f t="shared" si="33"/>
        <v>#REF!</v>
      </c>
    </row>
    <row r="99" spans="1:37" ht="15" customHeight="1">
      <c r="A99" s="97"/>
      <c r="B99" s="106"/>
      <c r="C99" s="99"/>
      <c r="D99" s="100"/>
      <c r="E99" s="102"/>
      <c r="F99" s="102"/>
      <c r="G99" s="18" t="str">
        <f t="shared" si="16"/>
        <v/>
      </c>
      <c r="H99" s="23" t="str">
        <f t="shared" si="17"/>
        <v/>
      </c>
      <c r="I99" s="27"/>
      <c r="J99" s="3"/>
      <c r="K99" s="3"/>
      <c r="L99" s="3"/>
      <c r="M99" s="3"/>
      <c r="N99" s="3"/>
      <c r="O99" s="3"/>
      <c r="P99" s="3"/>
      <c r="Q99" s="3"/>
      <c r="S99" s="103">
        <f t="shared" si="18"/>
        <v>0</v>
      </c>
      <c r="T99" s="103">
        <f t="shared" si="19"/>
        <v>0</v>
      </c>
      <c r="U99" s="104">
        <f t="shared" si="20"/>
        <v>0</v>
      </c>
      <c r="V99" s="104">
        <f t="shared" si="21"/>
        <v>0</v>
      </c>
      <c r="X99" s="103" t="e">
        <f t="shared" si="22"/>
        <v>#REF!</v>
      </c>
      <c r="Y99" s="103" t="e">
        <f t="shared" si="23"/>
        <v>#REF!</v>
      </c>
      <c r="Z99" s="104" t="e">
        <f t="shared" si="24"/>
        <v>#REF!</v>
      </c>
      <c r="AA99" s="104" t="e">
        <f t="shared" si="25"/>
        <v>#REF!</v>
      </c>
      <c r="AC99" s="103" t="e">
        <f t="shared" si="26"/>
        <v>#REF!</v>
      </c>
      <c r="AD99" s="103" t="e">
        <f t="shared" si="27"/>
        <v>#REF!</v>
      </c>
      <c r="AE99" s="104" t="e">
        <f t="shared" si="28"/>
        <v>#REF!</v>
      </c>
      <c r="AF99" s="104" t="e">
        <f t="shared" si="29"/>
        <v>#REF!</v>
      </c>
      <c r="AH99" s="103" t="e">
        <f t="shared" si="30"/>
        <v>#REF!</v>
      </c>
      <c r="AI99" s="103" t="e">
        <f t="shared" si="31"/>
        <v>#REF!</v>
      </c>
      <c r="AJ99" s="104" t="e">
        <f t="shared" si="32"/>
        <v>#REF!</v>
      </c>
      <c r="AK99" s="104" t="e">
        <f t="shared" si="33"/>
        <v>#REF!</v>
      </c>
    </row>
    <row r="100" spans="1:37" ht="15" customHeight="1">
      <c r="A100" s="97"/>
      <c r="B100" s="106"/>
      <c r="C100" s="99"/>
      <c r="D100" s="100"/>
      <c r="E100" s="102"/>
      <c r="F100" s="102"/>
      <c r="G100" s="18" t="str">
        <f t="shared" si="16"/>
        <v/>
      </c>
      <c r="H100" s="23" t="str">
        <f t="shared" si="17"/>
        <v/>
      </c>
      <c r="I100" s="27"/>
      <c r="J100" s="3"/>
      <c r="K100" s="3"/>
      <c r="L100" s="3"/>
      <c r="M100" s="3"/>
      <c r="N100" s="3"/>
      <c r="O100" s="3"/>
      <c r="P100" s="3"/>
      <c r="Q100" s="3"/>
      <c r="S100" s="103">
        <f t="shared" si="18"/>
        <v>0</v>
      </c>
      <c r="T100" s="103">
        <f t="shared" si="19"/>
        <v>0</v>
      </c>
      <c r="U100" s="104">
        <f t="shared" si="20"/>
        <v>0</v>
      </c>
      <c r="V100" s="104">
        <f t="shared" si="21"/>
        <v>0</v>
      </c>
      <c r="X100" s="103" t="e">
        <f t="shared" si="22"/>
        <v>#REF!</v>
      </c>
      <c r="Y100" s="103" t="e">
        <f t="shared" si="23"/>
        <v>#REF!</v>
      </c>
      <c r="Z100" s="104" t="e">
        <f t="shared" si="24"/>
        <v>#REF!</v>
      </c>
      <c r="AA100" s="104" t="e">
        <f t="shared" si="25"/>
        <v>#REF!</v>
      </c>
      <c r="AC100" s="103" t="e">
        <f t="shared" si="26"/>
        <v>#REF!</v>
      </c>
      <c r="AD100" s="103" t="e">
        <f t="shared" si="27"/>
        <v>#REF!</v>
      </c>
      <c r="AE100" s="104" t="e">
        <f t="shared" si="28"/>
        <v>#REF!</v>
      </c>
      <c r="AF100" s="104" t="e">
        <f t="shared" si="29"/>
        <v>#REF!</v>
      </c>
      <c r="AH100" s="103" t="e">
        <f t="shared" si="30"/>
        <v>#REF!</v>
      </c>
      <c r="AI100" s="103" t="e">
        <f t="shared" si="31"/>
        <v>#REF!</v>
      </c>
      <c r="AJ100" s="104" t="e">
        <f t="shared" si="32"/>
        <v>#REF!</v>
      </c>
      <c r="AK100" s="104" t="e">
        <f t="shared" si="33"/>
        <v>#REF!</v>
      </c>
    </row>
    <row r="101" spans="1:37" ht="15" customHeight="1">
      <c r="A101" s="97"/>
      <c r="B101" s="109"/>
      <c r="C101" s="99"/>
      <c r="D101" s="100"/>
      <c r="E101" s="102"/>
      <c r="F101" s="102"/>
      <c r="G101" s="18" t="str">
        <f t="shared" si="16"/>
        <v/>
      </c>
      <c r="H101" s="23" t="str">
        <f t="shared" si="17"/>
        <v/>
      </c>
      <c r="I101" s="27"/>
      <c r="J101" s="3"/>
      <c r="K101" s="3"/>
      <c r="L101" s="3"/>
      <c r="M101" s="3"/>
      <c r="N101" s="3"/>
      <c r="O101" s="3"/>
      <c r="P101" s="3"/>
      <c r="Q101" s="3"/>
      <c r="S101" s="103">
        <f t="shared" ref="S101:S149" si="34">IF($A101&lt;&gt;"(DC)", $E101*$R$7, $E101)</f>
        <v>0</v>
      </c>
      <c r="T101" s="103">
        <f t="shared" ref="T101:T149" si="35">IF($A101&lt;&gt;"(DC)", $F101*$R$7, $F101)</f>
        <v>0</v>
      </c>
      <c r="U101" s="104">
        <f t="shared" ref="U101:V149" si="36">IF(AND($D101="",S101=""),"",IF($D101="",S101,$D101+S101))</f>
        <v>0</v>
      </c>
      <c r="V101" s="104">
        <f t="shared" si="36"/>
        <v>0</v>
      </c>
      <c r="X101" s="103" t="e">
        <f t="shared" ref="X101:X149" si="37">IF($A101&lt;&gt;"(DC)", $E101*$W$7, $E101)</f>
        <v>#REF!</v>
      </c>
      <c r="Y101" s="103" t="e">
        <f t="shared" ref="Y101:Y149" si="38">IF($A101&lt;&gt;"(DC)", $F101*$W$7, $F101)</f>
        <v>#REF!</v>
      </c>
      <c r="Z101" s="104" t="e">
        <f t="shared" ref="Z101:AA149" si="39">IF(AND($D101="",X101=""),"",IF($D101="",X101,$D101+X101))</f>
        <v>#REF!</v>
      </c>
      <c r="AA101" s="104" t="e">
        <f t="shared" si="39"/>
        <v>#REF!</v>
      </c>
      <c r="AC101" s="103" t="e">
        <f t="shared" ref="AC101:AC149" si="40">IF($A101&lt;&gt;"(DC)", $E101*$W$7, $E101)</f>
        <v>#REF!</v>
      </c>
      <c r="AD101" s="103" t="e">
        <f t="shared" ref="AD101:AD149" si="41">IF($A101&lt;&gt;"(DC)", $F101*$W$7, $F101)</f>
        <v>#REF!</v>
      </c>
      <c r="AE101" s="104" t="e">
        <f t="shared" ref="AE101:AF149" si="42">IF(AND($D101="",AC101=""),"",IF($D101="",AC101,$D101+AC101))</f>
        <v>#REF!</v>
      </c>
      <c r="AF101" s="104" t="e">
        <f t="shared" si="42"/>
        <v>#REF!</v>
      </c>
      <c r="AH101" s="103" t="e">
        <f t="shared" ref="AH101:AH149" si="43">IF($A101&lt;&gt;"(DC)", $E101*$AG$7, $E101)</f>
        <v>#REF!</v>
      </c>
      <c r="AI101" s="103" t="e">
        <f t="shared" ref="AI101:AI149" si="44">IF($A101&lt;&gt;"(DC)", $F101*$AG$7, $F101)</f>
        <v>#REF!</v>
      </c>
      <c r="AJ101" s="104" t="e">
        <f t="shared" ref="AJ101:AK149" si="45">IF(AND($D101="",AH101=""),"",IF($D101="",AH101,$D101+AH101))</f>
        <v>#REF!</v>
      </c>
      <c r="AK101" s="104" t="e">
        <f t="shared" si="45"/>
        <v>#REF!</v>
      </c>
    </row>
    <row r="102" spans="1:37" ht="15" customHeight="1">
      <c r="A102" s="97"/>
      <c r="B102" s="109"/>
      <c r="C102" s="99"/>
      <c r="D102" s="100"/>
      <c r="E102" s="102"/>
      <c r="F102" s="102"/>
      <c r="G102" s="18" t="str">
        <f t="shared" si="16"/>
        <v/>
      </c>
      <c r="H102" s="23" t="str">
        <f t="shared" si="17"/>
        <v/>
      </c>
      <c r="I102" s="27"/>
      <c r="J102" s="3"/>
      <c r="K102" s="3"/>
      <c r="L102" s="3"/>
      <c r="M102" s="3"/>
      <c r="N102" s="3"/>
      <c r="O102" s="3"/>
      <c r="P102" s="3"/>
      <c r="Q102" s="3"/>
      <c r="S102" s="103">
        <f t="shared" si="34"/>
        <v>0</v>
      </c>
      <c r="T102" s="103">
        <f t="shared" si="35"/>
        <v>0</v>
      </c>
      <c r="U102" s="104">
        <f t="shared" si="36"/>
        <v>0</v>
      </c>
      <c r="V102" s="104">
        <f t="shared" si="36"/>
        <v>0</v>
      </c>
      <c r="X102" s="103" t="e">
        <f t="shared" si="37"/>
        <v>#REF!</v>
      </c>
      <c r="Y102" s="103" t="e">
        <f t="shared" si="38"/>
        <v>#REF!</v>
      </c>
      <c r="Z102" s="104" t="e">
        <f t="shared" si="39"/>
        <v>#REF!</v>
      </c>
      <c r="AA102" s="104" t="e">
        <f t="shared" si="39"/>
        <v>#REF!</v>
      </c>
      <c r="AC102" s="103" t="e">
        <f t="shared" si="40"/>
        <v>#REF!</v>
      </c>
      <c r="AD102" s="103" t="e">
        <f t="shared" si="41"/>
        <v>#REF!</v>
      </c>
      <c r="AE102" s="104" t="e">
        <f t="shared" si="42"/>
        <v>#REF!</v>
      </c>
      <c r="AF102" s="104" t="e">
        <f t="shared" si="42"/>
        <v>#REF!</v>
      </c>
      <c r="AH102" s="103" t="e">
        <f t="shared" si="43"/>
        <v>#REF!</v>
      </c>
      <c r="AI102" s="103" t="e">
        <f t="shared" si="44"/>
        <v>#REF!</v>
      </c>
      <c r="AJ102" s="104" t="e">
        <f t="shared" si="45"/>
        <v>#REF!</v>
      </c>
      <c r="AK102" s="104" t="e">
        <f t="shared" si="45"/>
        <v>#REF!</v>
      </c>
    </row>
    <row r="103" spans="1:37" ht="15" customHeight="1">
      <c r="A103" s="97"/>
      <c r="B103" s="106"/>
      <c r="C103" s="99"/>
      <c r="D103" s="100"/>
      <c r="E103" s="102"/>
      <c r="F103" s="102"/>
      <c r="G103" s="18" t="str">
        <f t="shared" si="16"/>
        <v/>
      </c>
      <c r="H103" s="23" t="str">
        <f t="shared" si="17"/>
        <v/>
      </c>
      <c r="I103" s="27"/>
      <c r="J103" s="3"/>
      <c r="K103" s="3"/>
      <c r="L103" s="3"/>
      <c r="M103" s="3"/>
      <c r="N103" s="3"/>
      <c r="O103" s="3"/>
      <c r="P103" s="3"/>
      <c r="Q103" s="3"/>
      <c r="S103" s="103">
        <f t="shared" si="34"/>
        <v>0</v>
      </c>
      <c r="T103" s="103">
        <f t="shared" si="35"/>
        <v>0</v>
      </c>
      <c r="U103" s="104">
        <f t="shared" si="36"/>
        <v>0</v>
      </c>
      <c r="V103" s="104">
        <f t="shared" si="36"/>
        <v>0</v>
      </c>
      <c r="X103" s="103" t="e">
        <f t="shared" si="37"/>
        <v>#REF!</v>
      </c>
      <c r="Y103" s="103" t="e">
        <f t="shared" si="38"/>
        <v>#REF!</v>
      </c>
      <c r="Z103" s="104" t="e">
        <f t="shared" si="39"/>
        <v>#REF!</v>
      </c>
      <c r="AA103" s="104" t="e">
        <f t="shared" si="39"/>
        <v>#REF!</v>
      </c>
      <c r="AC103" s="103" t="e">
        <f t="shared" si="40"/>
        <v>#REF!</v>
      </c>
      <c r="AD103" s="103" t="e">
        <f t="shared" si="41"/>
        <v>#REF!</v>
      </c>
      <c r="AE103" s="104" t="e">
        <f t="shared" si="42"/>
        <v>#REF!</v>
      </c>
      <c r="AF103" s="104" t="e">
        <f t="shared" si="42"/>
        <v>#REF!</v>
      </c>
      <c r="AH103" s="103" t="e">
        <f t="shared" si="43"/>
        <v>#REF!</v>
      </c>
      <c r="AI103" s="103" t="e">
        <f t="shared" si="44"/>
        <v>#REF!</v>
      </c>
      <c r="AJ103" s="104" t="e">
        <f t="shared" si="45"/>
        <v>#REF!</v>
      </c>
      <c r="AK103" s="104" t="e">
        <f t="shared" si="45"/>
        <v>#REF!</v>
      </c>
    </row>
    <row r="104" spans="1:37" ht="15" customHeight="1">
      <c r="A104" s="97"/>
      <c r="B104" s="106"/>
      <c r="C104" s="99"/>
      <c r="D104" s="100"/>
      <c r="E104" s="102"/>
      <c r="F104" s="102"/>
      <c r="G104" s="18" t="str">
        <f t="shared" si="16"/>
        <v/>
      </c>
      <c r="H104" s="23" t="str">
        <f t="shared" si="17"/>
        <v/>
      </c>
      <c r="I104" s="27"/>
      <c r="J104" s="3"/>
      <c r="K104" s="3"/>
      <c r="L104" s="3"/>
      <c r="M104" s="3"/>
      <c r="N104" s="3"/>
      <c r="O104" s="3"/>
      <c r="P104" s="3"/>
      <c r="Q104" s="3"/>
      <c r="S104" s="103">
        <f t="shared" si="34"/>
        <v>0</v>
      </c>
      <c r="T104" s="103">
        <f t="shared" si="35"/>
        <v>0</v>
      </c>
      <c r="U104" s="104">
        <f t="shared" si="36"/>
        <v>0</v>
      </c>
      <c r="V104" s="104">
        <f t="shared" si="36"/>
        <v>0</v>
      </c>
      <c r="X104" s="103" t="e">
        <f t="shared" si="37"/>
        <v>#REF!</v>
      </c>
      <c r="Y104" s="103" t="e">
        <f t="shared" si="38"/>
        <v>#REF!</v>
      </c>
      <c r="Z104" s="104" t="e">
        <f t="shared" si="39"/>
        <v>#REF!</v>
      </c>
      <c r="AA104" s="104" t="e">
        <f t="shared" si="39"/>
        <v>#REF!</v>
      </c>
      <c r="AC104" s="103" t="e">
        <f t="shared" si="40"/>
        <v>#REF!</v>
      </c>
      <c r="AD104" s="103" t="e">
        <f t="shared" si="41"/>
        <v>#REF!</v>
      </c>
      <c r="AE104" s="104" t="e">
        <f t="shared" si="42"/>
        <v>#REF!</v>
      </c>
      <c r="AF104" s="104" t="e">
        <f t="shared" si="42"/>
        <v>#REF!</v>
      </c>
      <c r="AH104" s="103" t="e">
        <f t="shared" si="43"/>
        <v>#REF!</v>
      </c>
      <c r="AI104" s="103" t="e">
        <f t="shared" si="44"/>
        <v>#REF!</v>
      </c>
      <c r="AJ104" s="104" t="e">
        <f t="shared" si="45"/>
        <v>#REF!</v>
      </c>
      <c r="AK104" s="104" t="e">
        <f t="shared" si="45"/>
        <v>#REF!</v>
      </c>
    </row>
    <row r="105" spans="1:37" ht="15" customHeight="1">
      <c r="A105" s="97"/>
      <c r="B105" s="106"/>
      <c r="C105" s="99"/>
      <c r="D105" s="100"/>
      <c r="E105" s="102"/>
      <c r="F105" s="102"/>
      <c r="G105" s="18" t="str">
        <f t="shared" si="16"/>
        <v/>
      </c>
      <c r="H105" s="23" t="str">
        <f t="shared" si="17"/>
        <v/>
      </c>
      <c r="I105" s="27"/>
      <c r="J105" s="3"/>
      <c r="K105" s="3"/>
      <c r="L105" s="3"/>
      <c r="M105" s="3"/>
      <c r="N105" s="3"/>
      <c r="O105" s="3"/>
      <c r="P105" s="3"/>
      <c r="Q105" s="3"/>
      <c r="S105" s="103">
        <f t="shared" si="34"/>
        <v>0</v>
      </c>
      <c r="T105" s="103">
        <f t="shared" si="35"/>
        <v>0</v>
      </c>
      <c r="U105" s="104">
        <f t="shared" si="36"/>
        <v>0</v>
      </c>
      <c r="V105" s="104">
        <f t="shared" si="36"/>
        <v>0</v>
      </c>
      <c r="X105" s="103" t="e">
        <f t="shared" si="37"/>
        <v>#REF!</v>
      </c>
      <c r="Y105" s="103" t="e">
        <f t="shared" si="38"/>
        <v>#REF!</v>
      </c>
      <c r="Z105" s="104" t="e">
        <f t="shared" si="39"/>
        <v>#REF!</v>
      </c>
      <c r="AA105" s="104" t="e">
        <f t="shared" si="39"/>
        <v>#REF!</v>
      </c>
      <c r="AC105" s="103" t="e">
        <f t="shared" si="40"/>
        <v>#REF!</v>
      </c>
      <c r="AD105" s="103" t="e">
        <f t="shared" si="41"/>
        <v>#REF!</v>
      </c>
      <c r="AE105" s="104" t="e">
        <f t="shared" si="42"/>
        <v>#REF!</v>
      </c>
      <c r="AF105" s="104" t="e">
        <f t="shared" si="42"/>
        <v>#REF!</v>
      </c>
      <c r="AH105" s="103" t="e">
        <f t="shared" si="43"/>
        <v>#REF!</v>
      </c>
      <c r="AI105" s="103" t="e">
        <f t="shared" si="44"/>
        <v>#REF!</v>
      </c>
      <c r="AJ105" s="104" t="e">
        <f t="shared" si="45"/>
        <v>#REF!</v>
      </c>
      <c r="AK105" s="104" t="e">
        <f t="shared" si="45"/>
        <v>#REF!</v>
      </c>
    </row>
    <row r="106" spans="1:37" ht="15" customHeight="1">
      <c r="A106" s="97"/>
      <c r="B106" s="106"/>
      <c r="C106" s="99"/>
      <c r="D106" s="100"/>
      <c r="E106" s="102"/>
      <c r="F106" s="102"/>
      <c r="G106" s="18" t="str">
        <f t="shared" si="16"/>
        <v/>
      </c>
      <c r="H106" s="23" t="str">
        <f t="shared" si="17"/>
        <v/>
      </c>
      <c r="I106" s="27"/>
      <c r="J106" s="3"/>
      <c r="K106" s="3"/>
      <c r="L106" s="3"/>
      <c r="M106" s="3"/>
      <c r="N106" s="3"/>
      <c r="O106" s="3"/>
      <c r="P106" s="3"/>
      <c r="Q106" s="3"/>
      <c r="S106" s="103">
        <f t="shared" si="34"/>
        <v>0</v>
      </c>
      <c r="T106" s="103">
        <f t="shared" si="35"/>
        <v>0</v>
      </c>
      <c r="U106" s="104">
        <f t="shared" si="36"/>
        <v>0</v>
      </c>
      <c r="V106" s="104">
        <f t="shared" si="36"/>
        <v>0</v>
      </c>
      <c r="X106" s="103" t="e">
        <f t="shared" si="37"/>
        <v>#REF!</v>
      </c>
      <c r="Y106" s="103" t="e">
        <f t="shared" si="38"/>
        <v>#REF!</v>
      </c>
      <c r="Z106" s="104" t="e">
        <f t="shared" si="39"/>
        <v>#REF!</v>
      </c>
      <c r="AA106" s="104" t="e">
        <f t="shared" si="39"/>
        <v>#REF!</v>
      </c>
      <c r="AC106" s="103" t="e">
        <f t="shared" si="40"/>
        <v>#REF!</v>
      </c>
      <c r="AD106" s="103" t="e">
        <f t="shared" si="41"/>
        <v>#REF!</v>
      </c>
      <c r="AE106" s="104" t="e">
        <f t="shared" si="42"/>
        <v>#REF!</v>
      </c>
      <c r="AF106" s="104" t="e">
        <f t="shared" si="42"/>
        <v>#REF!</v>
      </c>
      <c r="AH106" s="103" t="e">
        <f t="shared" si="43"/>
        <v>#REF!</v>
      </c>
      <c r="AI106" s="103" t="e">
        <f t="shared" si="44"/>
        <v>#REF!</v>
      </c>
      <c r="AJ106" s="104" t="e">
        <f t="shared" si="45"/>
        <v>#REF!</v>
      </c>
      <c r="AK106" s="104" t="e">
        <f t="shared" si="45"/>
        <v>#REF!</v>
      </c>
    </row>
    <row r="107" spans="1:37" ht="15" customHeight="1">
      <c r="A107" s="97"/>
      <c r="B107" s="106"/>
      <c r="C107" s="99"/>
      <c r="D107" s="100"/>
      <c r="E107" s="102"/>
      <c r="F107" s="102"/>
      <c r="G107" s="18" t="str">
        <f t="shared" si="16"/>
        <v/>
      </c>
      <c r="H107" s="23" t="str">
        <f t="shared" si="17"/>
        <v/>
      </c>
      <c r="I107" s="27"/>
      <c r="J107" s="3"/>
      <c r="K107" s="3"/>
      <c r="L107" s="3"/>
      <c r="M107" s="3"/>
      <c r="N107" s="3"/>
      <c r="O107" s="3"/>
      <c r="P107" s="3"/>
      <c r="Q107" s="3"/>
      <c r="S107" s="103">
        <f t="shared" si="34"/>
        <v>0</v>
      </c>
      <c r="T107" s="103">
        <f t="shared" si="35"/>
        <v>0</v>
      </c>
      <c r="U107" s="104">
        <f t="shared" si="36"/>
        <v>0</v>
      </c>
      <c r="V107" s="104">
        <f t="shared" si="36"/>
        <v>0</v>
      </c>
      <c r="X107" s="103" t="e">
        <f t="shared" si="37"/>
        <v>#REF!</v>
      </c>
      <c r="Y107" s="103" t="e">
        <f t="shared" si="38"/>
        <v>#REF!</v>
      </c>
      <c r="Z107" s="104" t="e">
        <f t="shared" si="39"/>
        <v>#REF!</v>
      </c>
      <c r="AA107" s="104" t="e">
        <f t="shared" si="39"/>
        <v>#REF!</v>
      </c>
      <c r="AC107" s="103" t="e">
        <f t="shared" si="40"/>
        <v>#REF!</v>
      </c>
      <c r="AD107" s="103" t="e">
        <f t="shared" si="41"/>
        <v>#REF!</v>
      </c>
      <c r="AE107" s="104" t="e">
        <f t="shared" si="42"/>
        <v>#REF!</v>
      </c>
      <c r="AF107" s="104" t="e">
        <f t="shared" si="42"/>
        <v>#REF!</v>
      </c>
      <c r="AH107" s="103" t="e">
        <f t="shared" si="43"/>
        <v>#REF!</v>
      </c>
      <c r="AI107" s="103" t="e">
        <f t="shared" si="44"/>
        <v>#REF!</v>
      </c>
      <c r="AJ107" s="104" t="e">
        <f t="shared" si="45"/>
        <v>#REF!</v>
      </c>
      <c r="AK107" s="104" t="e">
        <f t="shared" si="45"/>
        <v>#REF!</v>
      </c>
    </row>
    <row r="108" spans="1:37" ht="15" customHeight="1">
      <c r="A108" s="97"/>
      <c r="B108" s="106"/>
      <c r="C108" s="99"/>
      <c r="D108" s="100"/>
      <c r="E108" s="102"/>
      <c r="F108" s="102"/>
      <c r="G108" s="18" t="str">
        <f t="shared" si="16"/>
        <v/>
      </c>
      <c r="H108" s="23" t="str">
        <f t="shared" si="17"/>
        <v/>
      </c>
      <c r="I108" s="27"/>
      <c r="J108" s="3"/>
      <c r="K108" s="3"/>
      <c r="L108" s="3"/>
      <c r="M108" s="3"/>
      <c r="N108" s="3"/>
      <c r="O108" s="3"/>
      <c r="P108" s="3"/>
      <c r="Q108" s="3"/>
      <c r="S108" s="103">
        <f t="shared" si="34"/>
        <v>0</v>
      </c>
      <c r="T108" s="103">
        <f t="shared" si="35"/>
        <v>0</v>
      </c>
      <c r="U108" s="104">
        <f t="shared" si="36"/>
        <v>0</v>
      </c>
      <c r="V108" s="104">
        <f t="shared" si="36"/>
        <v>0</v>
      </c>
      <c r="X108" s="103" t="e">
        <f t="shared" si="37"/>
        <v>#REF!</v>
      </c>
      <c r="Y108" s="103" t="e">
        <f t="shared" si="38"/>
        <v>#REF!</v>
      </c>
      <c r="Z108" s="104" t="e">
        <f t="shared" si="39"/>
        <v>#REF!</v>
      </c>
      <c r="AA108" s="104" t="e">
        <f t="shared" si="39"/>
        <v>#REF!</v>
      </c>
      <c r="AC108" s="103" t="e">
        <f t="shared" si="40"/>
        <v>#REF!</v>
      </c>
      <c r="AD108" s="103" t="e">
        <f t="shared" si="41"/>
        <v>#REF!</v>
      </c>
      <c r="AE108" s="104" t="e">
        <f t="shared" si="42"/>
        <v>#REF!</v>
      </c>
      <c r="AF108" s="104" t="e">
        <f t="shared" si="42"/>
        <v>#REF!</v>
      </c>
      <c r="AH108" s="103" t="e">
        <f t="shared" si="43"/>
        <v>#REF!</v>
      </c>
      <c r="AI108" s="103" t="e">
        <f t="shared" si="44"/>
        <v>#REF!</v>
      </c>
      <c r="AJ108" s="104" t="e">
        <f t="shared" si="45"/>
        <v>#REF!</v>
      </c>
      <c r="AK108" s="104" t="e">
        <f t="shared" si="45"/>
        <v>#REF!</v>
      </c>
    </row>
    <row r="109" spans="1:37" ht="15" customHeight="1">
      <c r="A109" s="97"/>
      <c r="B109" s="106"/>
      <c r="C109" s="99"/>
      <c r="D109" s="100"/>
      <c r="E109" s="102"/>
      <c r="F109" s="102"/>
      <c r="G109" s="18" t="str">
        <f t="shared" si="16"/>
        <v/>
      </c>
      <c r="H109" s="23" t="str">
        <f t="shared" si="17"/>
        <v/>
      </c>
      <c r="I109" s="27"/>
      <c r="J109" s="3"/>
      <c r="K109" s="3"/>
      <c r="L109" s="3"/>
      <c r="M109" s="3"/>
      <c r="N109" s="3"/>
      <c r="O109" s="3"/>
      <c r="P109" s="3"/>
      <c r="Q109" s="3"/>
      <c r="S109" s="103">
        <f t="shared" si="34"/>
        <v>0</v>
      </c>
      <c r="T109" s="103">
        <f t="shared" si="35"/>
        <v>0</v>
      </c>
      <c r="U109" s="104">
        <f t="shared" si="36"/>
        <v>0</v>
      </c>
      <c r="V109" s="104">
        <f t="shared" si="36"/>
        <v>0</v>
      </c>
      <c r="X109" s="103" t="e">
        <f t="shared" si="37"/>
        <v>#REF!</v>
      </c>
      <c r="Y109" s="103" t="e">
        <f t="shared" si="38"/>
        <v>#REF!</v>
      </c>
      <c r="Z109" s="104" t="e">
        <f t="shared" si="39"/>
        <v>#REF!</v>
      </c>
      <c r="AA109" s="104" t="e">
        <f t="shared" si="39"/>
        <v>#REF!</v>
      </c>
      <c r="AC109" s="103" t="e">
        <f t="shared" si="40"/>
        <v>#REF!</v>
      </c>
      <c r="AD109" s="103" t="e">
        <f t="shared" si="41"/>
        <v>#REF!</v>
      </c>
      <c r="AE109" s="104" t="e">
        <f t="shared" si="42"/>
        <v>#REF!</v>
      </c>
      <c r="AF109" s="104" t="e">
        <f t="shared" si="42"/>
        <v>#REF!</v>
      </c>
      <c r="AH109" s="103" t="e">
        <f t="shared" si="43"/>
        <v>#REF!</v>
      </c>
      <c r="AI109" s="103" t="e">
        <f t="shared" si="44"/>
        <v>#REF!</v>
      </c>
      <c r="AJ109" s="104" t="e">
        <f t="shared" si="45"/>
        <v>#REF!</v>
      </c>
      <c r="AK109" s="104" t="e">
        <f t="shared" si="45"/>
        <v>#REF!</v>
      </c>
    </row>
    <row r="110" spans="1:37" ht="15" customHeight="1">
      <c r="A110" s="97"/>
      <c r="B110" s="106"/>
      <c r="C110" s="99"/>
      <c r="D110" s="100"/>
      <c r="E110" s="102"/>
      <c r="F110" s="102"/>
      <c r="G110" s="18" t="str">
        <f t="shared" si="16"/>
        <v/>
      </c>
      <c r="H110" s="23" t="str">
        <f t="shared" si="17"/>
        <v/>
      </c>
      <c r="I110" s="27"/>
      <c r="J110" s="3"/>
      <c r="K110" s="3"/>
      <c r="L110" s="3"/>
      <c r="M110" s="3"/>
      <c r="N110" s="3"/>
      <c r="O110" s="3"/>
      <c r="P110" s="3"/>
      <c r="Q110" s="3"/>
      <c r="S110" s="103">
        <f t="shared" si="34"/>
        <v>0</v>
      </c>
      <c r="T110" s="103">
        <f t="shared" si="35"/>
        <v>0</v>
      </c>
      <c r="U110" s="104">
        <f t="shared" si="36"/>
        <v>0</v>
      </c>
      <c r="V110" s="104">
        <f t="shared" si="36"/>
        <v>0</v>
      </c>
      <c r="X110" s="103" t="e">
        <f t="shared" si="37"/>
        <v>#REF!</v>
      </c>
      <c r="Y110" s="103" t="e">
        <f t="shared" si="38"/>
        <v>#REF!</v>
      </c>
      <c r="Z110" s="104" t="e">
        <f t="shared" si="39"/>
        <v>#REF!</v>
      </c>
      <c r="AA110" s="104" t="e">
        <f t="shared" si="39"/>
        <v>#REF!</v>
      </c>
      <c r="AC110" s="103" t="e">
        <f t="shared" si="40"/>
        <v>#REF!</v>
      </c>
      <c r="AD110" s="103" t="e">
        <f t="shared" si="41"/>
        <v>#REF!</v>
      </c>
      <c r="AE110" s="104" t="e">
        <f t="shared" si="42"/>
        <v>#REF!</v>
      </c>
      <c r="AF110" s="104" t="e">
        <f t="shared" si="42"/>
        <v>#REF!</v>
      </c>
      <c r="AH110" s="103" t="e">
        <f t="shared" si="43"/>
        <v>#REF!</v>
      </c>
      <c r="AI110" s="103" t="e">
        <f t="shared" si="44"/>
        <v>#REF!</v>
      </c>
      <c r="AJ110" s="104" t="e">
        <f t="shared" si="45"/>
        <v>#REF!</v>
      </c>
      <c r="AK110" s="104" t="e">
        <f t="shared" si="45"/>
        <v>#REF!</v>
      </c>
    </row>
    <row r="111" spans="1:37" ht="15" customHeight="1">
      <c r="A111" s="97"/>
      <c r="B111" s="106"/>
      <c r="C111" s="99"/>
      <c r="D111" s="100"/>
      <c r="E111" s="102"/>
      <c r="F111" s="102"/>
      <c r="G111" s="18" t="str">
        <f t="shared" si="16"/>
        <v/>
      </c>
      <c r="H111" s="23" t="str">
        <f t="shared" si="17"/>
        <v/>
      </c>
      <c r="I111" s="27"/>
      <c r="J111" s="3"/>
      <c r="K111" s="3"/>
      <c r="L111" s="3"/>
      <c r="M111" s="3"/>
      <c r="N111" s="3"/>
      <c r="O111" s="3"/>
      <c r="P111" s="3"/>
      <c r="Q111" s="3"/>
      <c r="S111" s="103">
        <f t="shared" si="34"/>
        <v>0</v>
      </c>
      <c r="T111" s="103">
        <f t="shared" si="35"/>
        <v>0</v>
      </c>
      <c r="U111" s="104">
        <f t="shared" si="36"/>
        <v>0</v>
      </c>
      <c r="V111" s="104">
        <f t="shared" si="36"/>
        <v>0</v>
      </c>
      <c r="X111" s="103" t="e">
        <f t="shared" si="37"/>
        <v>#REF!</v>
      </c>
      <c r="Y111" s="103" t="e">
        <f t="shared" si="38"/>
        <v>#REF!</v>
      </c>
      <c r="Z111" s="104" t="e">
        <f t="shared" si="39"/>
        <v>#REF!</v>
      </c>
      <c r="AA111" s="104" t="e">
        <f t="shared" si="39"/>
        <v>#REF!</v>
      </c>
      <c r="AC111" s="103" t="e">
        <f t="shared" si="40"/>
        <v>#REF!</v>
      </c>
      <c r="AD111" s="103" t="e">
        <f t="shared" si="41"/>
        <v>#REF!</v>
      </c>
      <c r="AE111" s="104" t="e">
        <f t="shared" si="42"/>
        <v>#REF!</v>
      </c>
      <c r="AF111" s="104" t="e">
        <f t="shared" si="42"/>
        <v>#REF!</v>
      </c>
      <c r="AH111" s="103" t="e">
        <f t="shared" si="43"/>
        <v>#REF!</v>
      </c>
      <c r="AI111" s="103" t="e">
        <f t="shared" si="44"/>
        <v>#REF!</v>
      </c>
      <c r="AJ111" s="104" t="e">
        <f t="shared" si="45"/>
        <v>#REF!</v>
      </c>
      <c r="AK111" s="104" t="e">
        <f t="shared" si="45"/>
        <v>#REF!</v>
      </c>
    </row>
    <row r="112" spans="1:37" ht="15" customHeight="1">
      <c r="A112" s="97"/>
      <c r="B112" s="106"/>
      <c r="C112" s="99"/>
      <c r="D112" s="100"/>
      <c r="E112" s="102"/>
      <c r="F112" s="102"/>
      <c r="G112" s="18" t="str">
        <f t="shared" si="16"/>
        <v/>
      </c>
      <c r="H112" s="23" t="str">
        <f t="shared" si="17"/>
        <v/>
      </c>
      <c r="I112" s="27"/>
      <c r="J112" s="3"/>
      <c r="K112" s="3"/>
      <c r="L112" s="3"/>
      <c r="M112" s="3"/>
      <c r="N112" s="3"/>
      <c r="O112" s="3"/>
      <c r="P112" s="3"/>
      <c r="Q112" s="3"/>
      <c r="S112" s="103">
        <f t="shared" si="34"/>
        <v>0</v>
      </c>
      <c r="T112" s="103">
        <f t="shared" si="35"/>
        <v>0</v>
      </c>
      <c r="U112" s="104">
        <f t="shared" si="36"/>
        <v>0</v>
      </c>
      <c r="V112" s="104">
        <f t="shared" si="36"/>
        <v>0</v>
      </c>
      <c r="X112" s="103" t="e">
        <f t="shared" si="37"/>
        <v>#REF!</v>
      </c>
      <c r="Y112" s="103" t="e">
        <f t="shared" si="38"/>
        <v>#REF!</v>
      </c>
      <c r="Z112" s="104" t="e">
        <f t="shared" si="39"/>
        <v>#REF!</v>
      </c>
      <c r="AA112" s="104" t="e">
        <f t="shared" si="39"/>
        <v>#REF!</v>
      </c>
      <c r="AC112" s="103" t="e">
        <f t="shared" si="40"/>
        <v>#REF!</v>
      </c>
      <c r="AD112" s="103" t="e">
        <f t="shared" si="41"/>
        <v>#REF!</v>
      </c>
      <c r="AE112" s="104" t="e">
        <f t="shared" si="42"/>
        <v>#REF!</v>
      </c>
      <c r="AF112" s="104" t="e">
        <f t="shared" si="42"/>
        <v>#REF!</v>
      </c>
      <c r="AH112" s="103" t="e">
        <f t="shared" si="43"/>
        <v>#REF!</v>
      </c>
      <c r="AI112" s="103" t="e">
        <f t="shared" si="44"/>
        <v>#REF!</v>
      </c>
      <c r="AJ112" s="104" t="e">
        <f t="shared" si="45"/>
        <v>#REF!</v>
      </c>
      <c r="AK112" s="104" t="e">
        <f t="shared" si="45"/>
        <v>#REF!</v>
      </c>
    </row>
    <row r="113" spans="1:37" ht="15" customHeight="1">
      <c r="A113" s="97"/>
      <c r="B113" s="106"/>
      <c r="C113" s="99"/>
      <c r="D113" s="100"/>
      <c r="E113" s="102"/>
      <c r="F113" s="102"/>
      <c r="G113" s="18" t="str">
        <f t="shared" si="16"/>
        <v/>
      </c>
      <c r="H113" s="23" t="str">
        <f t="shared" si="17"/>
        <v/>
      </c>
      <c r="I113" s="27"/>
      <c r="J113" s="3"/>
      <c r="K113" s="3"/>
      <c r="L113" s="3"/>
      <c r="M113" s="3"/>
      <c r="N113" s="3"/>
      <c r="O113" s="3"/>
      <c r="P113" s="3"/>
      <c r="Q113" s="3"/>
      <c r="S113" s="103">
        <f t="shared" si="34"/>
        <v>0</v>
      </c>
      <c r="T113" s="103">
        <f t="shared" si="35"/>
        <v>0</v>
      </c>
      <c r="U113" s="104">
        <f t="shared" si="36"/>
        <v>0</v>
      </c>
      <c r="V113" s="104">
        <f t="shared" si="36"/>
        <v>0</v>
      </c>
      <c r="X113" s="103" t="e">
        <f t="shared" si="37"/>
        <v>#REF!</v>
      </c>
      <c r="Y113" s="103" t="e">
        <f t="shared" si="38"/>
        <v>#REF!</v>
      </c>
      <c r="Z113" s="104" t="e">
        <f t="shared" si="39"/>
        <v>#REF!</v>
      </c>
      <c r="AA113" s="104" t="e">
        <f t="shared" si="39"/>
        <v>#REF!</v>
      </c>
      <c r="AC113" s="103" t="e">
        <f t="shared" si="40"/>
        <v>#REF!</v>
      </c>
      <c r="AD113" s="103" t="e">
        <f t="shared" si="41"/>
        <v>#REF!</v>
      </c>
      <c r="AE113" s="104" t="e">
        <f t="shared" si="42"/>
        <v>#REF!</v>
      </c>
      <c r="AF113" s="104" t="e">
        <f t="shared" si="42"/>
        <v>#REF!</v>
      </c>
      <c r="AH113" s="103" t="e">
        <f t="shared" si="43"/>
        <v>#REF!</v>
      </c>
      <c r="AI113" s="103" t="e">
        <f t="shared" si="44"/>
        <v>#REF!</v>
      </c>
      <c r="AJ113" s="104" t="e">
        <f t="shared" si="45"/>
        <v>#REF!</v>
      </c>
      <c r="AK113" s="104" t="e">
        <f t="shared" si="45"/>
        <v>#REF!</v>
      </c>
    </row>
    <row r="114" spans="1:37" ht="15" customHeight="1">
      <c r="A114" s="97"/>
      <c r="B114" s="106"/>
      <c r="C114" s="99"/>
      <c r="D114" s="100"/>
      <c r="E114" s="102"/>
      <c r="F114" s="102"/>
      <c r="G114" s="18" t="str">
        <f t="shared" si="16"/>
        <v/>
      </c>
      <c r="H114" s="23" t="str">
        <f t="shared" si="17"/>
        <v/>
      </c>
      <c r="I114" s="27"/>
      <c r="J114" s="3"/>
      <c r="K114" s="3"/>
      <c r="L114" s="3"/>
      <c r="M114" s="3"/>
      <c r="N114" s="3"/>
      <c r="O114" s="3"/>
      <c r="P114" s="3"/>
      <c r="Q114" s="3"/>
      <c r="S114" s="103">
        <f t="shared" si="34"/>
        <v>0</v>
      </c>
      <c r="T114" s="103">
        <f t="shared" si="35"/>
        <v>0</v>
      </c>
      <c r="U114" s="104">
        <f t="shared" si="36"/>
        <v>0</v>
      </c>
      <c r="V114" s="104">
        <f t="shared" si="36"/>
        <v>0</v>
      </c>
      <c r="X114" s="103" t="e">
        <f t="shared" si="37"/>
        <v>#REF!</v>
      </c>
      <c r="Y114" s="103" t="e">
        <f t="shared" si="38"/>
        <v>#REF!</v>
      </c>
      <c r="Z114" s="104" t="e">
        <f t="shared" si="39"/>
        <v>#REF!</v>
      </c>
      <c r="AA114" s="104" t="e">
        <f t="shared" si="39"/>
        <v>#REF!</v>
      </c>
      <c r="AC114" s="103" t="e">
        <f t="shared" si="40"/>
        <v>#REF!</v>
      </c>
      <c r="AD114" s="103" t="e">
        <f t="shared" si="41"/>
        <v>#REF!</v>
      </c>
      <c r="AE114" s="104" t="e">
        <f t="shared" si="42"/>
        <v>#REF!</v>
      </c>
      <c r="AF114" s="104" t="e">
        <f t="shared" si="42"/>
        <v>#REF!</v>
      </c>
      <c r="AH114" s="103" t="e">
        <f t="shared" si="43"/>
        <v>#REF!</v>
      </c>
      <c r="AI114" s="103" t="e">
        <f t="shared" si="44"/>
        <v>#REF!</v>
      </c>
      <c r="AJ114" s="104" t="e">
        <f t="shared" si="45"/>
        <v>#REF!</v>
      </c>
      <c r="AK114" s="104" t="e">
        <f t="shared" si="45"/>
        <v>#REF!</v>
      </c>
    </row>
    <row r="115" spans="1:37" ht="15" customHeight="1">
      <c r="A115" s="97"/>
      <c r="B115" s="106"/>
      <c r="C115" s="99"/>
      <c r="D115" s="100"/>
      <c r="E115" s="102"/>
      <c r="F115" s="102"/>
      <c r="G115" s="18" t="str">
        <f t="shared" si="16"/>
        <v/>
      </c>
      <c r="H115" s="23" t="str">
        <f t="shared" si="17"/>
        <v/>
      </c>
      <c r="I115" s="27"/>
      <c r="J115" s="3"/>
      <c r="K115" s="3"/>
      <c r="L115" s="3"/>
      <c r="M115" s="3"/>
      <c r="N115" s="3"/>
      <c r="O115" s="3"/>
      <c r="P115" s="3"/>
      <c r="Q115" s="3"/>
      <c r="S115" s="103">
        <f t="shared" si="34"/>
        <v>0</v>
      </c>
      <c r="T115" s="103">
        <f t="shared" si="35"/>
        <v>0</v>
      </c>
      <c r="U115" s="104">
        <f t="shared" si="36"/>
        <v>0</v>
      </c>
      <c r="V115" s="104">
        <f t="shared" si="36"/>
        <v>0</v>
      </c>
      <c r="X115" s="103" t="e">
        <f t="shared" si="37"/>
        <v>#REF!</v>
      </c>
      <c r="Y115" s="103" t="e">
        <f t="shared" si="38"/>
        <v>#REF!</v>
      </c>
      <c r="Z115" s="104" t="e">
        <f t="shared" si="39"/>
        <v>#REF!</v>
      </c>
      <c r="AA115" s="104" t="e">
        <f t="shared" si="39"/>
        <v>#REF!</v>
      </c>
      <c r="AC115" s="103" t="e">
        <f t="shared" si="40"/>
        <v>#REF!</v>
      </c>
      <c r="AD115" s="103" t="e">
        <f t="shared" si="41"/>
        <v>#REF!</v>
      </c>
      <c r="AE115" s="104" t="e">
        <f t="shared" si="42"/>
        <v>#REF!</v>
      </c>
      <c r="AF115" s="104" t="e">
        <f t="shared" si="42"/>
        <v>#REF!</v>
      </c>
      <c r="AH115" s="103" t="e">
        <f t="shared" si="43"/>
        <v>#REF!</v>
      </c>
      <c r="AI115" s="103" t="e">
        <f t="shared" si="44"/>
        <v>#REF!</v>
      </c>
      <c r="AJ115" s="104" t="e">
        <f t="shared" si="45"/>
        <v>#REF!</v>
      </c>
      <c r="AK115" s="104" t="e">
        <f t="shared" si="45"/>
        <v>#REF!</v>
      </c>
    </row>
    <row r="116" spans="1:37" ht="15" customHeight="1">
      <c r="A116" s="97"/>
      <c r="B116" s="106"/>
      <c r="C116" s="99"/>
      <c r="D116" s="100"/>
      <c r="E116" s="102"/>
      <c r="F116" s="102"/>
      <c r="G116" s="18" t="str">
        <f t="shared" si="16"/>
        <v/>
      </c>
      <c r="H116" s="23" t="str">
        <f t="shared" si="17"/>
        <v/>
      </c>
      <c r="I116" s="27"/>
      <c r="J116" s="3"/>
      <c r="K116" s="3"/>
      <c r="L116" s="3"/>
      <c r="M116" s="3"/>
      <c r="N116" s="3"/>
      <c r="O116" s="3"/>
      <c r="P116" s="3"/>
      <c r="Q116" s="3"/>
      <c r="S116" s="103">
        <f t="shared" si="34"/>
        <v>0</v>
      </c>
      <c r="T116" s="103">
        <f t="shared" si="35"/>
        <v>0</v>
      </c>
      <c r="U116" s="104">
        <f t="shared" si="36"/>
        <v>0</v>
      </c>
      <c r="V116" s="104">
        <f t="shared" si="36"/>
        <v>0</v>
      </c>
      <c r="X116" s="103" t="e">
        <f t="shared" si="37"/>
        <v>#REF!</v>
      </c>
      <c r="Y116" s="103" t="e">
        <f t="shared" si="38"/>
        <v>#REF!</v>
      </c>
      <c r="Z116" s="104" t="e">
        <f t="shared" si="39"/>
        <v>#REF!</v>
      </c>
      <c r="AA116" s="104" t="e">
        <f t="shared" si="39"/>
        <v>#REF!</v>
      </c>
      <c r="AC116" s="103" t="e">
        <f t="shared" si="40"/>
        <v>#REF!</v>
      </c>
      <c r="AD116" s="103" t="e">
        <f t="shared" si="41"/>
        <v>#REF!</v>
      </c>
      <c r="AE116" s="104" t="e">
        <f t="shared" si="42"/>
        <v>#REF!</v>
      </c>
      <c r="AF116" s="104" t="e">
        <f t="shared" si="42"/>
        <v>#REF!</v>
      </c>
      <c r="AH116" s="103" t="e">
        <f t="shared" si="43"/>
        <v>#REF!</v>
      </c>
      <c r="AI116" s="103" t="e">
        <f t="shared" si="44"/>
        <v>#REF!</v>
      </c>
      <c r="AJ116" s="104" t="e">
        <f t="shared" si="45"/>
        <v>#REF!</v>
      </c>
      <c r="AK116" s="104" t="e">
        <f t="shared" si="45"/>
        <v>#REF!</v>
      </c>
    </row>
    <row r="117" spans="1:37" ht="15" customHeight="1">
      <c r="A117" s="97"/>
      <c r="B117" s="106"/>
      <c r="C117" s="99"/>
      <c r="D117" s="100"/>
      <c r="E117" s="102"/>
      <c r="F117" s="102"/>
      <c r="G117" s="18" t="str">
        <f t="shared" si="16"/>
        <v/>
      </c>
      <c r="H117" s="23" t="str">
        <f t="shared" si="17"/>
        <v/>
      </c>
      <c r="I117" s="27"/>
      <c r="J117" s="3"/>
      <c r="K117" s="3"/>
      <c r="L117" s="3"/>
      <c r="M117" s="3"/>
      <c r="N117" s="3"/>
      <c r="O117" s="3"/>
      <c r="P117" s="3"/>
      <c r="Q117" s="3"/>
      <c r="S117" s="103">
        <f t="shared" si="34"/>
        <v>0</v>
      </c>
      <c r="T117" s="103">
        <f t="shared" si="35"/>
        <v>0</v>
      </c>
      <c r="U117" s="104">
        <f t="shared" si="36"/>
        <v>0</v>
      </c>
      <c r="V117" s="104">
        <f t="shared" si="36"/>
        <v>0</v>
      </c>
      <c r="X117" s="103" t="e">
        <f t="shared" si="37"/>
        <v>#REF!</v>
      </c>
      <c r="Y117" s="103" t="e">
        <f t="shared" si="38"/>
        <v>#REF!</v>
      </c>
      <c r="Z117" s="104" t="e">
        <f t="shared" si="39"/>
        <v>#REF!</v>
      </c>
      <c r="AA117" s="104" t="e">
        <f t="shared" si="39"/>
        <v>#REF!</v>
      </c>
      <c r="AC117" s="103" t="e">
        <f t="shared" si="40"/>
        <v>#REF!</v>
      </c>
      <c r="AD117" s="103" t="e">
        <f t="shared" si="41"/>
        <v>#REF!</v>
      </c>
      <c r="AE117" s="104" t="e">
        <f t="shared" si="42"/>
        <v>#REF!</v>
      </c>
      <c r="AF117" s="104" t="e">
        <f t="shared" si="42"/>
        <v>#REF!</v>
      </c>
      <c r="AH117" s="103" t="e">
        <f t="shared" si="43"/>
        <v>#REF!</v>
      </c>
      <c r="AI117" s="103" t="e">
        <f t="shared" si="44"/>
        <v>#REF!</v>
      </c>
      <c r="AJ117" s="104" t="e">
        <f t="shared" si="45"/>
        <v>#REF!</v>
      </c>
      <c r="AK117" s="104" t="e">
        <f t="shared" si="45"/>
        <v>#REF!</v>
      </c>
    </row>
    <row r="118" spans="1:37" ht="15" customHeight="1">
      <c r="A118" s="97"/>
      <c r="B118" s="106"/>
      <c r="C118" s="99"/>
      <c r="D118" s="100"/>
      <c r="E118" s="102"/>
      <c r="F118" s="102"/>
      <c r="G118" s="18" t="str">
        <f t="shared" si="16"/>
        <v/>
      </c>
      <c r="H118" s="23" t="str">
        <f t="shared" si="17"/>
        <v/>
      </c>
      <c r="I118" s="27"/>
      <c r="J118" s="3"/>
      <c r="K118" s="3"/>
      <c r="L118" s="3"/>
      <c r="M118" s="3"/>
      <c r="N118" s="3"/>
      <c r="O118" s="3"/>
      <c r="P118" s="3"/>
      <c r="Q118" s="3"/>
      <c r="S118" s="103">
        <f t="shared" si="34"/>
        <v>0</v>
      </c>
      <c r="T118" s="103">
        <f t="shared" si="35"/>
        <v>0</v>
      </c>
      <c r="U118" s="104">
        <f t="shared" si="36"/>
        <v>0</v>
      </c>
      <c r="V118" s="104">
        <f t="shared" si="36"/>
        <v>0</v>
      </c>
      <c r="X118" s="103" t="e">
        <f t="shared" si="37"/>
        <v>#REF!</v>
      </c>
      <c r="Y118" s="103" t="e">
        <f t="shared" si="38"/>
        <v>#REF!</v>
      </c>
      <c r="Z118" s="104" t="e">
        <f t="shared" si="39"/>
        <v>#REF!</v>
      </c>
      <c r="AA118" s="104" t="e">
        <f t="shared" si="39"/>
        <v>#REF!</v>
      </c>
      <c r="AC118" s="103" t="e">
        <f t="shared" si="40"/>
        <v>#REF!</v>
      </c>
      <c r="AD118" s="103" t="e">
        <f t="shared" si="41"/>
        <v>#REF!</v>
      </c>
      <c r="AE118" s="104" t="e">
        <f t="shared" si="42"/>
        <v>#REF!</v>
      </c>
      <c r="AF118" s="104" t="e">
        <f t="shared" si="42"/>
        <v>#REF!</v>
      </c>
      <c r="AH118" s="103" t="e">
        <f t="shared" si="43"/>
        <v>#REF!</v>
      </c>
      <c r="AI118" s="103" t="e">
        <f t="shared" si="44"/>
        <v>#REF!</v>
      </c>
      <c r="AJ118" s="104" t="e">
        <f t="shared" si="45"/>
        <v>#REF!</v>
      </c>
      <c r="AK118" s="104" t="e">
        <f t="shared" si="45"/>
        <v>#REF!</v>
      </c>
    </row>
    <row r="119" spans="1:37" ht="15" customHeight="1">
      <c r="A119" s="97"/>
      <c r="B119" s="106"/>
      <c r="C119" s="99"/>
      <c r="D119" s="100"/>
      <c r="E119" s="102"/>
      <c r="F119" s="102"/>
      <c r="G119" s="18" t="str">
        <f t="shared" si="16"/>
        <v/>
      </c>
      <c r="H119" s="23" t="str">
        <f t="shared" si="17"/>
        <v/>
      </c>
      <c r="I119" s="27"/>
      <c r="J119" s="3"/>
      <c r="K119" s="3"/>
      <c r="L119" s="3"/>
      <c r="M119" s="3"/>
      <c r="N119" s="3"/>
      <c r="O119" s="3"/>
      <c r="P119" s="3"/>
      <c r="Q119" s="3"/>
      <c r="S119" s="103">
        <f t="shared" si="34"/>
        <v>0</v>
      </c>
      <c r="T119" s="103">
        <f t="shared" si="35"/>
        <v>0</v>
      </c>
      <c r="U119" s="104">
        <f t="shared" si="36"/>
        <v>0</v>
      </c>
      <c r="V119" s="104">
        <f t="shared" si="36"/>
        <v>0</v>
      </c>
      <c r="X119" s="103" t="e">
        <f t="shared" si="37"/>
        <v>#REF!</v>
      </c>
      <c r="Y119" s="103" t="e">
        <f t="shared" si="38"/>
        <v>#REF!</v>
      </c>
      <c r="Z119" s="104" t="e">
        <f t="shared" si="39"/>
        <v>#REF!</v>
      </c>
      <c r="AA119" s="104" t="e">
        <f t="shared" si="39"/>
        <v>#REF!</v>
      </c>
      <c r="AC119" s="103" t="e">
        <f t="shared" si="40"/>
        <v>#REF!</v>
      </c>
      <c r="AD119" s="103" t="e">
        <f t="shared" si="41"/>
        <v>#REF!</v>
      </c>
      <c r="AE119" s="104" t="e">
        <f t="shared" si="42"/>
        <v>#REF!</v>
      </c>
      <c r="AF119" s="104" t="e">
        <f t="shared" si="42"/>
        <v>#REF!</v>
      </c>
      <c r="AH119" s="103" t="e">
        <f t="shared" si="43"/>
        <v>#REF!</v>
      </c>
      <c r="AI119" s="103" t="e">
        <f t="shared" si="44"/>
        <v>#REF!</v>
      </c>
      <c r="AJ119" s="104" t="e">
        <f t="shared" si="45"/>
        <v>#REF!</v>
      </c>
      <c r="AK119" s="104" t="e">
        <f t="shared" si="45"/>
        <v>#REF!</v>
      </c>
    </row>
    <row r="120" spans="1:37" ht="15" customHeight="1">
      <c r="A120" s="97"/>
      <c r="B120" s="106"/>
      <c r="C120" s="99"/>
      <c r="D120" s="100"/>
      <c r="E120" s="102"/>
      <c r="F120" s="102"/>
      <c r="G120" s="18" t="str">
        <f t="shared" si="16"/>
        <v/>
      </c>
      <c r="H120" s="23" t="str">
        <f t="shared" si="17"/>
        <v/>
      </c>
      <c r="I120" s="27"/>
      <c r="J120" s="3"/>
      <c r="K120" s="3"/>
      <c r="L120" s="3"/>
      <c r="M120" s="3"/>
      <c r="N120" s="3"/>
      <c r="O120" s="3"/>
      <c r="P120" s="3"/>
      <c r="Q120" s="3"/>
      <c r="S120" s="103">
        <f t="shared" si="34"/>
        <v>0</v>
      </c>
      <c r="T120" s="103">
        <f t="shared" si="35"/>
        <v>0</v>
      </c>
      <c r="U120" s="104">
        <f t="shared" si="36"/>
        <v>0</v>
      </c>
      <c r="V120" s="104">
        <f t="shared" si="36"/>
        <v>0</v>
      </c>
      <c r="X120" s="103" t="e">
        <f t="shared" si="37"/>
        <v>#REF!</v>
      </c>
      <c r="Y120" s="103" t="e">
        <f t="shared" si="38"/>
        <v>#REF!</v>
      </c>
      <c r="Z120" s="104" t="e">
        <f t="shared" si="39"/>
        <v>#REF!</v>
      </c>
      <c r="AA120" s="104" t="e">
        <f t="shared" si="39"/>
        <v>#REF!</v>
      </c>
      <c r="AC120" s="103" t="e">
        <f t="shared" si="40"/>
        <v>#REF!</v>
      </c>
      <c r="AD120" s="103" t="e">
        <f t="shared" si="41"/>
        <v>#REF!</v>
      </c>
      <c r="AE120" s="104" t="e">
        <f t="shared" si="42"/>
        <v>#REF!</v>
      </c>
      <c r="AF120" s="104" t="e">
        <f t="shared" si="42"/>
        <v>#REF!</v>
      </c>
      <c r="AH120" s="103" t="e">
        <f t="shared" si="43"/>
        <v>#REF!</v>
      </c>
      <c r="AI120" s="103" t="e">
        <f t="shared" si="44"/>
        <v>#REF!</v>
      </c>
      <c r="AJ120" s="104" t="e">
        <f t="shared" si="45"/>
        <v>#REF!</v>
      </c>
      <c r="AK120" s="104" t="e">
        <f t="shared" si="45"/>
        <v>#REF!</v>
      </c>
    </row>
    <row r="121" spans="1:37" ht="15" customHeight="1">
      <c r="A121" s="97"/>
      <c r="B121" s="106"/>
      <c r="C121" s="99"/>
      <c r="D121" s="100"/>
      <c r="E121" s="102"/>
      <c r="F121" s="102"/>
      <c r="G121" s="18" t="str">
        <f t="shared" si="16"/>
        <v/>
      </c>
      <c r="H121" s="23" t="str">
        <f t="shared" si="17"/>
        <v/>
      </c>
      <c r="I121" s="27"/>
      <c r="J121" s="3"/>
      <c r="K121" s="3"/>
      <c r="L121" s="3"/>
      <c r="M121" s="3"/>
      <c r="N121" s="3"/>
      <c r="O121" s="3"/>
      <c r="P121" s="3"/>
      <c r="Q121" s="3"/>
      <c r="S121" s="103">
        <f t="shared" si="34"/>
        <v>0</v>
      </c>
      <c r="T121" s="103">
        <f t="shared" si="35"/>
        <v>0</v>
      </c>
      <c r="U121" s="104">
        <f t="shared" si="36"/>
        <v>0</v>
      </c>
      <c r="V121" s="104">
        <f t="shared" si="36"/>
        <v>0</v>
      </c>
      <c r="X121" s="103" t="e">
        <f t="shared" si="37"/>
        <v>#REF!</v>
      </c>
      <c r="Y121" s="103" t="e">
        <f t="shared" si="38"/>
        <v>#REF!</v>
      </c>
      <c r="Z121" s="104" t="e">
        <f t="shared" si="39"/>
        <v>#REF!</v>
      </c>
      <c r="AA121" s="104" t="e">
        <f t="shared" si="39"/>
        <v>#REF!</v>
      </c>
      <c r="AC121" s="103" t="e">
        <f t="shared" si="40"/>
        <v>#REF!</v>
      </c>
      <c r="AD121" s="103" t="e">
        <f t="shared" si="41"/>
        <v>#REF!</v>
      </c>
      <c r="AE121" s="104" t="e">
        <f t="shared" si="42"/>
        <v>#REF!</v>
      </c>
      <c r="AF121" s="104" t="e">
        <f t="shared" si="42"/>
        <v>#REF!</v>
      </c>
      <c r="AH121" s="103" t="e">
        <f t="shared" si="43"/>
        <v>#REF!</v>
      </c>
      <c r="AI121" s="103" t="e">
        <f t="shared" si="44"/>
        <v>#REF!</v>
      </c>
      <c r="AJ121" s="104" t="e">
        <f t="shared" si="45"/>
        <v>#REF!</v>
      </c>
      <c r="AK121" s="104" t="e">
        <f t="shared" si="45"/>
        <v>#REF!</v>
      </c>
    </row>
    <row r="122" spans="1:37" ht="15" customHeight="1">
      <c r="A122" s="97"/>
      <c r="B122" s="106"/>
      <c r="C122" s="99"/>
      <c r="D122" s="100"/>
      <c r="E122" s="102"/>
      <c r="F122" s="102"/>
      <c r="G122" s="18" t="str">
        <f t="shared" si="16"/>
        <v/>
      </c>
      <c r="H122" s="23" t="str">
        <f t="shared" si="17"/>
        <v/>
      </c>
      <c r="I122" s="27"/>
      <c r="J122" s="3"/>
      <c r="K122" s="3"/>
      <c r="L122" s="3"/>
      <c r="M122" s="3"/>
      <c r="N122" s="3"/>
      <c r="O122" s="3"/>
      <c r="P122" s="3"/>
      <c r="Q122" s="3"/>
      <c r="S122" s="103">
        <f t="shared" si="34"/>
        <v>0</v>
      </c>
      <c r="T122" s="103">
        <f t="shared" si="35"/>
        <v>0</v>
      </c>
      <c r="U122" s="104">
        <f t="shared" si="36"/>
        <v>0</v>
      </c>
      <c r="V122" s="104">
        <f t="shared" si="36"/>
        <v>0</v>
      </c>
      <c r="X122" s="103" t="e">
        <f t="shared" si="37"/>
        <v>#REF!</v>
      </c>
      <c r="Y122" s="103" t="e">
        <f t="shared" si="38"/>
        <v>#REF!</v>
      </c>
      <c r="Z122" s="104" t="e">
        <f t="shared" si="39"/>
        <v>#REF!</v>
      </c>
      <c r="AA122" s="104" t="e">
        <f t="shared" si="39"/>
        <v>#REF!</v>
      </c>
      <c r="AC122" s="103" t="e">
        <f t="shared" si="40"/>
        <v>#REF!</v>
      </c>
      <c r="AD122" s="103" t="e">
        <f t="shared" si="41"/>
        <v>#REF!</v>
      </c>
      <c r="AE122" s="104" t="e">
        <f t="shared" si="42"/>
        <v>#REF!</v>
      </c>
      <c r="AF122" s="104" t="e">
        <f t="shared" si="42"/>
        <v>#REF!</v>
      </c>
      <c r="AH122" s="103" t="e">
        <f t="shared" si="43"/>
        <v>#REF!</v>
      </c>
      <c r="AI122" s="103" t="e">
        <f t="shared" si="44"/>
        <v>#REF!</v>
      </c>
      <c r="AJ122" s="104" t="e">
        <f t="shared" si="45"/>
        <v>#REF!</v>
      </c>
      <c r="AK122" s="104" t="e">
        <f t="shared" si="45"/>
        <v>#REF!</v>
      </c>
    </row>
    <row r="123" spans="1:37" ht="15" customHeight="1">
      <c r="A123" s="97"/>
      <c r="B123" s="106"/>
      <c r="C123" s="99"/>
      <c r="D123" s="100"/>
      <c r="E123" s="102"/>
      <c r="F123" s="102"/>
      <c r="G123" s="18" t="str">
        <f t="shared" si="16"/>
        <v/>
      </c>
      <c r="H123" s="23" t="str">
        <f t="shared" si="17"/>
        <v/>
      </c>
      <c r="I123" s="27"/>
      <c r="J123" s="3"/>
      <c r="K123" s="3"/>
      <c r="L123" s="3"/>
      <c r="M123" s="3"/>
      <c r="N123" s="3"/>
      <c r="O123" s="3"/>
      <c r="P123" s="3"/>
      <c r="Q123" s="3"/>
      <c r="S123" s="103">
        <f t="shared" si="34"/>
        <v>0</v>
      </c>
      <c r="T123" s="103">
        <f t="shared" si="35"/>
        <v>0</v>
      </c>
      <c r="U123" s="104">
        <f t="shared" si="36"/>
        <v>0</v>
      </c>
      <c r="V123" s="104">
        <f t="shared" si="36"/>
        <v>0</v>
      </c>
      <c r="X123" s="103" t="e">
        <f t="shared" si="37"/>
        <v>#REF!</v>
      </c>
      <c r="Y123" s="103" t="e">
        <f t="shared" si="38"/>
        <v>#REF!</v>
      </c>
      <c r="Z123" s="104" t="e">
        <f t="shared" si="39"/>
        <v>#REF!</v>
      </c>
      <c r="AA123" s="104" t="e">
        <f t="shared" si="39"/>
        <v>#REF!</v>
      </c>
      <c r="AC123" s="103" t="e">
        <f t="shared" si="40"/>
        <v>#REF!</v>
      </c>
      <c r="AD123" s="103" t="e">
        <f t="shared" si="41"/>
        <v>#REF!</v>
      </c>
      <c r="AE123" s="104" t="e">
        <f t="shared" si="42"/>
        <v>#REF!</v>
      </c>
      <c r="AF123" s="104" t="e">
        <f t="shared" si="42"/>
        <v>#REF!</v>
      </c>
      <c r="AH123" s="103" t="e">
        <f t="shared" si="43"/>
        <v>#REF!</v>
      </c>
      <c r="AI123" s="103" t="e">
        <f t="shared" si="44"/>
        <v>#REF!</v>
      </c>
      <c r="AJ123" s="104" t="e">
        <f t="shared" si="45"/>
        <v>#REF!</v>
      </c>
      <c r="AK123" s="104" t="e">
        <f t="shared" si="45"/>
        <v>#REF!</v>
      </c>
    </row>
    <row r="124" spans="1:37" ht="15" customHeight="1">
      <c r="A124" s="97"/>
      <c r="B124" s="106"/>
      <c r="C124" s="99"/>
      <c r="D124" s="100"/>
      <c r="E124" s="102"/>
      <c r="F124" s="102"/>
      <c r="G124" s="18" t="str">
        <f t="shared" si="16"/>
        <v/>
      </c>
      <c r="H124" s="23" t="str">
        <f t="shared" si="17"/>
        <v/>
      </c>
      <c r="I124" s="27"/>
      <c r="J124" s="3"/>
      <c r="K124" s="3"/>
      <c r="L124" s="3"/>
      <c r="M124" s="3"/>
      <c r="N124" s="3"/>
      <c r="O124" s="3"/>
      <c r="P124" s="3"/>
      <c r="Q124" s="3"/>
      <c r="S124" s="103">
        <f t="shared" si="34"/>
        <v>0</v>
      </c>
      <c r="T124" s="103">
        <f t="shared" si="35"/>
        <v>0</v>
      </c>
      <c r="U124" s="104">
        <f t="shared" si="36"/>
        <v>0</v>
      </c>
      <c r="V124" s="104">
        <f t="shared" si="36"/>
        <v>0</v>
      </c>
      <c r="X124" s="103" t="e">
        <f t="shared" si="37"/>
        <v>#REF!</v>
      </c>
      <c r="Y124" s="103" t="e">
        <f t="shared" si="38"/>
        <v>#REF!</v>
      </c>
      <c r="Z124" s="104" t="e">
        <f t="shared" si="39"/>
        <v>#REF!</v>
      </c>
      <c r="AA124" s="104" t="e">
        <f t="shared" si="39"/>
        <v>#REF!</v>
      </c>
      <c r="AC124" s="103" t="e">
        <f t="shared" si="40"/>
        <v>#REF!</v>
      </c>
      <c r="AD124" s="103" t="e">
        <f t="shared" si="41"/>
        <v>#REF!</v>
      </c>
      <c r="AE124" s="104" t="e">
        <f t="shared" si="42"/>
        <v>#REF!</v>
      </c>
      <c r="AF124" s="104" t="e">
        <f t="shared" si="42"/>
        <v>#REF!</v>
      </c>
      <c r="AH124" s="103" t="e">
        <f t="shared" si="43"/>
        <v>#REF!</v>
      </c>
      <c r="AI124" s="103" t="e">
        <f t="shared" si="44"/>
        <v>#REF!</v>
      </c>
      <c r="AJ124" s="104" t="e">
        <f t="shared" si="45"/>
        <v>#REF!</v>
      </c>
      <c r="AK124" s="104" t="e">
        <f t="shared" si="45"/>
        <v>#REF!</v>
      </c>
    </row>
    <row r="125" spans="1:37" ht="15" customHeight="1">
      <c r="A125" s="97"/>
      <c r="B125" s="106"/>
      <c r="C125" s="99"/>
      <c r="D125" s="100"/>
      <c r="E125" s="102"/>
      <c r="F125" s="102"/>
      <c r="G125" s="18" t="str">
        <f t="shared" si="16"/>
        <v/>
      </c>
      <c r="H125" s="23" t="str">
        <f t="shared" si="17"/>
        <v/>
      </c>
      <c r="I125" s="27"/>
      <c r="J125" s="3"/>
      <c r="K125" s="3"/>
      <c r="L125" s="3"/>
      <c r="M125" s="3"/>
      <c r="N125" s="3"/>
      <c r="O125" s="3"/>
      <c r="P125" s="3"/>
      <c r="Q125" s="3"/>
      <c r="S125" s="103">
        <f t="shared" si="34"/>
        <v>0</v>
      </c>
      <c r="T125" s="103">
        <f t="shared" si="35"/>
        <v>0</v>
      </c>
      <c r="U125" s="104">
        <f t="shared" si="36"/>
        <v>0</v>
      </c>
      <c r="V125" s="104">
        <f t="shared" si="36"/>
        <v>0</v>
      </c>
      <c r="X125" s="103" t="e">
        <f t="shared" si="37"/>
        <v>#REF!</v>
      </c>
      <c r="Y125" s="103" t="e">
        <f t="shared" si="38"/>
        <v>#REF!</v>
      </c>
      <c r="Z125" s="104" t="e">
        <f t="shared" si="39"/>
        <v>#REF!</v>
      </c>
      <c r="AA125" s="104" t="e">
        <f t="shared" si="39"/>
        <v>#REF!</v>
      </c>
      <c r="AC125" s="103" t="e">
        <f t="shared" si="40"/>
        <v>#REF!</v>
      </c>
      <c r="AD125" s="103" t="e">
        <f t="shared" si="41"/>
        <v>#REF!</v>
      </c>
      <c r="AE125" s="104" t="e">
        <f t="shared" si="42"/>
        <v>#REF!</v>
      </c>
      <c r="AF125" s="104" t="e">
        <f t="shared" si="42"/>
        <v>#REF!</v>
      </c>
      <c r="AH125" s="103" t="e">
        <f t="shared" si="43"/>
        <v>#REF!</v>
      </c>
      <c r="AI125" s="103" t="e">
        <f t="shared" si="44"/>
        <v>#REF!</v>
      </c>
      <c r="AJ125" s="104" t="e">
        <f t="shared" si="45"/>
        <v>#REF!</v>
      </c>
      <c r="AK125" s="104" t="e">
        <f t="shared" si="45"/>
        <v>#REF!</v>
      </c>
    </row>
    <row r="126" spans="1:37" ht="15" customHeight="1">
      <c r="A126" s="97"/>
      <c r="B126" s="106"/>
      <c r="C126" s="99"/>
      <c r="D126" s="100"/>
      <c r="E126" s="102"/>
      <c r="F126" s="102"/>
      <c r="G126" s="18" t="str">
        <f t="shared" si="16"/>
        <v/>
      </c>
      <c r="H126" s="23" t="str">
        <f t="shared" si="17"/>
        <v/>
      </c>
      <c r="I126" s="26"/>
      <c r="J126" s="3"/>
      <c r="K126" s="3"/>
      <c r="L126" s="3"/>
      <c r="M126" s="3"/>
      <c r="N126" s="3"/>
      <c r="O126" s="3"/>
      <c r="P126" s="3"/>
      <c r="Q126" s="3"/>
      <c r="S126" s="103">
        <f t="shared" si="34"/>
        <v>0</v>
      </c>
      <c r="T126" s="103">
        <f t="shared" si="35"/>
        <v>0</v>
      </c>
      <c r="U126" s="104">
        <f t="shared" si="36"/>
        <v>0</v>
      </c>
      <c r="V126" s="104">
        <f t="shared" si="36"/>
        <v>0</v>
      </c>
      <c r="X126" s="103" t="e">
        <f t="shared" si="37"/>
        <v>#REF!</v>
      </c>
      <c r="Y126" s="103" t="e">
        <f t="shared" si="38"/>
        <v>#REF!</v>
      </c>
      <c r="Z126" s="104" t="e">
        <f t="shared" si="39"/>
        <v>#REF!</v>
      </c>
      <c r="AA126" s="104" t="e">
        <f t="shared" si="39"/>
        <v>#REF!</v>
      </c>
      <c r="AC126" s="103" t="e">
        <f t="shared" si="40"/>
        <v>#REF!</v>
      </c>
      <c r="AD126" s="103" t="e">
        <f t="shared" si="41"/>
        <v>#REF!</v>
      </c>
      <c r="AE126" s="104" t="e">
        <f t="shared" si="42"/>
        <v>#REF!</v>
      </c>
      <c r="AF126" s="104" t="e">
        <f t="shared" si="42"/>
        <v>#REF!</v>
      </c>
      <c r="AH126" s="103" t="e">
        <f t="shared" si="43"/>
        <v>#REF!</v>
      </c>
      <c r="AI126" s="103" t="e">
        <f t="shared" si="44"/>
        <v>#REF!</v>
      </c>
      <c r="AJ126" s="104" t="e">
        <f t="shared" si="45"/>
        <v>#REF!</v>
      </c>
      <c r="AK126" s="104" t="e">
        <f t="shared" si="45"/>
        <v>#REF!</v>
      </c>
    </row>
    <row r="127" spans="1:37" ht="15" customHeight="1">
      <c r="A127" s="97"/>
      <c r="B127" s="106"/>
      <c r="C127" s="99"/>
      <c r="D127" s="100"/>
      <c r="E127" s="102"/>
      <c r="F127" s="102"/>
      <c r="G127" s="18" t="str">
        <f t="shared" si="16"/>
        <v/>
      </c>
      <c r="H127" s="23" t="str">
        <f t="shared" si="17"/>
        <v/>
      </c>
      <c r="I127" s="26"/>
      <c r="J127" s="3"/>
      <c r="K127" s="3"/>
      <c r="L127" s="3"/>
      <c r="M127" s="3"/>
      <c r="N127" s="3"/>
      <c r="O127" s="3"/>
      <c r="P127" s="3"/>
      <c r="Q127" s="3"/>
      <c r="S127" s="103">
        <f t="shared" si="34"/>
        <v>0</v>
      </c>
      <c r="T127" s="103">
        <f t="shared" si="35"/>
        <v>0</v>
      </c>
      <c r="U127" s="104">
        <f t="shared" si="36"/>
        <v>0</v>
      </c>
      <c r="V127" s="104">
        <f t="shared" si="36"/>
        <v>0</v>
      </c>
      <c r="X127" s="103" t="e">
        <f t="shared" si="37"/>
        <v>#REF!</v>
      </c>
      <c r="Y127" s="103" t="e">
        <f t="shared" si="38"/>
        <v>#REF!</v>
      </c>
      <c r="Z127" s="104" t="e">
        <f t="shared" si="39"/>
        <v>#REF!</v>
      </c>
      <c r="AA127" s="104" t="e">
        <f t="shared" si="39"/>
        <v>#REF!</v>
      </c>
      <c r="AC127" s="103" t="e">
        <f t="shared" si="40"/>
        <v>#REF!</v>
      </c>
      <c r="AD127" s="103" t="e">
        <f t="shared" si="41"/>
        <v>#REF!</v>
      </c>
      <c r="AE127" s="104" t="e">
        <f t="shared" si="42"/>
        <v>#REF!</v>
      </c>
      <c r="AF127" s="104" t="e">
        <f t="shared" si="42"/>
        <v>#REF!</v>
      </c>
      <c r="AH127" s="103" t="e">
        <f t="shared" si="43"/>
        <v>#REF!</v>
      </c>
      <c r="AI127" s="103" t="e">
        <f t="shared" si="44"/>
        <v>#REF!</v>
      </c>
      <c r="AJ127" s="104" t="e">
        <f t="shared" si="45"/>
        <v>#REF!</v>
      </c>
      <c r="AK127" s="104" t="e">
        <f t="shared" si="45"/>
        <v>#REF!</v>
      </c>
    </row>
    <row r="128" spans="1:37" ht="15" customHeight="1">
      <c r="A128" s="97"/>
      <c r="B128" s="106"/>
      <c r="C128" s="99"/>
      <c r="D128" s="100"/>
      <c r="E128" s="102"/>
      <c r="F128" s="102"/>
      <c r="G128" s="18" t="str">
        <f t="shared" si="16"/>
        <v/>
      </c>
      <c r="H128" s="23" t="str">
        <f t="shared" si="17"/>
        <v/>
      </c>
      <c r="I128" s="26"/>
      <c r="J128" s="3"/>
      <c r="K128" s="3"/>
      <c r="L128" s="3"/>
      <c r="M128" s="3"/>
      <c r="N128" s="3"/>
      <c r="O128" s="3"/>
      <c r="P128" s="3"/>
      <c r="Q128" s="3"/>
      <c r="S128" s="103">
        <f t="shared" si="34"/>
        <v>0</v>
      </c>
      <c r="T128" s="103">
        <f t="shared" si="35"/>
        <v>0</v>
      </c>
      <c r="U128" s="104">
        <f t="shared" si="36"/>
        <v>0</v>
      </c>
      <c r="V128" s="104">
        <f t="shared" si="36"/>
        <v>0</v>
      </c>
      <c r="X128" s="103" t="e">
        <f t="shared" si="37"/>
        <v>#REF!</v>
      </c>
      <c r="Y128" s="103" t="e">
        <f t="shared" si="38"/>
        <v>#REF!</v>
      </c>
      <c r="Z128" s="104" t="e">
        <f t="shared" si="39"/>
        <v>#REF!</v>
      </c>
      <c r="AA128" s="104" t="e">
        <f t="shared" si="39"/>
        <v>#REF!</v>
      </c>
      <c r="AC128" s="103" t="e">
        <f t="shared" si="40"/>
        <v>#REF!</v>
      </c>
      <c r="AD128" s="103" t="e">
        <f t="shared" si="41"/>
        <v>#REF!</v>
      </c>
      <c r="AE128" s="104" t="e">
        <f t="shared" si="42"/>
        <v>#REF!</v>
      </c>
      <c r="AF128" s="104" t="e">
        <f t="shared" si="42"/>
        <v>#REF!</v>
      </c>
      <c r="AH128" s="103" t="e">
        <f t="shared" si="43"/>
        <v>#REF!</v>
      </c>
      <c r="AI128" s="103" t="e">
        <f t="shared" si="44"/>
        <v>#REF!</v>
      </c>
      <c r="AJ128" s="104" t="e">
        <f t="shared" si="45"/>
        <v>#REF!</v>
      </c>
      <c r="AK128" s="104" t="e">
        <f t="shared" si="45"/>
        <v>#REF!</v>
      </c>
    </row>
    <row r="129" spans="1:37" ht="15" customHeight="1">
      <c r="A129" s="97"/>
      <c r="B129" s="106"/>
      <c r="C129" s="99"/>
      <c r="D129" s="100"/>
      <c r="E129" s="102"/>
      <c r="F129" s="102"/>
      <c r="G129" s="18" t="str">
        <f t="shared" si="16"/>
        <v/>
      </c>
      <c r="H129" s="23" t="str">
        <f t="shared" si="17"/>
        <v/>
      </c>
      <c r="I129" s="26"/>
      <c r="J129" s="3"/>
      <c r="K129" s="3"/>
      <c r="L129" s="3"/>
      <c r="M129" s="3"/>
      <c r="N129" s="3"/>
      <c r="O129" s="3"/>
      <c r="P129" s="3"/>
      <c r="Q129" s="3"/>
      <c r="S129" s="103">
        <f t="shared" si="34"/>
        <v>0</v>
      </c>
      <c r="T129" s="103">
        <f t="shared" si="35"/>
        <v>0</v>
      </c>
      <c r="U129" s="104">
        <f t="shared" si="36"/>
        <v>0</v>
      </c>
      <c r="V129" s="104">
        <f t="shared" si="36"/>
        <v>0</v>
      </c>
      <c r="X129" s="103" t="e">
        <f t="shared" si="37"/>
        <v>#REF!</v>
      </c>
      <c r="Y129" s="103" t="e">
        <f t="shared" si="38"/>
        <v>#REF!</v>
      </c>
      <c r="Z129" s="104" t="e">
        <f t="shared" si="39"/>
        <v>#REF!</v>
      </c>
      <c r="AA129" s="104" t="e">
        <f t="shared" si="39"/>
        <v>#REF!</v>
      </c>
      <c r="AC129" s="103" t="e">
        <f t="shared" si="40"/>
        <v>#REF!</v>
      </c>
      <c r="AD129" s="103" t="e">
        <f t="shared" si="41"/>
        <v>#REF!</v>
      </c>
      <c r="AE129" s="104" t="e">
        <f t="shared" si="42"/>
        <v>#REF!</v>
      </c>
      <c r="AF129" s="104" t="e">
        <f t="shared" si="42"/>
        <v>#REF!</v>
      </c>
      <c r="AH129" s="103" t="e">
        <f t="shared" si="43"/>
        <v>#REF!</v>
      </c>
      <c r="AI129" s="103" t="e">
        <f t="shared" si="44"/>
        <v>#REF!</v>
      </c>
      <c r="AJ129" s="104" t="e">
        <f t="shared" si="45"/>
        <v>#REF!</v>
      </c>
      <c r="AK129" s="104" t="e">
        <f t="shared" si="45"/>
        <v>#REF!</v>
      </c>
    </row>
    <row r="130" spans="1:37" ht="15" customHeight="1">
      <c r="A130" s="97"/>
      <c r="B130" s="106"/>
      <c r="C130" s="99"/>
      <c r="D130" s="100"/>
      <c r="E130" s="102"/>
      <c r="F130" s="102"/>
      <c r="G130" s="18" t="str">
        <f t="shared" si="16"/>
        <v/>
      </c>
      <c r="H130" s="23" t="str">
        <f t="shared" si="17"/>
        <v/>
      </c>
      <c r="I130" s="27"/>
      <c r="J130" s="3"/>
      <c r="K130" s="3"/>
      <c r="L130" s="3"/>
      <c r="M130" s="3"/>
      <c r="N130" s="3"/>
      <c r="O130" s="3"/>
      <c r="P130" s="3"/>
      <c r="Q130" s="3"/>
      <c r="S130" s="103">
        <f t="shared" si="34"/>
        <v>0</v>
      </c>
      <c r="T130" s="103">
        <f t="shared" si="35"/>
        <v>0</v>
      </c>
      <c r="U130" s="104">
        <f t="shared" si="36"/>
        <v>0</v>
      </c>
      <c r="V130" s="104">
        <f t="shared" si="36"/>
        <v>0</v>
      </c>
      <c r="X130" s="103" t="e">
        <f t="shared" si="37"/>
        <v>#REF!</v>
      </c>
      <c r="Y130" s="103" t="e">
        <f t="shared" si="38"/>
        <v>#REF!</v>
      </c>
      <c r="Z130" s="104" t="e">
        <f t="shared" si="39"/>
        <v>#REF!</v>
      </c>
      <c r="AA130" s="104" t="e">
        <f t="shared" si="39"/>
        <v>#REF!</v>
      </c>
      <c r="AC130" s="103" t="e">
        <f t="shared" si="40"/>
        <v>#REF!</v>
      </c>
      <c r="AD130" s="103" t="e">
        <f t="shared" si="41"/>
        <v>#REF!</v>
      </c>
      <c r="AE130" s="104" t="e">
        <f t="shared" si="42"/>
        <v>#REF!</v>
      </c>
      <c r="AF130" s="104" t="e">
        <f t="shared" si="42"/>
        <v>#REF!</v>
      </c>
      <c r="AH130" s="103" t="e">
        <f t="shared" si="43"/>
        <v>#REF!</v>
      </c>
      <c r="AI130" s="103" t="e">
        <f t="shared" si="44"/>
        <v>#REF!</v>
      </c>
      <c r="AJ130" s="104" t="e">
        <f t="shared" si="45"/>
        <v>#REF!</v>
      </c>
      <c r="AK130" s="104" t="e">
        <f t="shared" si="45"/>
        <v>#REF!</v>
      </c>
    </row>
    <row r="131" spans="1:37" ht="15" customHeight="1">
      <c r="A131" s="107"/>
      <c r="B131" s="108"/>
      <c r="C131" s="99"/>
      <c r="D131" s="100"/>
      <c r="E131" s="102"/>
      <c r="F131" s="102"/>
      <c r="G131" s="18" t="str">
        <f t="shared" si="16"/>
        <v/>
      </c>
      <c r="H131" s="23" t="str">
        <f t="shared" si="17"/>
        <v/>
      </c>
      <c r="I131" s="27"/>
      <c r="J131" s="3"/>
      <c r="K131" s="3"/>
      <c r="L131" s="3"/>
      <c r="M131" s="3"/>
      <c r="N131" s="3"/>
      <c r="O131" s="3"/>
      <c r="P131" s="3"/>
      <c r="Q131" s="3"/>
      <c r="S131" s="103">
        <f t="shared" si="34"/>
        <v>0</v>
      </c>
      <c r="T131" s="103">
        <f t="shared" si="35"/>
        <v>0</v>
      </c>
      <c r="U131" s="104">
        <f t="shared" si="36"/>
        <v>0</v>
      </c>
      <c r="V131" s="104">
        <f t="shared" si="36"/>
        <v>0</v>
      </c>
      <c r="X131" s="103" t="e">
        <f t="shared" si="37"/>
        <v>#REF!</v>
      </c>
      <c r="Y131" s="103" t="e">
        <f t="shared" si="38"/>
        <v>#REF!</v>
      </c>
      <c r="Z131" s="104" t="e">
        <f t="shared" si="39"/>
        <v>#REF!</v>
      </c>
      <c r="AA131" s="104" t="e">
        <f t="shared" si="39"/>
        <v>#REF!</v>
      </c>
      <c r="AC131" s="103" t="e">
        <f t="shared" si="40"/>
        <v>#REF!</v>
      </c>
      <c r="AD131" s="103" t="e">
        <f t="shared" si="41"/>
        <v>#REF!</v>
      </c>
      <c r="AE131" s="104" t="e">
        <f t="shared" si="42"/>
        <v>#REF!</v>
      </c>
      <c r="AF131" s="104" t="e">
        <f t="shared" si="42"/>
        <v>#REF!</v>
      </c>
      <c r="AH131" s="103" t="e">
        <f t="shared" si="43"/>
        <v>#REF!</v>
      </c>
      <c r="AI131" s="103" t="e">
        <f t="shared" si="44"/>
        <v>#REF!</v>
      </c>
      <c r="AJ131" s="104" t="e">
        <f t="shared" si="45"/>
        <v>#REF!</v>
      </c>
      <c r="AK131" s="104" t="e">
        <f t="shared" si="45"/>
        <v>#REF!</v>
      </c>
    </row>
    <row r="132" spans="1:37" ht="15" customHeight="1">
      <c r="A132" s="97"/>
      <c r="B132" s="106"/>
      <c r="C132" s="99"/>
      <c r="D132" s="100"/>
      <c r="E132" s="102"/>
      <c r="F132" s="102"/>
      <c r="G132" s="18" t="str">
        <f t="shared" si="16"/>
        <v/>
      </c>
      <c r="H132" s="23" t="str">
        <f t="shared" si="17"/>
        <v/>
      </c>
      <c r="I132" s="26"/>
      <c r="J132" s="3"/>
      <c r="K132" s="3"/>
      <c r="L132" s="3"/>
      <c r="M132" s="3"/>
      <c r="N132" s="3"/>
      <c r="O132" s="3"/>
      <c r="P132" s="3"/>
      <c r="Q132" s="3"/>
      <c r="S132" s="103">
        <f t="shared" si="34"/>
        <v>0</v>
      </c>
      <c r="T132" s="103">
        <f t="shared" si="35"/>
        <v>0</v>
      </c>
      <c r="U132" s="104">
        <f t="shared" si="36"/>
        <v>0</v>
      </c>
      <c r="V132" s="104">
        <f t="shared" si="36"/>
        <v>0</v>
      </c>
      <c r="X132" s="103" t="e">
        <f t="shared" si="37"/>
        <v>#REF!</v>
      </c>
      <c r="Y132" s="103" t="e">
        <f t="shared" si="38"/>
        <v>#REF!</v>
      </c>
      <c r="Z132" s="104" t="e">
        <f t="shared" si="39"/>
        <v>#REF!</v>
      </c>
      <c r="AA132" s="104" t="e">
        <f t="shared" si="39"/>
        <v>#REF!</v>
      </c>
      <c r="AC132" s="103" t="e">
        <f t="shared" si="40"/>
        <v>#REF!</v>
      </c>
      <c r="AD132" s="103" t="e">
        <f t="shared" si="41"/>
        <v>#REF!</v>
      </c>
      <c r="AE132" s="104" t="e">
        <f t="shared" si="42"/>
        <v>#REF!</v>
      </c>
      <c r="AF132" s="104" t="e">
        <f t="shared" si="42"/>
        <v>#REF!</v>
      </c>
      <c r="AH132" s="103" t="e">
        <f t="shared" si="43"/>
        <v>#REF!</v>
      </c>
      <c r="AI132" s="103" t="e">
        <f t="shared" si="44"/>
        <v>#REF!</v>
      </c>
      <c r="AJ132" s="104" t="e">
        <f t="shared" si="45"/>
        <v>#REF!</v>
      </c>
      <c r="AK132" s="104" t="e">
        <f t="shared" si="45"/>
        <v>#REF!</v>
      </c>
    </row>
    <row r="133" spans="1:37" ht="15" customHeight="1">
      <c r="A133" s="97"/>
      <c r="B133" s="106"/>
      <c r="C133" s="99"/>
      <c r="D133" s="100"/>
      <c r="E133" s="102"/>
      <c r="F133" s="102"/>
      <c r="G133" s="18" t="str">
        <f t="shared" si="16"/>
        <v/>
      </c>
      <c r="H133" s="23" t="str">
        <f t="shared" si="17"/>
        <v/>
      </c>
      <c r="I133" s="26"/>
      <c r="J133" s="3"/>
      <c r="K133" s="3"/>
      <c r="L133" s="3"/>
      <c r="M133" s="3"/>
      <c r="N133" s="3"/>
      <c r="O133" s="3"/>
      <c r="P133" s="3"/>
      <c r="Q133" s="3"/>
      <c r="S133" s="103">
        <f t="shared" si="34"/>
        <v>0</v>
      </c>
      <c r="T133" s="103">
        <f t="shared" si="35"/>
        <v>0</v>
      </c>
      <c r="U133" s="104">
        <f t="shared" si="36"/>
        <v>0</v>
      </c>
      <c r="V133" s="104">
        <f t="shared" si="36"/>
        <v>0</v>
      </c>
      <c r="X133" s="103" t="e">
        <f t="shared" si="37"/>
        <v>#REF!</v>
      </c>
      <c r="Y133" s="103" t="e">
        <f t="shared" si="38"/>
        <v>#REF!</v>
      </c>
      <c r="Z133" s="104" t="e">
        <f t="shared" si="39"/>
        <v>#REF!</v>
      </c>
      <c r="AA133" s="104" t="e">
        <f t="shared" si="39"/>
        <v>#REF!</v>
      </c>
      <c r="AC133" s="103" t="e">
        <f t="shared" si="40"/>
        <v>#REF!</v>
      </c>
      <c r="AD133" s="103" t="e">
        <f t="shared" si="41"/>
        <v>#REF!</v>
      </c>
      <c r="AE133" s="104" t="e">
        <f t="shared" si="42"/>
        <v>#REF!</v>
      </c>
      <c r="AF133" s="104" t="e">
        <f t="shared" si="42"/>
        <v>#REF!</v>
      </c>
      <c r="AH133" s="103" t="e">
        <f t="shared" si="43"/>
        <v>#REF!</v>
      </c>
      <c r="AI133" s="103" t="e">
        <f t="shared" si="44"/>
        <v>#REF!</v>
      </c>
      <c r="AJ133" s="104" t="e">
        <f t="shared" si="45"/>
        <v>#REF!</v>
      </c>
      <c r="AK133" s="104" t="e">
        <f t="shared" si="45"/>
        <v>#REF!</v>
      </c>
    </row>
    <row r="134" spans="1:37" ht="15" customHeight="1">
      <c r="A134" s="107"/>
      <c r="B134" s="108"/>
      <c r="C134" s="99"/>
      <c r="D134" s="100"/>
      <c r="E134" s="102"/>
      <c r="F134" s="102"/>
      <c r="G134" s="18" t="str">
        <f t="shared" si="16"/>
        <v/>
      </c>
      <c r="H134" s="23" t="str">
        <f t="shared" si="17"/>
        <v/>
      </c>
      <c r="I134" s="27"/>
      <c r="J134" s="3"/>
      <c r="K134" s="3"/>
      <c r="L134" s="3"/>
      <c r="M134" s="3"/>
      <c r="N134" s="3"/>
      <c r="O134" s="3"/>
      <c r="P134" s="3"/>
      <c r="Q134" s="3"/>
      <c r="S134" s="103">
        <f t="shared" si="34"/>
        <v>0</v>
      </c>
      <c r="T134" s="103">
        <f t="shared" si="35"/>
        <v>0</v>
      </c>
      <c r="U134" s="104">
        <f t="shared" si="36"/>
        <v>0</v>
      </c>
      <c r="V134" s="104">
        <f t="shared" si="36"/>
        <v>0</v>
      </c>
      <c r="X134" s="103" t="e">
        <f t="shared" si="37"/>
        <v>#REF!</v>
      </c>
      <c r="Y134" s="103" t="e">
        <f t="shared" si="38"/>
        <v>#REF!</v>
      </c>
      <c r="Z134" s="104" t="e">
        <f t="shared" si="39"/>
        <v>#REF!</v>
      </c>
      <c r="AA134" s="104" t="e">
        <f t="shared" si="39"/>
        <v>#REF!</v>
      </c>
      <c r="AC134" s="103" t="e">
        <f t="shared" si="40"/>
        <v>#REF!</v>
      </c>
      <c r="AD134" s="103" t="e">
        <f t="shared" si="41"/>
        <v>#REF!</v>
      </c>
      <c r="AE134" s="104" t="e">
        <f t="shared" si="42"/>
        <v>#REF!</v>
      </c>
      <c r="AF134" s="104" t="e">
        <f t="shared" si="42"/>
        <v>#REF!</v>
      </c>
      <c r="AH134" s="103" t="e">
        <f t="shared" si="43"/>
        <v>#REF!</v>
      </c>
      <c r="AI134" s="103" t="e">
        <f t="shared" si="44"/>
        <v>#REF!</v>
      </c>
      <c r="AJ134" s="104" t="e">
        <f t="shared" si="45"/>
        <v>#REF!</v>
      </c>
      <c r="AK134" s="104" t="e">
        <f t="shared" si="45"/>
        <v>#REF!</v>
      </c>
    </row>
    <row r="135" spans="1:37" ht="15" customHeight="1">
      <c r="A135" s="97"/>
      <c r="B135" s="105"/>
      <c r="C135" s="99"/>
      <c r="D135" s="100"/>
      <c r="E135" s="102"/>
      <c r="F135" s="102"/>
      <c r="G135" s="18" t="str">
        <f t="shared" si="16"/>
        <v/>
      </c>
      <c r="H135" s="23" t="str">
        <f t="shared" si="17"/>
        <v/>
      </c>
      <c r="I135" s="26"/>
      <c r="J135" s="3"/>
      <c r="K135" s="3"/>
      <c r="L135" s="3"/>
      <c r="M135" s="3"/>
      <c r="N135" s="3"/>
      <c r="O135" s="3"/>
      <c r="P135" s="3"/>
      <c r="Q135" s="3"/>
      <c r="S135" s="103">
        <f t="shared" si="34"/>
        <v>0</v>
      </c>
      <c r="T135" s="103">
        <f t="shared" si="35"/>
        <v>0</v>
      </c>
      <c r="U135" s="104">
        <f t="shared" si="36"/>
        <v>0</v>
      </c>
      <c r="V135" s="104">
        <f t="shared" si="36"/>
        <v>0</v>
      </c>
      <c r="X135" s="103" t="e">
        <f t="shared" si="37"/>
        <v>#REF!</v>
      </c>
      <c r="Y135" s="103" t="e">
        <f t="shared" si="38"/>
        <v>#REF!</v>
      </c>
      <c r="Z135" s="104" t="e">
        <f t="shared" si="39"/>
        <v>#REF!</v>
      </c>
      <c r="AA135" s="104" t="e">
        <f t="shared" si="39"/>
        <v>#REF!</v>
      </c>
      <c r="AC135" s="103" t="e">
        <f t="shared" si="40"/>
        <v>#REF!</v>
      </c>
      <c r="AD135" s="103" t="e">
        <f t="shared" si="41"/>
        <v>#REF!</v>
      </c>
      <c r="AE135" s="104" t="e">
        <f t="shared" si="42"/>
        <v>#REF!</v>
      </c>
      <c r="AF135" s="104" t="e">
        <f t="shared" si="42"/>
        <v>#REF!</v>
      </c>
      <c r="AH135" s="103" t="e">
        <f t="shared" si="43"/>
        <v>#REF!</v>
      </c>
      <c r="AI135" s="103" t="e">
        <f t="shared" si="44"/>
        <v>#REF!</v>
      </c>
      <c r="AJ135" s="104" t="e">
        <f t="shared" si="45"/>
        <v>#REF!</v>
      </c>
      <c r="AK135" s="104" t="e">
        <f t="shared" si="45"/>
        <v>#REF!</v>
      </c>
    </row>
    <row r="136" spans="1:37" ht="15" customHeight="1">
      <c r="A136" s="97"/>
      <c r="B136" s="105"/>
      <c r="C136" s="99"/>
      <c r="D136" s="100"/>
      <c r="E136" s="102"/>
      <c r="F136" s="102"/>
      <c r="G136" s="18" t="str">
        <f t="shared" si="16"/>
        <v/>
      </c>
      <c r="H136" s="23" t="str">
        <f t="shared" si="17"/>
        <v/>
      </c>
      <c r="I136" s="26"/>
      <c r="J136" s="3"/>
      <c r="K136" s="3"/>
      <c r="L136" s="3"/>
      <c r="M136" s="3"/>
      <c r="N136" s="3"/>
      <c r="O136" s="3"/>
      <c r="P136" s="3"/>
      <c r="Q136" s="3"/>
      <c r="S136" s="103">
        <f t="shared" si="34"/>
        <v>0</v>
      </c>
      <c r="T136" s="103">
        <f t="shared" si="35"/>
        <v>0</v>
      </c>
      <c r="U136" s="104">
        <f t="shared" si="36"/>
        <v>0</v>
      </c>
      <c r="V136" s="104">
        <f t="shared" si="36"/>
        <v>0</v>
      </c>
      <c r="X136" s="103" t="e">
        <f t="shared" si="37"/>
        <v>#REF!</v>
      </c>
      <c r="Y136" s="103" t="e">
        <f t="shared" si="38"/>
        <v>#REF!</v>
      </c>
      <c r="Z136" s="104" t="e">
        <f t="shared" si="39"/>
        <v>#REF!</v>
      </c>
      <c r="AA136" s="104" t="e">
        <f t="shared" si="39"/>
        <v>#REF!</v>
      </c>
      <c r="AC136" s="103" t="e">
        <f t="shared" si="40"/>
        <v>#REF!</v>
      </c>
      <c r="AD136" s="103" t="e">
        <f t="shared" si="41"/>
        <v>#REF!</v>
      </c>
      <c r="AE136" s="104" t="e">
        <f t="shared" si="42"/>
        <v>#REF!</v>
      </c>
      <c r="AF136" s="104" t="e">
        <f t="shared" si="42"/>
        <v>#REF!</v>
      </c>
      <c r="AH136" s="103" t="e">
        <f t="shared" si="43"/>
        <v>#REF!</v>
      </c>
      <c r="AI136" s="103" t="e">
        <f t="shared" si="44"/>
        <v>#REF!</v>
      </c>
      <c r="AJ136" s="104" t="e">
        <f t="shared" si="45"/>
        <v>#REF!</v>
      </c>
      <c r="AK136" s="104" t="e">
        <f t="shared" si="45"/>
        <v>#REF!</v>
      </c>
    </row>
    <row r="137" spans="1:37" ht="15" customHeight="1">
      <c r="A137" s="97"/>
      <c r="B137" s="105"/>
      <c r="C137" s="99"/>
      <c r="D137" s="100"/>
      <c r="E137" s="102"/>
      <c r="F137" s="102"/>
      <c r="G137" s="18" t="str">
        <f t="shared" si="16"/>
        <v/>
      </c>
      <c r="H137" s="23" t="str">
        <f t="shared" si="17"/>
        <v/>
      </c>
      <c r="I137" s="26"/>
      <c r="J137" s="3"/>
      <c r="K137" s="3"/>
      <c r="L137" s="3"/>
      <c r="M137" s="3"/>
      <c r="N137" s="3"/>
      <c r="O137" s="3"/>
      <c r="P137" s="3"/>
      <c r="Q137" s="3"/>
      <c r="S137" s="103">
        <f t="shared" si="34"/>
        <v>0</v>
      </c>
      <c r="T137" s="103">
        <f t="shared" si="35"/>
        <v>0</v>
      </c>
      <c r="U137" s="104">
        <f t="shared" si="36"/>
        <v>0</v>
      </c>
      <c r="V137" s="104">
        <f t="shared" si="36"/>
        <v>0</v>
      </c>
      <c r="X137" s="103" t="e">
        <f t="shared" si="37"/>
        <v>#REF!</v>
      </c>
      <c r="Y137" s="103" t="e">
        <f t="shared" si="38"/>
        <v>#REF!</v>
      </c>
      <c r="Z137" s="104" t="e">
        <f t="shared" si="39"/>
        <v>#REF!</v>
      </c>
      <c r="AA137" s="104" t="e">
        <f t="shared" si="39"/>
        <v>#REF!</v>
      </c>
      <c r="AC137" s="103" t="e">
        <f t="shared" si="40"/>
        <v>#REF!</v>
      </c>
      <c r="AD137" s="103" t="e">
        <f t="shared" si="41"/>
        <v>#REF!</v>
      </c>
      <c r="AE137" s="104" t="e">
        <f t="shared" si="42"/>
        <v>#REF!</v>
      </c>
      <c r="AF137" s="104" t="e">
        <f t="shared" si="42"/>
        <v>#REF!</v>
      </c>
      <c r="AH137" s="103" t="e">
        <f t="shared" si="43"/>
        <v>#REF!</v>
      </c>
      <c r="AI137" s="103" t="e">
        <f t="shared" si="44"/>
        <v>#REF!</v>
      </c>
      <c r="AJ137" s="104" t="e">
        <f t="shared" si="45"/>
        <v>#REF!</v>
      </c>
      <c r="AK137" s="104" t="e">
        <f t="shared" si="45"/>
        <v>#REF!</v>
      </c>
    </row>
    <row r="138" spans="1:37" ht="15" customHeight="1">
      <c r="A138" s="97"/>
      <c r="B138" s="105"/>
      <c r="C138" s="99"/>
      <c r="D138" s="100"/>
      <c r="E138" s="102"/>
      <c r="F138" s="102"/>
      <c r="G138" s="18" t="str">
        <f t="shared" si="16"/>
        <v/>
      </c>
      <c r="H138" s="23" t="str">
        <f t="shared" si="17"/>
        <v/>
      </c>
      <c r="I138" s="27"/>
      <c r="J138" s="3"/>
      <c r="K138" s="3"/>
      <c r="L138" s="3"/>
      <c r="M138" s="3"/>
      <c r="N138" s="3"/>
      <c r="O138" s="3"/>
      <c r="P138" s="3"/>
      <c r="Q138" s="3"/>
      <c r="S138" s="103">
        <f t="shared" si="34"/>
        <v>0</v>
      </c>
      <c r="T138" s="103">
        <f t="shared" si="35"/>
        <v>0</v>
      </c>
      <c r="U138" s="104">
        <f t="shared" si="36"/>
        <v>0</v>
      </c>
      <c r="V138" s="104">
        <f t="shared" si="36"/>
        <v>0</v>
      </c>
      <c r="X138" s="103" t="e">
        <f t="shared" si="37"/>
        <v>#REF!</v>
      </c>
      <c r="Y138" s="103" t="e">
        <f t="shared" si="38"/>
        <v>#REF!</v>
      </c>
      <c r="Z138" s="104" t="e">
        <f t="shared" si="39"/>
        <v>#REF!</v>
      </c>
      <c r="AA138" s="104" t="e">
        <f t="shared" si="39"/>
        <v>#REF!</v>
      </c>
      <c r="AC138" s="103" t="e">
        <f t="shared" si="40"/>
        <v>#REF!</v>
      </c>
      <c r="AD138" s="103" t="e">
        <f t="shared" si="41"/>
        <v>#REF!</v>
      </c>
      <c r="AE138" s="104" t="e">
        <f t="shared" si="42"/>
        <v>#REF!</v>
      </c>
      <c r="AF138" s="104" t="e">
        <f t="shared" si="42"/>
        <v>#REF!</v>
      </c>
      <c r="AH138" s="103" t="e">
        <f t="shared" si="43"/>
        <v>#REF!</v>
      </c>
      <c r="AI138" s="103" t="e">
        <f t="shared" si="44"/>
        <v>#REF!</v>
      </c>
      <c r="AJ138" s="104" t="e">
        <f t="shared" si="45"/>
        <v>#REF!</v>
      </c>
      <c r="AK138" s="104" t="e">
        <f t="shared" si="45"/>
        <v>#REF!</v>
      </c>
    </row>
    <row r="139" spans="1:37" ht="15" customHeight="1">
      <c r="A139" s="97"/>
      <c r="B139" s="106"/>
      <c r="C139" s="99"/>
      <c r="D139" s="100"/>
      <c r="E139" s="102"/>
      <c r="F139" s="102"/>
      <c r="G139" s="18" t="str">
        <f t="shared" si="16"/>
        <v/>
      </c>
      <c r="H139" s="23" t="str">
        <f t="shared" si="17"/>
        <v/>
      </c>
      <c r="I139" s="27"/>
      <c r="J139" s="3"/>
      <c r="K139" s="3"/>
      <c r="L139" s="3"/>
      <c r="M139" s="3"/>
      <c r="N139" s="3"/>
      <c r="O139" s="3"/>
      <c r="P139" s="3"/>
      <c r="Q139" s="3"/>
      <c r="S139" s="103">
        <f t="shared" si="34"/>
        <v>0</v>
      </c>
      <c r="T139" s="103">
        <f t="shared" si="35"/>
        <v>0</v>
      </c>
      <c r="U139" s="104">
        <f t="shared" si="36"/>
        <v>0</v>
      </c>
      <c r="V139" s="104">
        <f t="shared" si="36"/>
        <v>0</v>
      </c>
      <c r="X139" s="103" t="e">
        <f t="shared" si="37"/>
        <v>#REF!</v>
      </c>
      <c r="Y139" s="103" t="e">
        <f t="shared" si="38"/>
        <v>#REF!</v>
      </c>
      <c r="Z139" s="104" t="e">
        <f t="shared" si="39"/>
        <v>#REF!</v>
      </c>
      <c r="AA139" s="104" t="e">
        <f t="shared" si="39"/>
        <v>#REF!</v>
      </c>
      <c r="AC139" s="103" t="e">
        <f t="shared" si="40"/>
        <v>#REF!</v>
      </c>
      <c r="AD139" s="103" t="e">
        <f t="shared" si="41"/>
        <v>#REF!</v>
      </c>
      <c r="AE139" s="104" t="e">
        <f t="shared" si="42"/>
        <v>#REF!</v>
      </c>
      <c r="AF139" s="104" t="e">
        <f t="shared" si="42"/>
        <v>#REF!</v>
      </c>
      <c r="AH139" s="103" t="e">
        <f t="shared" si="43"/>
        <v>#REF!</v>
      </c>
      <c r="AI139" s="103" t="e">
        <f t="shared" si="44"/>
        <v>#REF!</v>
      </c>
      <c r="AJ139" s="104" t="e">
        <f t="shared" si="45"/>
        <v>#REF!</v>
      </c>
      <c r="AK139" s="104" t="e">
        <f t="shared" si="45"/>
        <v>#REF!</v>
      </c>
    </row>
    <row r="140" spans="1:37" ht="15" customHeight="1">
      <c r="A140" s="97"/>
      <c r="B140" s="106"/>
      <c r="C140" s="99"/>
      <c r="D140" s="100"/>
      <c r="E140" s="102"/>
      <c r="F140" s="102"/>
      <c r="G140" s="18" t="str">
        <f t="shared" ref="G140:G274" si="46">IF(AND(D140="",E140=""),"",IF(D140="",E140,D140+E140))</f>
        <v/>
      </c>
      <c r="H140" s="23" t="str">
        <f t="shared" ref="H140:H274" si="47">IF(AND(D140="",F140=""),"",IF(D140="",F140,D140+F140))</f>
        <v/>
      </c>
      <c r="I140" s="27"/>
      <c r="J140" s="3"/>
      <c r="K140" s="3"/>
      <c r="L140" s="3"/>
      <c r="M140" s="3"/>
      <c r="N140" s="3"/>
      <c r="O140" s="3"/>
      <c r="P140" s="3"/>
      <c r="Q140" s="3"/>
      <c r="S140" s="103">
        <f t="shared" si="34"/>
        <v>0</v>
      </c>
      <c r="T140" s="103">
        <f t="shared" si="35"/>
        <v>0</v>
      </c>
      <c r="U140" s="104">
        <f t="shared" si="36"/>
        <v>0</v>
      </c>
      <c r="V140" s="104">
        <f t="shared" si="36"/>
        <v>0</v>
      </c>
      <c r="X140" s="103" t="e">
        <f t="shared" si="37"/>
        <v>#REF!</v>
      </c>
      <c r="Y140" s="103" t="e">
        <f t="shared" si="38"/>
        <v>#REF!</v>
      </c>
      <c r="Z140" s="104" t="e">
        <f t="shared" si="39"/>
        <v>#REF!</v>
      </c>
      <c r="AA140" s="104" t="e">
        <f t="shared" si="39"/>
        <v>#REF!</v>
      </c>
      <c r="AC140" s="103" t="e">
        <f t="shared" si="40"/>
        <v>#REF!</v>
      </c>
      <c r="AD140" s="103" t="e">
        <f t="shared" si="41"/>
        <v>#REF!</v>
      </c>
      <c r="AE140" s="104" t="e">
        <f t="shared" si="42"/>
        <v>#REF!</v>
      </c>
      <c r="AF140" s="104" t="e">
        <f t="shared" si="42"/>
        <v>#REF!</v>
      </c>
      <c r="AH140" s="103" t="e">
        <f t="shared" si="43"/>
        <v>#REF!</v>
      </c>
      <c r="AI140" s="103" t="e">
        <f t="shared" si="44"/>
        <v>#REF!</v>
      </c>
      <c r="AJ140" s="104" t="e">
        <f t="shared" si="45"/>
        <v>#REF!</v>
      </c>
      <c r="AK140" s="104" t="e">
        <f t="shared" si="45"/>
        <v>#REF!</v>
      </c>
    </row>
    <row r="141" spans="1:37" ht="15" customHeight="1">
      <c r="A141" s="97"/>
      <c r="B141" s="106"/>
      <c r="C141" s="99"/>
      <c r="D141" s="100"/>
      <c r="E141" s="102"/>
      <c r="F141" s="102"/>
      <c r="G141" s="18" t="str">
        <f t="shared" si="46"/>
        <v/>
      </c>
      <c r="H141" s="23" t="str">
        <f t="shared" si="47"/>
        <v/>
      </c>
      <c r="I141" s="27"/>
      <c r="J141" s="3"/>
      <c r="K141" s="3"/>
      <c r="L141" s="3"/>
      <c r="M141" s="3"/>
      <c r="N141" s="3"/>
      <c r="O141" s="3"/>
      <c r="P141" s="3"/>
      <c r="Q141" s="3"/>
      <c r="S141" s="103">
        <f t="shared" si="34"/>
        <v>0</v>
      </c>
      <c r="T141" s="103">
        <f t="shared" si="35"/>
        <v>0</v>
      </c>
      <c r="U141" s="104">
        <f t="shared" si="36"/>
        <v>0</v>
      </c>
      <c r="V141" s="104">
        <f t="shared" si="36"/>
        <v>0</v>
      </c>
      <c r="X141" s="103" t="e">
        <f t="shared" si="37"/>
        <v>#REF!</v>
      </c>
      <c r="Y141" s="103" t="e">
        <f t="shared" si="38"/>
        <v>#REF!</v>
      </c>
      <c r="Z141" s="104" t="e">
        <f t="shared" si="39"/>
        <v>#REF!</v>
      </c>
      <c r="AA141" s="104" t="e">
        <f t="shared" si="39"/>
        <v>#REF!</v>
      </c>
      <c r="AC141" s="103" t="e">
        <f t="shared" si="40"/>
        <v>#REF!</v>
      </c>
      <c r="AD141" s="103" t="e">
        <f t="shared" si="41"/>
        <v>#REF!</v>
      </c>
      <c r="AE141" s="104" t="e">
        <f t="shared" si="42"/>
        <v>#REF!</v>
      </c>
      <c r="AF141" s="104" t="e">
        <f t="shared" si="42"/>
        <v>#REF!</v>
      </c>
      <c r="AH141" s="103" t="e">
        <f t="shared" si="43"/>
        <v>#REF!</v>
      </c>
      <c r="AI141" s="103" t="e">
        <f t="shared" si="44"/>
        <v>#REF!</v>
      </c>
      <c r="AJ141" s="104" t="e">
        <f t="shared" si="45"/>
        <v>#REF!</v>
      </c>
      <c r="AK141" s="104" t="e">
        <f t="shared" si="45"/>
        <v>#REF!</v>
      </c>
    </row>
    <row r="142" spans="1:37" ht="15" customHeight="1">
      <c r="A142" s="97"/>
      <c r="B142" s="106"/>
      <c r="C142" s="99"/>
      <c r="D142" s="100"/>
      <c r="E142" s="102"/>
      <c r="F142" s="102"/>
      <c r="G142" s="18" t="str">
        <f t="shared" si="46"/>
        <v/>
      </c>
      <c r="H142" s="23" t="str">
        <f t="shared" si="47"/>
        <v/>
      </c>
      <c r="I142" s="27"/>
      <c r="J142" s="3"/>
      <c r="K142" s="3"/>
      <c r="L142" s="3"/>
      <c r="M142" s="3"/>
      <c r="N142" s="3"/>
      <c r="O142" s="3"/>
      <c r="P142" s="3"/>
      <c r="Q142" s="3"/>
      <c r="S142" s="103">
        <f t="shared" si="34"/>
        <v>0</v>
      </c>
      <c r="T142" s="103">
        <f t="shared" si="35"/>
        <v>0</v>
      </c>
      <c r="U142" s="104">
        <f t="shared" si="36"/>
        <v>0</v>
      </c>
      <c r="V142" s="104">
        <f t="shared" si="36"/>
        <v>0</v>
      </c>
      <c r="X142" s="103" t="e">
        <f t="shared" si="37"/>
        <v>#REF!</v>
      </c>
      <c r="Y142" s="103" t="e">
        <f t="shared" si="38"/>
        <v>#REF!</v>
      </c>
      <c r="Z142" s="104" t="e">
        <f t="shared" si="39"/>
        <v>#REF!</v>
      </c>
      <c r="AA142" s="104" t="e">
        <f t="shared" si="39"/>
        <v>#REF!</v>
      </c>
      <c r="AC142" s="103" t="e">
        <f t="shared" si="40"/>
        <v>#REF!</v>
      </c>
      <c r="AD142" s="103" t="e">
        <f t="shared" si="41"/>
        <v>#REF!</v>
      </c>
      <c r="AE142" s="104" t="e">
        <f t="shared" si="42"/>
        <v>#REF!</v>
      </c>
      <c r="AF142" s="104" t="e">
        <f t="shared" si="42"/>
        <v>#REF!</v>
      </c>
      <c r="AH142" s="103" t="e">
        <f t="shared" si="43"/>
        <v>#REF!</v>
      </c>
      <c r="AI142" s="103" t="e">
        <f t="shared" si="44"/>
        <v>#REF!</v>
      </c>
      <c r="AJ142" s="104" t="e">
        <f t="shared" si="45"/>
        <v>#REF!</v>
      </c>
      <c r="AK142" s="104" t="e">
        <f t="shared" si="45"/>
        <v>#REF!</v>
      </c>
    </row>
    <row r="143" spans="1:37" ht="15" customHeight="1">
      <c r="A143" s="97"/>
      <c r="B143" s="106"/>
      <c r="C143" s="99"/>
      <c r="D143" s="100"/>
      <c r="E143" s="102"/>
      <c r="F143" s="102"/>
      <c r="G143" s="18" t="str">
        <f t="shared" si="46"/>
        <v/>
      </c>
      <c r="H143" s="23" t="str">
        <f t="shared" si="47"/>
        <v/>
      </c>
      <c r="I143" s="27"/>
      <c r="J143" s="3"/>
      <c r="K143" s="3"/>
      <c r="L143" s="3"/>
      <c r="M143" s="3"/>
      <c r="N143" s="3"/>
      <c r="O143" s="3"/>
      <c r="P143" s="3"/>
      <c r="Q143" s="3"/>
      <c r="S143" s="103">
        <f t="shared" si="34"/>
        <v>0</v>
      </c>
      <c r="T143" s="103">
        <f t="shared" si="35"/>
        <v>0</v>
      </c>
      <c r="U143" s="104">
        <f t="shared" si="36"/>
        <v>0</v>
      </c>
      <c r="V143" s="104">
        <f t="shared" si="36"/>
        <v>0</v>
      </c>
      <c r="X143" s="103" t="e">
        <f t="shared" si="37"/>
        <v>#REF!</v>
      </c>
      <c r="Y143" s="103" t="e">
        <f t="shared" si="38"/>
        <v>#REF!</v>
      </c>
      <c r="Z143" s="104" t="e">
        <f t="shared" si="39"/>
        <v>#REF!</v>
      </c>
      <c r="AA143" s="104" t="e">
        <f t="shared" si="39"/>
        <v>#REF!</v>
      </c>
      <c r="AC143" s="103" t="e">
        <f t="shared" si="40"/>
        <v>#REF!</v>
      </c>
      <c r="AD143" s="103" t="e">
        <f t="shared" si="41"/>
        <v>#REF!</v>
      </c>
      <c r="AE143" s="104" t="e">
        <f t="shared" si="42"/>
        <v>#REF!</v>
      </c>
      <c r="AF143" s="104" t="e">
        <f t="shared" si="42"/>
        <v>#REF!</v>
      </c>
      <c r="AH143" s="103" t="e">
        <f t="shared" si="43"/>
        <v>#REF!</v>
      </c>
      <c r="AI143" s="103" t="e">
        <f t="shared" si="44"/>
        <v>#REF!</v>
      </c>
      <c r="AJ143" s="104" t="e">
        <f t="shared" si="45"/>
        <v>#REF!</v>
      </c>
      <c r="AK143" s="104" t="e">
        <f t="shared" si="45"/>
        <v>#REF!</v>
      </c>
    </row>
    <row r="144" spans="1:37" ht="15" customHeight="1">
      <c r="A144" s="97"/>
      <c r="B144" s="106"/>
      <c r="C144" s="99"/>
      <c r="D144" s="100"/>
      <c r="E144" s="102"/>
      <c r="F144" s="102"/>
      <c r="G144" s="18" t="str">
        <f t="shared" si="46"/>
        <v/>
      </c>
      <c r="H144" s="23" t="str">
        <f t="shared" si="47"/>
        <v/>
      </c>
      <c r="I144" s="27"/>
      <c r="J144" s="3"/>
      <c r="K144" s="3"/>
      <c r="L144" s="3"/>
      <c r="M144" s="3"/>
      <c r="N144" s="3"/>
      <c r="O144" s="3"/>
      <c r="P144" s="3"/>
      <c r="Q144" s="3"/>
      <c r="S144" s="103">
        <f t="shared" si="34"/>
        <v>0</v>
      </c>
      <c r="T144" s="103">
        <f t="shared" si="35"/>
        <v>0</v>
      </c>
      <c r="U144" s="104">
        <f t="shared" si="36"/>
        <v>0</v>
      </c>
      <c r="V144" s="104">
        <f t="shared" si="36"/>
        <v>0</v>
      </c>
      <c r="X144" s="103" t="e">
        <f t="shared" si="37"/>
        <v>#REF!</v>
      </c>
      <c r="Y144" s="103" t="e">
        <f t="shared" si="38"/>
        <v>#REF!</v>
      </c>
      <c r="Z144" s="104" t="e">
        <f t="shared" si="39"/>
        <v>#REF!</v>
      </c>
      <c r="AA144" s="104" t="e">
        <f t="shared" si="39"/>
        <v>#REF!</v>
      </c>
      <c r="AC144" s="103" t="e">
        <f t="shared" si="40"/>
        <v>#REF!</v>
      </c>
      <c r="AD144" s="103" t="e">
        <f t="shared" si="41"/>
        <v>#REF!</v>
      </c>
      <c r="AE144" s="104" t="e">
        <f t="shared" si="42"/>
        <v>#REF!</v>
      </c>
      <c r="AF144" s="104" t="e">
        <f t="shared" si="42"/>
        <v>#REF!</v>
      </c>
      <c r="AH144" s="103" t="e">
        <f t="shared" si="43"/>
        <v>#REF!</v>
      </c>
      <c r="AI144" s="103" t="e">
        <f t="shared" si="44"/>
        <v>#REF!</v>
      </c>
      <c r="AJ144" s="104" t="e">
        <f t="shared" si="45"/>
        <v>#REF!</v>
      </c>
      <c r="AK144" s="104" t="e">
        <f t="shared" si="45"/>
        <v>#REF!</v>
      </c>
    </row>
    <row r="145" spans="1:898 1130:1961 2134:3033 3315:3315" ht="15" customHeight="1">
      <c r="A145" s="97"/>
      <c r="B145" s="106"/>
      <c r="C145" s="99"/>
      <c r="D145" s="100"/>
      <c r="E145" s="102"/>
      <c r="F145" s="102"/>
      <c r="G145" s="18" t="str">
        <f t="shared" si="46"/>
        <v/>
      </c>
      <c r="H145" s="23" t="str">
        <f t="shared" si="47"/>
        <v/>
      </c>
      <c r="I145" s="27"/>
      <c r="J145" s="3"/>
      <c r="K145" s="3"/>
      <c r="L145" s="3"/>
      <c r="M145" s="3"/>
      <c r="N145" s="3"/>
      <c r="O145" s="3"/>
      <c r="P145" s="3"/>
      <c r="Q145" s="3"/>
      <c r="S145" s="103">
        <f t="shared" si="34"/>
        <v>0</v>
      </c>
      <c r="T145" s="103">
        <f t="shared" si="35"/>
        <v>0</v>
      </c>
      <c r="U145" s="104">
        <f t="shared" si="36"/>
        <v>0</v>
      </c>
      <c r="V145" s="104">
        <f t="shared" si="36"/>
        <v>0</v>
      </c>
      <c r="X145" s="103" t="e">
        <f t="shared" si="37"/>
        <v>#REF!</v>
      </c>
      <c r="Y145" s="103" t="e">
        <f t="shared" si="38"/>
        <v>#REF!</v>
      </c>
      <c r="Z145" s="104" t="e">
        <f t="shared" si="39"/>
        <v>#REF!</v>
      </c>
      <c r="AA145" s="104" t="e">
        <f t="shared" si="39"/>
        <v>#REF!</v>
      </c>
      <c r="AC145" s="103" t="e">
        <f t="shared" si="40"/>
        <v>#REF!</v>
      </c>
      <c r="AD145" s="103" t="e">
        <f t="shared" si="41"/>
        <v>#REF!</v>
      </c>
      <c r="AE145" s="104" t="e">
        <f t="shared" si="42"/>
        <v>#REF!</v>
      </c>
      <c r="AF145" s="104" t="e">
        <f t="shared" si="42"/>
        <v>#REF!</v>
      </c>
      <c r="AH145" s="103" t="e">
        <f t="shared" si="43"/>
        <v>#REF!</v>
      </c>
      <c r="AI145" s="103" t="e">
        <f t="shared" si="44"/>
        <v>#REF!</v>
      </c>
      <c r="AJ145" s="104" t="e">
        <f t="shared" si="45"/>
        <v>#REF!</v>
      </c>
      <c r="AK145" s="104" t="e">
        <f t="shared" si="45"/>
        <v>#REF!</v>
      </c>
    </row>
    <row r="146" spans="1:898 1130:1961 2134:3033 3315:3315" ht="15" customHeight="1">
      <c r="A146" s="97"/>
      <c r="B146" s="106"/>
      <c r="C146" s="99"/>
      <c r="D146" s="100"/>
      <c r="E146" s="102"/>
      <c r="F146" s="102"/>
      <c r="G146" s="18" t="str">
        <f t="shared" si="46"/>
        <v/>
      </c>
      <c r="H146" s="23" t="str">
        <f t="shared" si="47"/>
        <v/>
      </c>
      <c r="I146" s="27"/>
      <c r="J146" s="3"/>
      <c r="K146" s="3"/>
      <c r="L146" s="3"/>
      <c r="M146" s="3"/>
      <c r="N146" s="3"/>
      <c r="O146" s="3"/>
      <c r="P146" s="3"/>
      <c r="Q146" s="3"/>
      <c r="S146" s="103">
        <f t="shared" si="34"/>
        <v>0</v>
      </c>
      <c r="T146" s="103">
        <f t="shared" si="35"/>
        <v>0</v>
      </c>
      <c r="U146" s="104">
        <f t="shared" si="36"/>
        <v>0</v>
      </c>
      <c r="V146" s="104">
        <f t="shared" si="36"/>
        <v>0</v>
      </c>
      <c r="X146" s="103" t="e">
        <f t="shared" si="37"/>
        <v>#REF!</v>
      </c>
      <c r="Y146" s="103" t="e">
        <f t="shared" si="38"/>
        <v>#REF!</v>
      </c>
      <c r="Z146" s="104" t="e">
        <f t="shared" si="39"/>
        <v>#REF!</v>
      </c>
      <c r="AA146" s="104" t="e">
        <f t="shared" si="39"/>
        <v>#REF!</v>
      </c>
      <c r="AC146" s="103" t="e">
        <f t="shared" si="40"/>
        <v>#REF!</v>
      </c>
      <c r="AD146" s="103" t="e">
        <f t="shared" si="41"/>
        <v>#REF!</v>
      </c>
      <c r="AE146" s="104" t="e">
        <f t="shared" si="42"/>
        <v>#REF!</v>
      </c>
      <c r="AF146" s="104" t="e">
        <f t="shared" si="42"/>
        <v>#REF!</v>
      </c>
      <c r="AH146" s="103" t="e">
        <f t="shared" si="43"/>
        <v>#REF!</v>
      </c>
      <c r="AI146" s="103" t="e">
        <f t="shared" si="44"/>
        <v>#REF!</v>
      </c>
      <c r="AJ146" s="104" t="e">
        <f t="shared" si="45"/>
        <v>#REF!</v>
      </c>
      <c r="AK146" s="104" t="e">
        <f t="shared" si="45"/>
        <v>#REF!</v>
      </c>
    </row>
    <row r="147" spans="1:898 1130:1961 2134:3033 3315:3315" ht="15" customHeight="1">
      <c r="A147" s="97"/>
      <c r="B147" s="105"/>
      <c r="C147" s="99"/>
      <c r="D147" s="100"/>
      <c r="E147" s="102"/>
      <c r="F147" s="102"/>
      <c r="G147" s="18" t="str">
        <f t="shared" si="46"/>
        <v/>
      </c>
      <c r="H147" s="23" t="str">
        <f t="shared" si="47"/>
        <v/>
      </c>
      <c r="I147" s="27"/>
      <c r="J147" s="3"/>
      <c r="K147" s="3"/>
      <c r="L147" s="3"/>
      <c r="M147" s="3"/>
      <c r="N147" s="3"/>
      <c r="O147" s="3"/>
      <c r="P147" s="3"/>
      <c r="Q147" s="3"/>
      <c r="S147" s="103">
        <f t="shared" si="34"/>
        <v>0</v>
      </c>
      <c r="T147" s="103">
        <f t="shared" si="35"/>
        <v>0</v>
      </c>
      <c r="U147" s="104">
        <f t="shared" si="36"/>
        <v>0</v>
      </c>
      <c r="V147" s="104">
        <f t="shared" si="36"/>
        <v>0</v>
      </c>
      <c r="X147" s="103" t="e">
        <f t="shared" si="37"/>
        <v>#REF!</v>
      </c>
      <c r="Y147" s="103" t="e">
        <f t="shared" si="38"/>
        <v>#REF!</v>
      </c>
      <c r="Z147" s="104" t="e">
        <f t="shared" si="39"/>
        <v>#REF!</v>
      </c>
      <c r="AA147" s="104" t="e">
        <f t="shared" si="39"/>
        <v>#REF!</v>
      </c>
      <c r="AC147" s="103" t="e">
        <f t="shared" si="40"/>
        <v>#REF!</v>
      </c>
      <c r="AD147" s="103" t="e">
        <f t="shared" si="41"/>
        <v>#REF!</v>
      </c>
      <c r="AE147" s="104" t="e">
        <f t="shared" si="42"/>
        <v>#REF!</v>
      </c>
      <c r="AF147" s="104" t="e">
        <f t="shared" si="42"/>
        <v>#REF!</v>
      </c>
      <c r="AH147" s="103" t="e">
        <f t="shared" si="43"/>
        <v>#REF!</v>
      </c>
      <c r="AI147" s="103" t="e">
        <f t="shared" si="44"/>
        <v>#REF!</v>
      </c>
      <c r="AJ147" s="104" t="e">
        <f t="shared" si="45"/>
        <v>#REF!</v>
      </c>
      <c r="AK147" s="104" t="e">
        <f t="shared" si="45"/>
        <v>#REF!</v>
      </c>
    </row>
    <row r="148" spans="1:898 1130:1961 2134:3033 3315:3315" ht="15" customHeight="1">
      <c r="A148" s="97"/>
      <c r="B148" s="106"/>
      <c r="C148" s="99"/>
      <c r="D148" s="100"/>
      <c r="E148" s="102"/>
      <c r="F148" s="102"/>
      <c r="G148" s="18" t="str">
        <f t="shared" si="46"/>
        <v/>
      </c>
      <c r="H148" s="23" t="str">
        <f t="shared" si="47"/>
        <v/>
      </c>
      <c r="I148" s="27"/>
      <c r="J148" s="3"/>
      <c r="K148" s="3"/>
      <c r="L148" s="3"/>
      <c r="M148" s="3"/>
      <c r="N148" s="3"/>
      <c r="O148" s="3"/>
      <c r="P148" s="3"/>
      <c r="Q148" s="3"/>
      <c r="S148" s="103">
        <f t="shared" si="34"/>
        <v>0</v>
      </c>
      <c r="T148" s="103">
        <f t="shared" si="35"/>
        <v>0</v>
      </c>
      <c r="U148" s="104">
        <f t="shared" si="36"/>
        <v>0</v>
      </c>
      <c r="V148" s="104">
        <f t="shared" si="36"/>
        <v>0</v>
      </c>
      <c r="X148" s="103" t="e">
        <f t="shared" si="37"/>
        <v>#REF!</v>
      </c>
      <c r="Y148" s="103" t="e">
        <f t="shared" si="38"/>
        <v>#REF!</v>
      </c>
      <c r="Z148" s="104" t="e">
        <f t="shared" si="39"/>
        <v>#REF!</v>
      </c>
      <c r="AA148" s="104" t="e">
        <f t="shared" si="39"/>
        <v>#REF!</v>
      </c>
      <c r="AC148" s="103" t="e">
        <f t="shared" si="40"/>
        <v>#REF!</v>
      </c>
      <c r="AD148" s="103" t="e">
        <f t="shared" si="41"/>
        <v>#REF!</v>
      </c>
      <c r="AE148" s="104" t="e">
        <f t="shared" si="42"/>
        <v>#REF!</v>
      </c>
      <c r="AF148" s="104" t="e">
        <f t="shared" si="42"/>
        <v>#REF!</v>
      </c>
      <c r="AH148" s="103" t="e">
        <f t="shared" si="43"/>
        <v>#REF!</v>
      </c>
      <c r="AI148" s="103" t="e">
        <f t="shared" si="44"/>
        <v>#REF!</v>
      </c>
      <c r="AJ148" s="104" t="e">
        <f t="shared" si="45"/>
        <v>#REF!</v>
      </c>
      <c r="AK148" s="104" t="e">
        <f t="shared" si="45"/>
        <v>#REF!</v>
      </c>
    </row>
    <row r="149" spans="1:898 1130:1961 2134:3033 3315:3315" ht="15" customHeight="1">
      <c r="A149" s="97"/>
      <c r="B149" s="105"/>
      <c r="C149" s="99"/>
      <c r="D149" s="100"/>
      <c r="E149" s="102"/>
      <c r="F149" s="102"/>
      <c r="G149" s="18" t="str">
        <f t="shared" si="46"/>
        <v/>
      </c>
      <c r="H149" s="23" t="str">
        <f t="shared" si="47"/>
        <v/>
      </c>
      <c r="I149" s="27"/>
      <c r="J149" s="3"/>
      <c r="K149" s="3"/>
      <c r="L149" s="3"/>
      <c r="M149" s="3"/>
      <c r="N149" s="3"/>
      <c r="O149" s="3"/>
      <c r="P149" s="3"/>
      <c r="Q149" s="3"/>
      <c r="S149" s="103">
        <f t="shared" si="34"/>
        <v>0</v>
      </c>
      <c r="T149" s="103">
        <f t="shared" si="35"/>
        <v>0</v>
      </c>
      <c r="U149" s="104">
        <f t="shared" si="36"/>
        <v>0</v>
      </c>
      <c r="V149" s="104">
        <f t="shared" si="36"/>
        <v>0</v>
      </c>
      <c r="X149" s="103" t="e">
        <f t="shared" si="37"/>
        <v>#REF!</v>
      </c>
      <c r="Y149" s="103" t="e">
        <f t="shared" si="38"/>
        <v>#REF!</v>
      </c>
      <c r="Z149" s="104" t="e">
        <f t="shared" si="39"/>
        <v>#REF!</v>
      </c>
      <c r="AA149" s="104" t="e">
        <f t="shared" si="39"/>
        <v>#REF!</v>
      </c>
      <c r="AC149" s="103" t="e">
        <f t="shared" si="40"/>
        <v>#REF!</v>
      </c>
      <c r="AD149" s="103" t="e">
        <f t="shared" si="41"/>
        <v>#REF!</v>
      </c>
      <c r="AE149" s="104" t="e">
        <f t="shared" si="42"/>
        <v>#REF!</v>
      </c>
      <c r="AF149" s="104" t="e">
        <f t="shared" si="42"/>
        <v>#REF!</v>
      </c>
      <c r="AH149" s="103" t="e">
        <f t="shared" si="43"/>
        <v>#REF!</v>
      </c>
      <c r="AI149" s="103" t="e">
        <f t="shared" si="44"/>
        <v>#REF!</v>
      </c>
      <c r="AJ149" s="104" t="e">
        <f t="shared" si="45"/>
        <v>#REF!</v>
      </c>
      <c r="AK149" s="104" t="e">
        <f t="shared" si="45"/>
        <v>#REF!</v>
      </c>
    </row>
    <row r="150" spans="1:898 1130:1961 2134:3033 3315:3315" ht="15" customHeight="1">
      <c r="A150" s="97"/>
      <c r="B150" s="106"/>
      <c r="C150" s="99"/>
      <c r="D150" s="100"/>
      <c r="E150" s="102"/>
      <c r="F150" s="102"/>
      <c r="G150" s="18" t="str">
        <f t="shared" si="46"/>
        <v/>
      </c>
      <c r="H150" s="23" t="str">
        <f t="shared" si="47"/>
        <v/>
      </c>
      <c r="I150" s="26"/>
      <c r="J150" s="3"/>
      <c r="K150" s="3"/>
      <c r="L150" s="3"/>
      <c r="M150" s="3"/>
      <c r="N150" s="3"/>
      <c r="O150" s="3"/>
      <c r="P150" s="3"/>
      <c r="Q150" s="3"/>
      <c r="S150" s="103">
        <f t="shared" ref="S150:S213" si="48">IF($A150&lt;&gt;"(DC)", $E150*$R$7, $E150)</f>
        <v>0</v>
      </c>
      <c r="T150" s="103">
        <f t="shared" ref="T150:T213" si="49">IF($A150&lt;&gt;"(DC)", $F150*$R$7, $F150)</f>
        <v>0</v>
      </c>
      <c r="U150" s="104">
        <f t="shared" ref="U150:V213" si="50">IF(AND($D150="",S150=""),"",IF($D150="",S150,$D150+S150))</f>
        <v>0</v>
      </c>
      <c r="V150" s="104">
        <f t="shared" si="50"/>
        <v>0</v>
      </c>
      <c r="X150" s="103" t="e">
        <f t="shared" ref="X150:X213" si="51">IF($A150&lt;&gt;"(DC)", $E150*$W$7, $E150)</f>
        <v>#REF!</v>
      </c>
      <c r="Y150" s="103" t="e">
        <f t="shared" ref="Y150:Y213" si="52">IF($A150&lt;&gt;"(DC)", $F150*$W$7, $F150)</f>
        <v>#REF!</v>
      </c>
      <c r="Z150" s="104" t="e">
        <f t="shared" ref="Z150:AA213" si="53">IF(AND($D150="",X150=""),"",IF($D150="",X150,$D150+X150))</f>
        <v>#REF!</v>
      </c>
      <c r="AA150" s="104" t="e">
        <f t="shared" si="53"/>
        <v>#REF!</v>
      </c>
      <c r="AC150" s="103" t="e">
        <f t="shared" ref="AC150:AC213" si="54">IF($A150&lt;&gt;"(DC)", $E150*$W$7, $E150)</f>
        <v>#REF!</v>
      </c>
      <c r="AD150" s="103" t="e">
        <f t="shared" ref="AD150:AD213" si="55">IF($A150&lt;&gt;"(DC)", $F150*$W$7, $F150)</f>
        <v>#REF!</v>
      </c>
      <c r="AE150" s="104" t="e">
        <f t="shared" ref="AE150:AF213" si="56">IF(AND($D150="",AC150=""),"",IF($D150="",AC150,$D150+AC150))</f>
        <v>#REF!</v>
      </c>
      <c r="AF150" s="104" t="e">
        <f t="shared" si="56"/>
        <v>#REF!</v>
      </c>
      <c r="AH150" s="103" t="e">
        <f t="shared" ref="AH150:AH213" si="57">IF($A150&lt;&gt;"(DC)", $E150*$AG$7, $E150)</f>
        <v>#REF!</v>
      </c>
      <c r="AI150" s="103" t="e">
        <f t="shared" ref="AI150:AI213" si="58">IF($A150&lt;&gt;"(DC)", $F150*$AG$7, $F150)</f>
        <v>#REF!</v>
      </c>
      <c r="AJ150" s="104" t="e">
        <f t="shared" ref="AJ150:AK213" si="59">IF(AND($D150="",AH150=""),"",IF($D150="",AH150,$D150+AH150))</f>
        <v>#REF!</v>
      </c>
      <c r="AK150" s="104" t="e">
        <f t="shared" si="59"/>
        <v>#REF!</v>
      </c>
      <c r="EU150" s="77"/>
      <c r="EV150" s="77"/>
      <c r="GM150" s="77"/>
      <c r="LK150" s="77"/>
      <c r="SJ150" s="77"/>
      <c r="TN150" s="77"/>
      <c r="WJ150" s="77"/>
      <c r="XG150" s="77"/>
      <c r="AFG150" s="77"/>
      <c r="AHC150" s="77"/>
      <c r="AHN150" s="77"/>
      <c r="AQL150" s="77"/>
      <c r="AYQ150" s="77"/>
      <c r="BBW150" s="77"/>
      <c r="BOW150" s="77"/>
      <c r="BRB150" s="77"/>
      <c r="BWK150" s="77"/>
      <c r="CDB150" s="77"/>
      <c r="CEH150" s="77"/>
      <c r="CHE150" s="77"/>
      <c r="CIE150" s="77"/>
      <c r="CJY150" s="77"/>
      <c r="CNP150" s="77"/>
      <c r="CVA150" s="77"/>
      <c r="CXO150" s="77"/>
      <c r="DAR150" s="77"/>
      <c r="DEG150" s="77"/>
      <c r="DEH150" s="77"/>
      <c r="DEJ150" s="77"/>
      <c r="DEM150" s="77"/>
      <c r="DET150" s="77"/>
      <c r="DEZ150" s="77"/>
      <c r="DIM150" s="77"/>
      <c r="DKR150" s="77"/>
      <c r="DLQ150" s="77"/>
      <c r="DWM150" s="77"/>
    </row>
    <row r="151" spans="1:898 1130:1961 2134:3033 3315:3315" ht="15" customHeight="1">
      <c r="A151" s="97"/>
      <c r="B151" s="105"/>
      <c r="C151" s="99"/>
      <c r="D151" s="100"/>
      <c r="E151" s="102"/>
      <c r="F151" s="102"/>
      <c r="G151" s="18" t="str">
        <f t="shared" si="46"/>
        <v/>
      </c>
      <c r="H151" s="23" t="str">
        <f t="shared" si="47"/>
        <v/>
      </c>
      <c r="I151" s="27"/>
      <c r="J151" s="3"/>
      <c r="K151" s="3"/>
      <c r="L151" s="3"/>
      <c r="M151" s="3"/>
      <c r="N151" s="3"/>
      <c r="O151" s="3"/>
      <c r="P151" s="3"/>
      <c r="Q151" s="3"/>
      <c r="S151" s="103">
        <f t="shared" si="48"/>
        <v>0</v>
      </c>
      <c r="T151" s="103">
        <f t="shared" si="49"/>
        <v>0</v>
      </c>
      <c r="U151" s="104">
        <f t="shared" si="50"/>
        <v>0</v>
      </c>
      <c r="V151" s="104">
        <f t="shared" si="50"/>
        <v>0</v>
      </c>
      <c r="X151" s="103" t="e">
        <f t="shared" si="51"/>
        <v>#REF!</v>
      </c>
      <c r="Y151" s="103" t="e">
        <f t="shared" si="52"/>
        <v>#REF!</v>
      </c>
      <c r="Z151" s="104" t="e">
        <f t="shared" si="53"/>
        <v>#REF!</v>
      </c>
      <c r="AA151" s="104" t="e">
        <f t="shared" si="53"/>
        <v>#REF!</v>
      </c>
      <c r="AC151" s="103" t="e">
        <f t="shared" si="54"/>
        <v>#REF!</v>
      </c>
      <c r="AD151" s="103" t="e">
        <f t="shared" si="55"/>
        <v>#REF!</v>
      </c>
      <c r="AE151" s="104" t="e">
        <f t="shared" si="56"/>
        <v>#REF!</v>
      </c>
      <c r="AF151" s="104" t="e">
        <f t="shared" si="56"/>
        <v>#REF!</v>
      </c>
      <c r="AH151" s="103" t="e">
        <f t="shared" si="57"/>
        <v>#REF!</v>
      </c>
      <c r="AI151" s="103" t="e">
        <f t="shared" si="58"/>
        <v>#REF!</v>
      </c>
      <c r="AJ151" s="104" t="e">
        <f t="shared" si="59"/>
        <v>#REF!</v>
      </c>
      <c r="AK151" s="104" t="e">
        <f t="shared" si="59"/>
        <v>#REF!</v>
      </c>
    </row>
    <row r="152" spans="1:898 1130:1961 2134:3033 3315:3315" ht="15" customHeight="1">
      <c r="A152" s="97"/>
      <c r="B152" s="106"/>
      <c r="C152" s="99"/>
      <c r="D152" s="100"/>
      <c r="E152" s="102"/>
      <c r="F152" s="102"/>
      <c r="G152" s="18" t="str">
        <f t="shared" si="46"/>
        <v/>
      </c>
      <c r="H152" s="23" t="str">
        <f t="shared" si="47"/>
        <v/>
      </c>
      <c r="I152" s="26"/>
      <c r="J152" s="3"/>
      <c r="K152" s="3"/>
      <c r="L152" s="3"/>
      <c r="M152" s="3"/>
      <c r="N152" s="3"/>
      <c r="O152" s="3"/>
      <c r="P152" s="3"/>
      <c r="Q152" s="3"/>
      <c r="S152" s="103">
        <f t="shared" si="48"/>
        <v>0</v>
      </c>
      <c r="T152" s="103">
        <f t="shared" si="49"/>
        <v>0</v>
      </c>
      <c r="U152" s="104">
        <f t="shared" si="50"/>
        <v>0</v>
      </c>
      <c r="V152" s="104">
        <f t="shared" si="50"/>
        <v>0</v>
      </c>
      <c r="X152" s="103" t="e">
        <f t="shared" si="51"/>
        <v>#REF!</v>
      </c>
      <c r="Y152" s="103" t="e">
        <f t="shared" si="52"/>
        <v>#REF!</v>
      </c>
      <c r="Z152" s="104" t="e">
        <f t="shared" si="53"/>
        <v>#REF!</v>
      </c>
      <c r="AA152" s="104" t="e">
        <f t="shared" si="53"/>
        <v>#REF!</v>
      </c>
      <c r="AC152" s="103" t="e">
        <f t="shared" si="54"/>
        <v>#REF!</v>
      </c>
      <c r="AD152" s="103" t="e">
        <f t="shared" si="55"/>
        <v>#REF!</v>
      </c>
      <c r="AE152" s="104" t="e">
        <f t="shared" si="56"/>
        <v>#REF!</v>
      </c>
      <c r="AF152" s="104" t="e">
        <f t="shared" si="56"/>
        <v>#REF!</v>
      </c>
      <c r="AH152" s="103" t="e">
        <f t="shared" si="57"/>
        <v>#REF!</v>
      </c>
      <c r="AI152" s="103" t="e">
        <f t="shared" si="58"/>
        <v>#REF!</v>
      </c>
      <c r="AJ152" s="104" t="e">
        <f t="shared" si="59"/>
        <v>#REF!</v>
      </c>
      <c r="AK152" s="104" t="e">
        <f t="shared" si="59"/>
        <v>#REF!</v>
      </c>
      <c r="EU152" s="77"/>
      <c r="EV152" s="77"/>
      <c r="GM152" s="77"/>
      <c r="LK152" s="77"/>
      <c r="SJ152" s="77"/>
      <c r="TN152" s="77"/>
      <c r="WJ152" s="77"/>
      <c r="XG152" s="77"/>
      <c r="AFG152" s="77"/>
      <c r="AHC152" s="77"/>
      <c r="AHN152" s="77"/>
      <c r="AQL152" s="77"/>
      <c r="AYQ152" s="77"/>
      <c r="BBW152" s="77"/>
      <c r="BOW152" s="77"/>
      <c r="BRB152" s="77"/>
      <c r="BWK152" s="77"/>
      <c r="CDB152" s="77"/>
      <c r="CEH152" s="77"/>
      <c r="CHE152" s="77"/>
      <c r="CIE152" s="77"/>
      <c r="CJY152" s="77"/>
      <c r="CNP152" s="77"/>
      <c r="CVA152" s="77"/>
      <c r="CXO152" s="77"/>
      <c r="DAR152" s="77"/>
      <c r="DEG152" s="77"/>
      <c r="DEH152" s="77"/>
      <c r="DEJ152" s="77"/>
      <c r="DEM152" s="77"/>
      <c r="DET152" s="77"/>
      <c r="DEZ152" s="77"/>
      <c r="DIM152" s="77"/>
      <c r="DKR152" s="77"/>
      <c r="DLQ152" s="77"/>
      <c r="DWM152" s="77"/>
    </row>
    <row r="153" spans="1:898 1130:1961 2134:3033 3315:3315" ht="15" customHeight="1">
      <c r="A153" s="97"/>
      <c r="B153" s="108"/>
      <c r="C153" s="99"/>
      <c r="D153" s="100"/>
      <c r="E153" s="102"/>
      <c r="F153" s="102"/>
      <c r="G153" s="18" t="str">
        <f t="shared" si="46"/>
        <v/>
      </c>
      <c r="H153" s="23" t="str">
        <f t="shared" si="47"/>
        <v/>
      </c>
      <c r="I153" s="26"/>
      <c r="J153" s="3"/>
      <c r="K153" s="3"/>
      <c r="L153" s="3"/>
      <c r="M153" s="3"/>
      <c r="N153" s="3"/>
      <c r="O153" s="3"/>
      <c r="P153" s="3"/>
      <c r="Q153" s="3"/>
      <c r="S153" s="103">
        <f t="shared" si="48"/>
        <v>0</v>
      </c>
      <c r="T153" s="103">
        <f t="shared" si="49"/>
        <v>0</v>
      </c>
      <c r="U153" s="104">
        <f t="shared" si="50"/>
        <v>0</v>
      </c>
      <c r="V153" s="104">
        <f t="shared" si="50"/>
        <v>0</v>
      </c>
      <c r="X153" s="103" t="e">
        <f t="shared" si="51"/>
        <v>#REF!</v>
      </c>
      <c r="Y153" s="103" t="e">
        <f t="shared" si="52"/>
        <v>#REF!</v>
      </c>
      <c r="Z153" s="104" t="e">
        <f t="shared" si="53"/>
        <v>#REF!</v>
      </c>
      <c r="AA153" s="104" t="e">
        <f t="shared" si="53"/>
        <v>#REF!</v>
      </c>
      <c r="AC153" s="103" t="e">
        <f t="shared" si="54"/>
        <v>#REF!</v>
      </c>
      <c r="AD153" s="103" t="e">
        <f t="shared" si="55"/>
        <v>#REF!</v>
      </c>
      <c r="AE153" s="104" t="e">
        <f t="shared" si="56"/>
        <v>#REF!</v>
      </c>
      <c r="AF153" s="104" t="e">
        <f t="shared" si="56"/>
        <v>#REF!</v>
      </c>
      <c r="AH153" s="103" t="e">
        <f t="shared" si="57"/>
        <v>#REF!</v>
      </c>
      <c r="AI153" s="103" t="e">
        <f t="shared" si="58"/>
        <v>#REF!</v>
      </c>
      <c r="AJ153" s="104" t="e">
        <f t="shared" si="59"/>
        <v>#REF!</v>
      </c>
      <c r="AK153" s="104" t="e">
        <f t="shared" si="59"/>
        <v>#REF!</v>
      </c>
    </row>
    <row r="154" spans="1:898 1130:1961 2134:3033 3315:3315" ht="15" customHeight="1">
      <c r="A154" s="97"/>
      <c r="B154" s="106"/>
      <c r="C154" s="99"/>
      <c r="D154" s="100"/>
      <c r="E154" s="102"/>
      <c r="F154" s="102"/>
      <c r="G154" s="18" t="str">
        <f t="shared" si="46"/>
        <v/>
      </c>
      <c r="H154" s="23" t="str">
        <f t="shared" si="47"/>
        <v/>
      </c>
      <c r="I154" s="26"/>
      <c r="J154" s="3"/>
      <c r="K154" s="3"/>
      <c r="L154" s="3"/>
      <c r="M154" s="3"/>
      <c r="N154" s="3"/>
      <c r="O154" s="3"/>
      <c r="P154" s="3"/>
      <c r="Q154" s="3"/>
      <c r="S154" s="103">
        <f t="shared" si="48"/>
        <v>0</v>
      </c>
      <c r="T154" s="103">
        <f t="shared" si="49"/>
        <v>0</v>
      </c>
      <c r="U154" s="104">
        <f t="shared" si="50"/>
        <v>0</v>
      </c>
      <c r="V154" s="104">
        <f t="shared" si="50"/>
        <v>0</v>
      </c>
      <c r="X154" s="103" t="e">
        <f t="shared" si="51"/>
        <v>#REF!</v>
      </c>
      <c r="Y154" s="103" t="e">
        <f t="shared" si="52"/>
        <v>#REF!</v>
      </c>
      <c r="Z154" s="104" t="e">
        <f t="shared" si="53"/>
        <v>#REF!</v>
      </c>
      <c r="AA154" s="104" t="e">
        <f t="shared" si="53"/>
        <v>#REF!</v>
      </c>
      <c r="AC154" s="103" t="e">
        <f t="shared" si="54"/>
        <v>#REF!</v>
      </c>
      <c r="AD154" s="103" t="e">
        <f t="shared" si="55"/>
        <v>#REF!</v>
      </c>
      <c r="AE154" s="104" t="e">
        <f t="shared" si="56"/>
        <v>#REF!</v>
      </c>
      <c r="AF154" s="104" t="e">
        <f t="shared" si="56"/>
        <v>#REF!</v>
      </c>
      <c r="AH154" s="103" t="e">
        <f t="shared" si="57"/>
        <v>#REF!</v>
      </c>
      <c r="AI154" s="103" t="e">
        <f t="shared" si="58"/>
        <v>#REF!</v>
      </c>
      <c r="AJ154" s="104" t="e">
        <f t="shared" si="59"/>
        <v>#REF!</v>
      </c>
      <c r="AK154" s="104" t="e">
        <f t="shared" si="59"/>
        <v>#REF!</v>
      </c>
    </row>
    <row r="155" spans="1:898 1130:1961 2134:3033 3315:3315" ht="15" customHeight="1">
      <c r="A155" s="97"/>
      <c r="B155" s="105"/>
      <c r="C155" s="99"/>
      <c r="D155" s="100"/>
      <c r="E155" s="102"/>
      <c r="F155" s="102"/>
      <c r="G155" s="18" t="str">
        <f t="shared" si="46"/>
        <v/>
      </c>
      <c r="H155" s="23" t="str">
        <f t="shared" si="47"/>
        <v/>
      </c>
      <c r="I155" s="27"/>
      <c r="J155" s="3"/>
      <c r="K155" s="3"/>
      <c r="L155" s="3"/>
      <c r="M155" s="3"/>
      <c r="N155" s="3"/>
      <c r="O155" s="3"/>
      <c r="P155" s="3"/>
      <c r="Q155" s="3"/>
      <c r="S155" s="103">
        <f t="shared" si="48"/>
        <v>0</v>
      </c>
      <c r="T155" s="103">
        <f t="shared" si="49"/>
        <v>0</v>
      </c>
      <c r="U155" s="104">
        <f t="shared" si="50"/>
        <v>0</v>
      </c>
      <c r="V155" s="104">
        <f t="shared" si="50"/>
        <v>0</v>
      </c>
      <c r="X155" s="103" t="e">
        <f t="shared" si="51"/>
        <v>#REF!</v>
      </c>
      <c r="Y155" s="103" t="e">
        <f t="shared" si="52"/>
        <v>#REF!</v>
      </c>
      <c r="Z155" s="104" t="e">
        <f t="shared" si="53"/>
        <v>#REF!</v>
      </c>
      <c r="AA155" s="104" t="e">
        <f t="shared" si="53"/>
        <v>#REF!</v>
      </c>
      <c r="AC155" s="103" t="e">
        <f t="shared" si="54"/>
        <v>#REF!</v>
      </c>
      <c r="AD155" s="103" t="e">
        <f t="shared" si="55"/>
        <v>#REF!</v>
      </c>
      <c r="AE155" s="104" t="e">
        <f t="shared" si="56"/>
        <v>#REF!</v>
      </c>
      <c r="AF155" s="104" t="e">
        <f t="shared" si="56"/>
        <v>#REF!</v>
      </c>
      <c r="AH155" s="103" t="e">
        <f t="shared" si="57"/>
        <v>#REF!</v>
      </c>
      <c r="AI155" s="103" t="e">
        <f t="shared" si="58"/>
        <v>#REF!</v>
      </c>
      <c r="AJ155" s="104" t="e">
        <f t="shared" si="59"/>
        <v>#REF!</v>
      </c>
      <c r="AK155" s="104" t="e">
        <f t="shared" si="59"/>
        <v>#REF!</v>
      </c>
    </row>
    <row r="156" spans="1:898 1130:1961 2134:3033 3315:3315" ht="15" customHeight="1">
      <c r="A156" s="97"/>
      <c r="B156" s="106"/>
      <c r="C156" s="99"/>
      <c r="D156" s="100"/>
      <c r="E156" s="102"/>
      <c r="F156" s="102"/>
      <c r="G156" s="18" t="str">
        <f t="shared" si="46"/>
        <v/>
      </c>
      <c r="H156" s="23" t="str">
        <f t="shared" si="47"/>
        <v/>
      </c>
      <c r="I156" s="26"/>
      <c r="J156" s="3"/>
      <c r="K156" s="3"/>
      <c r="L156" s="3"/>
      <c r="M156" s="3"/>
      <c r="N156" s="3"/>
      <c r="O156" s="3"/>
      <c r="P156" s="3"/>
      <c r="Q156" s="3"/>
      <c r="S156" s="103">
        <f t="shared" si="48"/>
        <v>0</v>
      </c>
      <c r="T156" s="103">
        <f t="shared" si="49"/>
        <v>0</v>
      </c>
      <c r="U156" s="104">
        <f t="shared" si="50"/>
        <v>0</v>
      </c>
      <c r="V156" s="104">
        <f t="shared" si="50"/>
        <v>0</v>
      </c>
      <c r="X156" s="103" t="e">
        <f t="shared" si="51"/>
        <v>#REF!</v>
      </c>
      <c r="Y156" s="103" t="e">
        <f t="shared" si="52"/>
        <v>#REF!</v>
      </c>
      <c r="Z156" s="104" t="e">
        <f t="shared" si="53"/>
        <v>#REF!</v>
      </c>
      <c r="AA156" s="104" t="e">
        <f t="shared" si="53"/>
        <v>#REF!</v>
      </c>
      <c r="AC156" s="103" t="e">
        <f t="shared" si="54"/>
        <v>#REF!</v>
      </c>
      <c r="AD156" s="103" t="e">
        <f t="shared" si="55"/>
        <v>#REF!</v>
      </c>
      <c r="AE156" s="104" t="e">
        <f t="shared" si="56"/>
        <v>#REF!</v>
      </c>
      <c r="AF156" s="104" t="e">
        <f t="shared" si="56"/>
        <v>#REF!</v>
      </c>
      <c r="AH156" s="103" t="e">
        <f t="shared" si="57"/>
        <v>#REF!</v>
      </c>
      <c r="AI156" s="103" t="e">
        <f t="shared" si="58"/>
        <v>#REF!</v>
      </c>
      <c r="AJ156" s="104" t="e">
        <f t="shared" si="59"/>
        <v>#REF!</v>
      </c>
      <c r="AK156" s="104" t="e">
        <f t="shared" si="59"/>
        <v>#REF!</v>
      </c>
    </row>
    <row r="157" spans="1:898 1130:1961 2134:3033 3315:3315" ht="15" customHeight="1">
      <c r="A157" s="97"/>
      <c r="B157" s="106"/>
      <c r="C157" s="99"/>
      <c r="D157" s="100"/>
      <c r="E157" s="102"/>
      <c r="F157" s="102"/>
      <c r="G157" s="18" t="str">
        <f t="shared" si="46"/>
        <v/>
      </c>
      <c r="H157" s="23" t="str">
        <f t="shared" si="47"/>
        <v/>
      </c>
      <c r="I157" s="26"/>
      <c r="J157" s="3"/>
      <c r="K157" s="3"/>
      <c r="L157" s="3"/>
      <c r="M157" s="3"/>
      <c r="N157" s="3"/>
      <c r="O157" s="3"/>
      <c r="P157" s="3"/>
      <c r="Q157" s="3"/>
      <c r="S157" s="103">
        <f t="shared" si="48"/>
        <v>0</v>
      </c>
      <c r="T157" s="103">
        <f t="shared" si="49"/>
        <v>0</v>
      </c>
      <c r="U157" s="104">
        <f t="shared" si="50"/>
        <v>0</v>
      </c>
      <c r="V157" s="104">
        <f t="shared" si="50"/>
        <v>0</v>
      </c>
      <c r="X157" s="103" t="e">
        <f t="shared" si="51"/>
        <v>#REF!</v>
      </c>
      <c r="Y157" s="103" t="e">
        <f t="shared" si="52"/>
        <v>#REF!</v>
      </c>
      <c r="Z157" s="104" t="e">
        <f t="shared" si="53"/>
        <v>#REF!</v>
      </c>
      <c r="AA157" s="104" t="e">
        <f t="shared" si="53"/>
        <v>#REF!</v>
      </c>
      <c r="AC157" s="103" t="e">
        <f t="shared" si="54"/>
        <v>#REF!</v>
      </c>
      <c r="AD157" s="103" t="e">
        <f t="shared" si="55"/>
        <v>#REF!</v>
      </c>
      <c r="AE157" s="104" t="e">
        <f t="shared" si="56"/>
        <v>#REF!</v>
      </c>
      <c r="AF157" s="104" t="e">
        <f t="shared" si="56"/>
        <v>#REF!</v>
      </c>
      <c r="AH157" s="103" t="e">
        <f t="shared" si="57"/>
        <v>#REF!</v>
      </c>
      <c r="AI157" s="103" t="e">
        <f t="shared" si="58"/>
        <v>#REF!</v>
      </c>
      <c r="AJ157" s="104" t="e">
        <f t="shared" si="59"/>
        <v>#REF!</v>
      </c>
      <c r="AK157" s="104" t="e">
        <f t="shared" si="59"/>
        <v>#REF!</v>
      </c>
    </row>
    <row r="158" spans="1:898 1130:1961 2134:3033 3315:3315" ht="15" customHeight="1">
      <c r="A158" s="97"/>
      <c r="B158" s="105"/>
      <c r="C158" s="99"/>
      <c r="D158" s="100"/>
      <c r="E158" s="102"/>
      <c r="F158" s="102"/>
      <c r="G158" s="18" t="str">
        <f t="shared" si="46"/>
        <v/>
      </c>
      <c r="H158" s="23" t="str">
        <f t="shared" si="47"/>
        <v/>
      </c>
      <c r="I158" s="27"/>
      <c r="J158" s="3"/>
      <c r="K158" s="3"/>
      <c r="L158" s="3"/>
      <c r="M158" s="3"/>
      <c r="N158" s="3"/>
      <c r="O158" s="3"/>
      <c r="P158" s="3"/>
      <c r="Q158" s="3"/>
      <c r="S158" s="103">
        <f t="shared" si="48"/>
        <v>0</v>
      </c>
      <c r="T158" s="103">
        <f t="shared" si="49"/>
        <v>0</v>
      </c>
      <c r="U158" s="104">
        <f t="shared" si="50"/>
        <v>0</v>
      </c>
      <c r="V158" s="104">
        <f t="shared" si="50"/>
        <v>0</v>
      </c>
      <c r="X158" s="103" t="e">
        <f t="shared" si="51"/>
        <v>#REF!</v>
      </c>
      <c r="Y158" s="103" t="e">
        <f t="shared" si="52"/>
        <v>#REF!</v>
      </c>
      <c r="Z158" s="104" t="e">
        <f t="shared" si="53"/>
        <v>#REF!</v>
      </c>
      <c r="AA158" s="104" t="e">
        <f t="shared" si="53"/>
        <v>#REF!</v>
      </c>
      <c r="AC158" s="103" t="e">
        <f t="shared" si="54"/>
        <v>#REF!</v>
      </c>
      <c r="AD158" s="103" t="e">
        <f t="shared" si="55"/>
        <v>#REF!</v>
      </c>
      <c r="AE158" s="104" t="e">
        <f t="shared" si="56"/>
        <v>#REF!</v>
      </c>
      <c r="AF158" s="104" t="e">
        <f t="shared" si="56"/>
        <v>#REF!</v>
      </c>
      <c r="AH158" s="103" t="e">
        <f t="shared" si="57"/>
        <v>#REF!</v>
      </c>
      <c r="AI158" s="103" t="e">
        <f t="shared" si="58"/>
        <v>#REF!</v>
      </c>
      <c r="AJ158" s="104" t="e">
        <f t="shared" si="59"/>
        <v>#REF!</v>
      </c>
      <c r="AK158" s="104" t="e">
        <f t="shared" si="59"/>
        <v>#REF!</v>
      </c>
    </row>
    <row r="159" spans="1:898 1130:1961 2134:3033 3315:3315" ht="15" customHeight="1">
      <c r="A159" s="97"/>
      <c r="B159" s="106"/>
      <c r="C159" s="99"/>
      <c r="D159" s="100"/>
      <c r="E159" s="102"/>
      <c r="F159" s="102"/>
      <c r="G159" s="18" t="str">
        <f t="shared" si="46"/>
        <v/>
      </c>
      <c r="H159" s="23" t="str">
        <f t="shared" si="47"/>
        <v/>
      </c>
      <c r="I159" s="26"/>
      <c r="J159" s="3"/>
      <c r="K159" s="3"/>
      <c r="L159" s="3"/>
      <c r="M159" s="3"/>
      <c r="N159" s="3"/>
      <c r="O159" s="3"/>
      <c r="P159" s="3"/>
      <c r="Q159" s="3"/>
      <c r="S159" s="103">
        <f t="shared" si="48"/>
        <v>0</v>
      </c>
      <c r="T159" s="103">
        <f t="shared" si="49"/>
        <v>0</v>
      </c>
      <c r="U159" s="104">
        <f t="shared" si="50"/>
        <v>0</v>
      </c>
      <c r="V159" s="104">
        <f t="shared" si="50"/>
        <v>0</v>
      </c>
      <c r="X159" s="103" t="e">
        <f t="shared" si="51"/>
        <v>#REF!</v>
      </c>
      <c r="Y159" s="103" t="e">
        <f t="shared" si="52"/>
        <v>#REF!</v>
      </c>
      <c r="Z159" s="104" t="e">
        <f t="shared" si="53"/>
        <v>#REF!</v>
      </c>
      <c r="AA159" s="104" t="e">
        <f t="shared" si="53"/>
        <v>#REF!</v>
      </c>
      <c r="AC159" s="103" t="e">
        <f t="shared" si="54"/>
        <v>#REF!</v>
      </c>
      <c r="AD159" s="103" t="e">
        <f t="shared" si="55"/>
        <v>#REF!</v>
      </c>
      <c r="AE159" s="104" t="e">
        <f t="shared" si="56"/>
        <v>#REF!</v>
      </c>
      <c r="AF159" s="104" t="e">
        <f t="shared" si="56"/>
        <v>#REF!</v>
      </c>
      <c r="AH159" s="103" t="e">
        <f t="shared" si="57"/>
        <v>#REF!</v>
      </c>
      <c r="AI159" s="103" t="e">
        <f t="shared" si="58"/>
        <v>#REF!</v>
      </c>
      <c r="AJ159" s="104" t="e">
        <f t="shared" si="59"/>
        <v>#REF!</v>
      </c>
      <c r="AK159" s="104" t="e">
        <f t="shared" si="59"/>
        <v>#REF!</v>
      </c>
    </row>
    <row r="160" spans="1:898 1130:1961 2134:3033 3315:3315" ht="15" customHeight="1">
      <c r="A160" s="97"/>
      <c r="B160" s="105"/>
      <c r="C160" s="99"/>
      <c r="D160" s="100"/>
      <c r="E160" s="102"/>
      <c r="F160" s="102"/>
      <c r="G160" s="18" t="str">
        <f t="shared" si="46"/>
        <v/>
      </c>
      <c r="H160" s="23" t="str">
        <f t="shared" si="47"/>
        <v/>
      </c>
      <c r="I160" s="27"/>
      <c r="J160" s="3"/>
      <c r="K160" s="3"/>
      <c r="L160" s="3"/>
      <c r="M160" s="3"/>
      <c r="N160" s="3"/>
      <c r="O160" s="3"/>
      <c r="P160" s="3"/>
      <c r="Q160" s="3"/>
      <c r="S160" s="103">
        <f t="shared" si="48"/>
        <v>0</v>
      </c>
      <c r="T160" s="103">
        <f t="shared" si="49"/>
        <v>0</v>
      </c>
      <c r="U160" s="104">
        <f t="shared" si="50"/>
        <v>0</v>
      </c>
      <c r="V160" s="104">
        <f t="shared" si="50"/>
        <v>0</v>
      </c>
      <c r="X160" s="103" t="e">
        <f t="shared" si="51"/>
        <v>#REF!</v>
      </c>
      <c r="Y160" s="103" t="e">
        <f t="shared" si="52"/>
        <v>#REF!</v>
      </c>
      <c r="Z160" s="104" t="e">
        <f t="shared" si="53"/>
        <v>#REF!</v>
      </c>
      <c r="AA160" s="104" t="e">
        <f t="shared" si="53"/>
        <v>#REF!</v>
      </c>
      <c r="AC160" s="103" t="e">
        <f t="shared" si="54"/>
        <v>#REF!</v>
      </c>
      <c r="AD160" s="103" t="e">
        <f t="shared" si="55"/>
        <v>#REF!</v>
      </c>
      <c r="AE160" s="104" t="e">
        <f t="shared" si="56"/>
        <v>#REF!</v>
      </c>
      <c r="AF160" s="104" t="e">
        <f t="shared" si="56"/>
        <v>#REF!</v>
      </c>
      <c r="AH160" s="103" t="e">
        <f t="shared" si="57"/>
        <v>#REF!</v>
      </c>
      <c r="AI160" s="103" t="e">
        <f t="shared" si="58"/>
        <v>#REF!</v>
      </c>
      <c r="AJ160" s="104" t="e">
        <f t="shared" si="59"/>
        <v>#REF!</v>
      </c>
      <c r="AK160" s="104" t="e">
        <f t="shared" si="59"/>
        <v>#REF!</v>
      </c>
    </row>
    <row r="161" spans="1:37" ht="15" customHeight="1">
      <c r="A161" s="97"/>
      <c r="B161" s="106"/>
      <c r="C161" s="99"/>
      <c r="D161" s="100"/>
      <c r="E161" s="102"/>
      <c r="F161" s="102"/>
      <c r="G161" s="18" t="str">
        <f t="shared" si="46"/>
        <v/>
      </c>
      <c r="H161" s="23" t="str">
        <f t="shared" si="47"/>
        <v/>
      </c>
      <c r="I161" s="26"/>
      <c r="J161" s="3"/>
      <c r="K161" s="3"/>
      <c r="L161" s="3"/>
      <c r="M161" s="3"/>
      <c r="N161" s="3"/>
      <c r="O161" s="3"/>
      <c r="P161" s="3"/>
      <c r="Q161" s="3"/>
      <c r="S161" s="103">
        <f t="shared" si="48"/>
        <v>0</v>
      </c>
      <c r="T161" s="103">
        <f t="shared" si="49"/>
        <v>0</v>
      </c>
      <c r="U161" s="104">
        <f t="shared" si="50"/>
        <v>0</v>
      </c>
      <c r="V161" s="104">
        <f t="shared" si="50"/>
        <v>0</v>
      </c>
      <c r="X161" s="103" t="e">
        <f t="shared" si="51"/>
        <v>#REF!</v>
      </c>
      <c r="Y161" s="103" t="e">
        <f t="shared" si="52"/>
        <v>#REF!</v>
      </c>
      <c r="Z161" s="104" t="e">
        <f t="shared" si="53"/>
        <v>#REF!</v>
      </c>
      <c r="AA161" s="104" t="e">
        <f t="shared" si="53"/>
        <v>#REF!</v>
      </c>
      <c r="AC161" s="103" t="e">
        <f t="shared" si="54"/>
        <v>#REF!</v>
      </c>
      <c r="AD161" s="103" t="e">
        <f t="shared" si="55"/>
        <v>#REF!</v>
      </c>
      <c r="AE161" s="104" t="e">
        <f t="shared" si="56"/>
        <v>#REF!</v>
      </c>
      <c r="AF161" s="104" t="e">
        <f t="shared" si="56"/>
        <v>#REF!</v>
      </c>
      <c r="AH161" s="103" t="e">
        <f t="shared" si="57"/>
        <v>#REF!</v>
      </c>
      <c r="AI161" s="103" t="e">
        <f t="shared" si="58"/>
        <v>#REF!</v>
      </c>
      <c r="AJ161" s="104" t="e">
        <f t="shared" si="59"/>
        <v>#REF!</v>
      </c>
      <c r="AK161" s="104" t="e">
        <f t="shared" si="59"/>
        <v>#REF!</v>
      </c>
    </row>
    <row r="162" spans="1:37" ht="15" customHeight="1">
      <c r="A162" s="97"/>
      <c r="B162" s="105"/>
      <c r="C162" s="99"/>
      <c r="D162" s="100"/>
      <c r="E162" s="102"/>
      <c r="F162" s="102"/>
      <c r="G162" s="18" t="str">
        <f t="shared" si="46"/>
        <v/>
      </c>
      <c r="H162" s="23" t="str">
        <f t="shared" si="47"/>
        <v/>
      </c>
      <c r="I162" s="27"/>
      <c r="J162" s="3"/>
      <c r="K162" s="3"/>
      <c r="L162" s="3"/>
      <c r="M162" s="3"/>
      <c r="N162" s="3"/>
      <c r="O162" s="3"/>
      <c r="P162" s="3"/>
      <c r="Q162" s="3"/>
      <c r="S162" s="103">
        <f t="shared" si="48"/>
        <v>0</v>
      </c>
      <c r="T162" s="103">
        <f t="shared" si="49"/>
        <v>0</v>
      </c>
      <c r="U162" s="104">
        <f t="shared" si="50"/>
        <v>0</v>
      </c>
      <c r="V162" s="104">
        <f t="shared" si="50"/>
        <v>0</v>
      </c>
      <c r="X162" s="103" t="e">
        <f t="shared" si="51"/>
        <v>#REF!</v>
      </c>
      <c r="Y162" s="103" t="e">
        <f t="shared" si="52"/>
        <v>#REF!</v>
      </c>
      <c r="Z162" s="104" t="e">
        <f t="shared" si="53"/>
        <v>#REF!</v>
      </c>
      <c r="AA162" s="104" t="e">
        <f t="shared" si="53"/>
        <v>#REF!</v>
      </c>
      <c r="AC162" s="103" t="e">
        <f t="shared" si="54"/>
        <v>#REF!</v>
      </c>
      <c r="AD162" s="103" t="e">
        <f t="shared" si="55"/>
        <v>#REF!</v>
      </c>
      <c r="AE162" s="104" t="e">
        <f t="shared" si="56"/>
        <v>#REF!</v>
      </c>
      <c r="AF162" s="104" t="e">
        <f t="shared" si="56"/>
        <v>#REF!</v>
      </c>
      <c r="AH162" s="103" t="e">
        <f t="shared" si="57"/>
        <v>#REF!</v>
      </c>
      <c r="AI162" s="103" t="e">
        <f t="shared" si="58"/>
        <v>#REF!</v>
      </c>
      <c r="AJ162" s="104" t="e">
        <f t="shared" si="59"/>
        <v>#REF!</v>
      </c>
      <c r="AK162" s="104" t="e">
        <f t="shared" si="59"/>
        <v>#REF!</v>
      </c>
    </row>
    <row r="163" spans="1:37" ht="15" customHeight="1">
      <c r="A163" s="97"/>
      <c r="B163" s="106"/>
      <c r="C163" s="99"/>
      <c r="D163" s="100"/>
      <c r="E163" s="102"/>
      <c r="F163" s="102"/>
      <c r="G163" s="18" t="str">
        <f t="shared" si="46"/>
        <v/>
      </c>
      <c r="H163" s="23" t="str">
        <f t="shared" si="47"/>
        <v/>
      </c>
      <c r="I163" s="27"/>
      <c r="J163" s="3"/>
      <c r="K163" s="3"/>
      <c r="L163" s="3"/>
      <c r="M163" s="3"/>
      <c r="N163" s="3"/>
      <c r="O163" s="3"/>
      <c r="P163" s="3"/>
      <c r="Q163" s="3"/>
      <c r="S163" s="103">
        <f t="shared" si="48"/>
        <v>0</v>
      </c>
      <c r="T163" s="103">
        <f t="shared" si="49"/>
        <v>0</v>
      </c>
      <c r="U163" s="104">
        <f t="shared" si="50"/>
        <v>0</v>
      </c>
      <c r="V163" s="104">
        <f t="shared" si="50"/>
        <v>0</v>
      </c>
      <c r="X163" s="103" t="e">
        <f t="shared" si="51"/>
        <v>#REF!</v>
      </c>
      <c r="Y163" s="103" t="e">
        <f t="shared" si="52"/>
        <v>#REF!</v>
      </c>
      <c r="Z163" s="104" t="e">
        <f t="shared" si="53"/>
        <v>#REF!</v>
      </c>
      <c r="AA163" s="104" t="e">
        <f t="shared" si="53"/>
        <v>#REF!</v>
      </c>
      <c r="AC163" s="103" t="e">
        <f t="shared" si="54"/>
        <v>#REF!</v>
      </c>
      <c r="AD163" s="103" t="e">
        <f t="shared" si="55"/>
        <v>#REF!</v>
      </c>
      <c r="AE163" s="104" t="e">
        <f t="shared" si="56"/>
        <v>#REF!</v>
      </c>
      <c r="AF163" s="104" t="e">
        <f t="shared" si="56"/>
        <v>#REF!</v>
      </c>
      <c r="AH163" s="103" t="e">
        <f t="shared" si="57"/>
        <v>#REF!</v>
      </c>
      <c r="AI163" s="103" t="e">
        <f t="shared" si="58"/>
        <v>#REF!</v>
      </c>
      <c r="AJ163" s="104" t="e">
        <f t="shared" si="59"/>
        <v>#REF!</v>
      </c>
      <c r="AK163" s="104" t="e">
        <f t="shared" si="59"/>
        <v>#REF!</v>
      </c>
    </row>
    <row r="164" spans="1:37" ht="15" customHeight="1">
      <c r="A164" s="97"/>
      <c r="B164" s="110"/>
      <c r="C164" s="99"/>
      <c r="D164" s="100"/>
      <c r="E164" s="102"/>
      <c r="F164" s="102"/>
      <c r="G164" s="18" t="str">
        <f t="shared" si="46"/>
        <v/>
      </c>
      <c r="H164" s="23" t="str">
        <f t="shared" si="47"/>
        <v/>
      </c>
      <c r="I164" s="27"/>
      <c r="J164" s="3"/>
      <c r="K164" s="3"/>
      <c r="L164" s="3"/>
      <c r="M164" s="3"/>
      <c r="N164" s="3"/>
      <c r="O164" s="3"/>
      <c r="P164" s="3"/>
      <c r="Q164" s="3"/>
      <c r="S164" s="103">
        <f t="shared" si="48"/>
        <v>0</v>
      </c>
      <c r="T164" s="103">
        <f t="shared" si="49"/>
        <v>0</v>
      </c>
      <c r="U164" s="104">
        <f t="shared" si="50"/>
        <v>0</v>
      </c>
      <c r="V164" s="104">
        <f t="shared" si="50"/>
        <v>0</v>
      </c>
      <c r="X164" s="103" t="e">
        <f t="shared" si="51"/>
        <v>#REF!</v>
      </c>
      <c r="Y164" s="103" t="e">
        <f t="shared" si="52"/>
        <v>#REF!</v>
      </c>
      <c r="Z164" s="104" t="e">
        <f t="shared" si="53"/>
        <v>#REF!</v>
      </c>
      <c r="AA164" s="104" t="e">
        <f t="shared" si="53"/>
        <v>#REF!</v>
      </c>
      <c r="AC164" s="103" t="e">
        <f t="shared" si="54"/>
        <v>#REF!</v>
      </c>
      <c r="AD164" s="103" t="e">
        <f t="shared" si="55"/>
        <v>#REF!</v>
      </c>
      <c r="AE164" s="104" t="e">
        <f t="shared" si="56"/>
        <v>#REF!</v>
      </c>
      <c r="AF164" s="104" t="e">
        <f t="shared" si="56"/>
        <v>#REF!</v>
      </c>
      <c r="AH164" s="103" t="e">
        <f t="shared" si="57"/>
        <v>#REF!</v>
      </c>
      <c r="AI164" s="103" t="e">
        <f t="shared" si="58"/>
        <v>#REF!</v>
      </c>
      <c r="AJ164" s="104" t="e">
        <f t="shared" si="59"/>
        <v>#REF!</v>
      </c>
      <c r="AK164" s="104" t="e">
        <f t="shared" si="59"/>
        <v>#REF!</v>
      </c>
    </row>
    <row r="165" spans="1:37" ht="15" customHeight="1">
      <c r="A165" s="97"/>
      <c r="B165" s="110"/>
      <c r="C165" s="99"/>
      <c r="D165" s="100"/>
      <c r="E165" s="102"/>
      <c r="F165" s="102"/>
      <c r="G165" s="18" t="str">
        <f t="shared" si="46"/>
        <v/>
      </c>
      <c r="H165" s="23" t="str">
        <f t="shared" si="47"/>
        <v/>
      </c>
      <c r="I165" s="27"/>
      <c r="J165" s="3"/>
      <c r="K165" s="3"/>
      <c r="L165" s="3"/>
      <c r="M165" s="3"/>
      <c r="N165" s="3"/>
      <c r="O165" s="3"/>
      <c r="P165" s="3"/>
      <c r="Q165" s="3"/>
      <c r="S165" s="103">
        <f t="shared" si="48"/>
        <v>0</v>
      </c>
      <c r="T165" s="103">
        <f t="shared" si="49"/>
        <v>0</v>
      </c>
      <c r="U165" s="104">
        <f t="shared" si="50"/>
        <v>0</v>
      </c>
      <c r="V165" s="104">
        <f t="shared" si="50"/>
        <v>0</v>
      </c>
      <c r="X165" s="103" t="e">
        <f t="shared" si="51"/>
        <v>#REF!</v>
      </c>
      <c r="Y165" s="103" t="e">
        <f t="shared" si="52"/>
        <v>#REF!</v>
      </c>
      <c r="Z165" s="104" t="e">
        <f t="shared" si="53"/>
        <v>#REF!</v>
      </c>
      <c r="AA165" s="104" t="e">
        <f t="shared" si="53"/>
        <v>#REF!</v>
      </c>
      <c r="AC165" s="103" t="e">
        <f t="shared" si="54"/>
        <v>#REF!</v>
      </c>
      <c r="AD165" s="103" t="e">
        <f t="shared" si="55"/>
        <v>#REF!</v>
      </c>
      <c r="AE165" s="104" t="e">
        <f t="shared" si="56"/>
        <v>#REF!</v>
      </c>
      <c r="AF165" s="104" t="e">
        <f t="shared" si="56"/>
        <v>#REF!</v>
      </c>
      <c r="AH165" s="103" t="e">
        <f t="shared" si="57"/>
        <v>#REF!</v>
      </c>
      <c r="AI165" s="103" t="e">
        <f t="shared" si="58"/>
        <v>#REF!</v>
      </c>
      <c r="AJ165" s="104" t="e">
        <f t="shared" si="59"/>
        <v>#REF!</v>
      </c>
      <c r="AK165" s="104" t="e">
        <f t="shared" si="59"/>
        <v>#REF!</v>
      </c>
    </row>
    <row r="166" spans="1:37" ht="15" customHeight="1">
      <c r="A166" s="97"/>
      <c r="B166" s="110"/>
      <c r="C166" s="99"/>
      <c r="D166" s="100"/>
      <c r="E166" s="102"/>
      <c r="F166" s="102"/>
      <c r="G166" s="18" t="str">
        <f t="shared" si="46"/>
        <v/>
      </c>
      <c r="H166" s="23" t="str">
        <f t="shared" si="47"/>
        <v/>
      </c>
      <c r="I166" s="27"/>
      <c r="J166" s="3"/>
      <c r="K166" s="3"/>
      <c r="L166" s="3"/>
      <c r="M166" s="3"/>
      <c r="N166" s="3"/>
      <c r="O166" s="3"/>
      <c r="P166" s="3"/>
      <c r="Q166" s="3"/>
      <c r="S166" s="103">
        <f t="shared" si="48"/>
        <v>0</v>
      </c>
      <c r="T166" s="103">
        <f t="shared" si="49"/>
        <v>0</v>
      </c>
      <c r="U166" s="104">
        <f t="shared" si="50"/>
        <v>0</v>
      </c>
      <c r="V166" s="104">
        <f t="shared" si="50"/>
        <v>0</v>
      </c>
      <c r="X166" s="103" t="e">
        <f t="shared" si="51"/>
        <v>#REF!</v>
      </c>
      <c r="Y166" s="103" t="e">
        <f t="shared" si="52"/>
        <v>#REF!</v>
      </c>
      <c r="Z166" s="104" t="e">
        <f t="shared" si="53"/>
        <v>#REF!</v>
      </c>
      <c r="AA166" s="104" t="e">
        <f t="shared" si="53"/>
        <v>#REF!</v>
      </c>
      <c r="AC166" s="103" t="e">
        <f t="shared" si="54"/>
        <v>#REF!</v>
      </c>
      <c r="AD166" s="103" t="e">
        <f t="shared" si="55"/>
        <v>#REF!</v>
      </c>
      <c r="AE166" s="104" t="e">
        <f t="shared" si="56"/>
        <v>#REF!</v>
      </c>
      <c r="AF166" s="104" t="e">
        <f t="shared" si="56"/>
        <v>#REF!</v>
      </c>
      <c r="AH166" s="103" t="e">
        <f t="shared" si="57"/>
        <v>#REF!</v>
      </c>
      <c r="AI166" s="103" t="e">
        <f t="shared" si="58"/>
        <v>#REF!</v>
      </c>
      <c r="AJ166" s="104" t="e">
        <f t="shared" si="59"/>
        <v>#REF!</v>
      </c>
      <c r="AK166" s="104" t="e">
        <f t="shared" si="59"/>
        <v>#REF!</v>
      </c>
    </row>
    <row r="167" spans="1:37" ht="15" customHeight="1">
      <c r="A167" s="97"/>
      <c r="B167" s="108"/>
      <c r="C167" s="99"/>
      <c r="D167" s="100"/>
      <c r="E167" s="102"/>
      <c r="F167" s="102"/>
      <c r="G167" s="18" t="str">
        <f t="shared" si="46"/>
        <v/>
      </c>
      <c r="H167" s="23" t="str">
        <f t="shared" si="47"/>
        <v/>
      </c>
      <c r="I167" s="26"/>
      <c r="J167" s="3"/>
      <c r="K167" s="3"/>
      <c r="L167" s="3"/>
      <c r="M167" s="3"/>
      <c r="N167" s="3"/>
      <c r="O167" s="3"/>
      <c r="P167" s="3"/>
      <c r="Q167" s="3"/>
      <c r="S167" s="103">
        <f t="shared" si="48"/>
        <v>0</v>
      </c>
      <c r="T167" s="103">
        <f t="shared" si="49"/>
        <v>0</v>
      </c>
      <c r="U167" s="104">
        <f t="shared" si="50"/>
        <v>0</v>
      </c>
      <c r="V167" s="104">
        <f t="shared" si="50"/>
        <v>0</v>
      </c>
      <c r="X167" s="103" t="e">
        <f t="shared" si="51"/>
        <v>#REF!</v>
      </c>
      <c r="Y167" s="103" t="e">
        <f t="shared" si="52"/>
        <v>#REF!</v>
      </c>
      <c r="Z167" s="104" t="e">
        <f t="shared" si="53"/>
        <v>#REF!</v>
      </c>
      <c r="AA167" s="104" t="e">
        <f t="shared" si="53"/>
        <v>#REF!</v>
      </c>
      <c r="AC167" s="103" t="e">
        <f t="shared" si="54"/>
        <v>#REF!</v>
      </c>
      <c r="AD167" s="103" t="e">
        <f t="shared" si="55"/>
        <v>#REF!</v>
      </c>
      <c r="AE167" s="104" t="e">
        <f t="shared" si="56"/>
        <v>#REF!</v>
      </c>
      <c r="AF167" s="104" t="e">
        <f t="shared" si="56"/>
        <v>#REF!</v>
      </c>
      <c r="AH167" s="103" t="e">
        <f t="shared" si="57"/>
        <v>#REF!</v>
      </c>
      <c r="AI167" s="103" t="e">
        <f t="shared" si="58"/>
        <v>#REF!</v>
      </c>
      <c r="AJ167" s="104" t="e">
        <f t="shared" si="59"/>
        <v>#REF!</v>
      </c>
      <c r="AK167" s="104" t="e">
        <f t="shared" si="59"/>
        <v>#REF!</v>
      </c>
    </row>
    <row r="168" spans="1:37" ht="15" customHeight="1">
      <c r="A168" s="97"/>
      <c r="B168" s="106"/>
      <c r="C168" s="99"/>
      <c r="D168" s="100"/>
      <c r="E168" s="102"/>
      <c r="F168" s="102"/>
      <c r="G168" s="18" t="str">
        <f t="shared" si="46"/>
        <v/>
      </c>
      <c r="H168" s="23" t="str">
        <f t="shared" si="47"/>
        <v/>
      </c>
      <c r="I168" s="27"/>
      <c r="J168" s="3"/>
      <c r="K168" s="3"/>
      <c r="L168" s="3"/>
      <c r="M168" s="3"/>
      <c r="N168" s="3"/>
      <c r="O168" s="3"/>
      <c r="P168" s="3"/>
      <c r="Q168" s="3"/>
      <c r="S168" s="103">
        <f t="shared" si="48"/>
        <v>0</v>
      </c>
      <c r="T168" s="103">
        <f t="shared" si="49"/>
        <v>0</v>
      </c>
      <c r="U168" s="104">
        <f t="shared" si="50"/>
        <v>0</v>
      </c>
      <c r="V168" s="104">
        <f t="shared" si="50"/>
        <v>0</v>
      </c>
      <c r="X168" s="103" t="e">
        <f t="shared" si="51"/>
        <v>#REF!</v>
      </c>
      <c r="Y168" s="103" t="e">
        <f t="shared" si="52"/>
        <v>#REF!</v>
      </c>
      <c r="Z168" s="104" t="e">
        <f t="shared" si="53"/>
        <v>#REF!</v>
      </c>
      <c r="AA168" s="104" t="e">
        <f t="shared" si="53"/>
        <v>#REF!</v>
      </c>
      <c r="AC168" s="103" t="e">
        <f t="shared" si="54"/>
        <v>#REF!</v>
      </c>
      <c r="AD168" s="103" t="e">
        <f t="shared" si="55"/>
        <v>#REF!</v>
      </c>
      <c r="AE168" s="104" t="e">
        <f t="shared" si="56"/>
        <v>#REF!</v>
      </c>
      <c r="AF168" s="104" t="e">
        <f t="shared" si="56"/>
        <v>#REF!</v>
      </c>
      <c r="AH168" s="103" t="e">
        <f t="shared" si="57"/>
        <v>#REF!</v>
      </c>
      <c r="AI168" s="103" t="e">
        <f t="shared" si="58"/>
        <v>#REF!</v>
      </c>
      <c r="AJ168" s="104" t="e">
        <f t="shared" si="59"/>
        <v>#REF!</v>
      </c>
      <c r="AK168" s="104" t="e">
        <f t="shared" si="59"/>
        <v>#REF!</v>
      </c>
    </row>
    <row r="169" spans="1:37" ht="15" customHeight="1">
      <c r="A169" s="107"/>
      <c r="B169" s="108"/>
      <c r="C169" s="99"/>
      <c r="D169" s="100"/>
      <c r="E169" s="102"/>
      <c r="F169" s="102"/>
      <c r="G169" s="18" t="str">
        <f t="shared" si="46"/>
        <v/>
      </c>
      <c r="H169" s="23" t="str">
        <f t="shared" si="47"/>
        <v/>
      </c>
      <c r="I169" s="27"/>
      <c r="J169" s="3"/>
      <c r="K169" s="3"/>
      <c r="L169" s="3"/>
      <c r="M169" s="3"/>
      <c r="N169" s="3"/>
      <c r="O169" s="3"/>
      <c r="P169" s="3"/>
      <c r="Q169" s="3"/>
      <c r="S169" s="103">
        <f t="shared" si="48"/>
        <v>0</v>
      </c>
      <c r="T169" s="103">
        <f t="shared" si="49"/>
        <v>0</v>
      </c>
      <c r="U169" s="104">
        <f t="shared" si="50"/>
        <v>0</v>
      </c>
      <c r="V169" s="104">
        <f t="shared" si="50"/>
        <v>0</v>
      </c>
      <c r="X169" s="103" t="e">
        <f t="shared" si="51"/>
        <v>#REF!</v>
      </c>
      <c r="Y169" s="103" t="e">
        <f t="shared" si="52"/>
        <v>#REF!</v>
      </c>
      <c r="Z169" s="104" t="e">
        <f t="shared" si="53"/>
        <v>#REF!</v>
      </c>
      <c r="AA169" s="104" t="e">
        <f t="shared" si="53"/>
        <v>#REF!</v>
      </c>
      <c r="AC169" s="103" t="e">
        <f t="shared" si="54"/>
        <v>#REF!</v>
      </c>
      <c r="AD169" s="103" t="e">
        <f t="shared" si="55"/>
        <v>#REF!</v>
      </c>
      <c r="AE169" s="104" t="e">
        <f t="shared" si="56"/>
        <v>#REF!</v>
      </c>
      <c r="AF169" s="104" t="e">
        <f t="shared" si="56"/>
        <v>#REF!</v>
      </c>
      <c r="AH169" s="103" t="e">
        <f t="shared" si="57"/>
        <v>#REF!</v>
      </c>
      <c r="AI169" s="103" t="e">
        <f t="shared" si="58"/>
        <v>#REF!</v>
      </c>
      <c r="AJ169" s="104" t="e">
        <f t="shared" si="59"/>
        <v>#REF!</v>
      </c>
      <c r="AK169" s="104" t="e">
        <f t="shared" si="59"/>
        <v>#REF!</v>
      </c>
    </row>
    <row r="170" spans="1:37" ht="15" customHeight="1">
      <c r="A170" s="107"/>
      <c r="B170" s="108"/>
      <c r="C170" s="99"/>
      <c r="D170" s="100"/>
      <c r="E170" s="102"/>
      <c r="F170" s="102"/>
      <c r="G170" s="18" t="str">
        <f t="shared" si="46"/>
        <v/>
      </c>
      <c r="H170" s="23" t="str">
        <f t="shared" si="47"/>
        <v/>
      </c>
      <c r="I170" s="27"/>
      <c r="J170" s="3"/>
      <c r="K170" s="3"/>
      <c r="L170" s="3"/>
      <c r="M170" s="3"/>
      <c r="N170" s="3"/>
      <c r="O170" s="3"/>
      <c r="P170" s="3"/>
      <c r="Q170" s="3"/>
      <c r="S170" s="103">
        <f t="shared" si="48"/>
        <v>0</v>
      </c>
      <c r="T170" s="103">
        <f t="shared" si="49"/>
        <v>0</v>
      </c>
      <c r="U170" s="104">
        <f t="shared" si="50"/>
        <v>0</v>
      </c>
      <c r="V170" s="104">
        <f t="shared" si="50"/>
        <v>0</v>
      </c>
      <c r="X170" s="103" t="e">
        <f t="shared" si="51"/>
        <v>#REF!</v>
      </c>
      <c r="Y170" s="103" t="e">
        <f t="shared" si="52"/>
        <v>#REF!</v>
      </c>
      <c r="Z170" s="104" t="e">
        <f t="shared" si="53"/>
        <v>#REF!</v>
      </c>
      <c r="AA170" s="104" t="e">
        <f t="shared" si="53"/>
        <v>#REF!</v>
      </c>
      <c r="AC170" s="103" t="e">
        <f t="shared" si="54"/>
        <v>#REF!</v>
      </c>
      <c r="AD170" s="103" t="e">
        <f t="shared" si="55"/>
        <v>#REF!</v>
      </c>
      <c r="AE170" s="104" t="e">
        <f t="shared" si="56"/>
        <v>#REF!</v>
      </c>
      <c r="AF170" s="104" t="e">
        <f t="shared" si="56"/>
        <v>#REF!</v>
      </c>
      <c r="AH170" s="103" t="e">
        <f t="shared" si="57"/>
        <v>#REF!</v>
      </c>
      <c r="AI170" s="103" t="e">
        <f t="shared" si="58"/>
        <v>#REF!</v>
      </c>
      <c r="AJ170" s="104" t="e">
        <f t="shared" si="59"/>
        <v>#REF!</v>
      </c>
      <c r="AK170" s="104" t="e">
        <f t="shared" si="59"/>
        <v>#REF!</v>
      </c>
    </row>
    <row r="171" spans="1:37" ht="15" customHeight="1">
      <c r="A171" s="97"/>
      <c r="B171" s="106"/>
      <c r="C171" s="99"/>
      <c r="D171" s="100"/>
      <c r="E171" s="102"/>
      <c r="F171" s="102"/>
      <c r="G171" s="18" t="str">
        <f t="shared" si="46"/>
        <v/>
      </c>
      <c r="H171" s="23" t="str">
        <f t="shared" si="47"/>
        <v/>
      </c>
      <c r="I171" s="27"/>
      <c r="J171" s="3"/>
      <c r="K171" s="3"/>
      <c r="L171" s="3"/>
      <c r="M171" s="3"/>
      <c r="N171" s="3"/>
      <c r="O171" s="3"/>
      <c r="P171" s="3"/>
      <c r="Q171" s="3"/>
      <c r="S171" s="103">
        <f t="shared" si="48"/>
        <v>0</v>
      </c>
      <c r="T171" s="103">
        <f t="shared" si="49"/>
        <v>0</v>
      </c>
      <c r="U171" s="104">
        <f t="shared" si="50"/>
        <v>0</v>
      </c>
      <c r="V171" s="104">
        <f t="shared" si="50"/>
        <v>0</v>
      </c>
      <c r="X171" s="103" t="e">
        <f t="shared" si="51"/>
        <v>#REF!</v>
      </c>
      <c r="Y171" s="103" t="e">
        <f t="shared" si="52"/>
        <v>#REF!</v>
      </c>
      <c r="Z171" s="104" t="e">
        <f t="shared" si="53"/>
        <v>#REF!</v>
      </c>
      <c r="AA171" s="104" t="e">
        <f t="shared" si="53"/>
        <v>#REF!</v>
      </c>
      <c r="AC171" s="103" t="e">
        <f t="shared" si="54"/>
        <v>#REF!</v>
      </c>
      <c r="AD171" s="103" t="e">
        <f t="shared" si="55"/>
        <v>#REF!</v>
      </c>
      <c r="AE171" s="104" t="e">
        <f t="shared" si="56"/>
        <v>#REF!</v>
      </c>
      <c r="AF171" s="104" t="e">
        <f t="shared" si="56"/>
        <v>#REF!</v>
      </c>
      <c r="AH171" s="103" t="e">
        <f t="shared" si="57"/>
        <v>#REF!</v>
      </c>
      <c r="AI171" s="103" t="e">
        <f t="shared" si="58"/>
        <v>#REF!</v>
      </c>
      <c r="AJ171" s="104" t="e">
        <f t="shared" si="59"/>
        <v>#REF!</v>
      </c>
      <c r="AK171" s="104" t="e">
        <f t="shared" si="59"/>
        <v>#REF!</v>
      </c>
    </row>
    <row r="172" spans="1:37" ht="15" customHeight="1">
      <c r="A172" s="97"/>
      <c r="B172" s="106"/>
      <c r="C172" s="99"/>
      <c r="D172" s="100"/>
      <c r="E172" s="102"/>
      <c r="F172" s="102"/>
      <c r="G172" s="18" t="str">
        <f t="shared" si="46"/>
        <v/>
      </c>
      <c r="H172" s="23" t="str">
        <f t="shared" si="47"/>
        <v/>
      </c>
      <c r="I172" s="27"/>
      <c r="J172" s="3"/>
      <c r="K172" s="3"/>
      <c r="L172" s="3"/>
      <c r="M172" s="3"/>
      <c r="N172" s="3"/>
      <c r="O172" s="3"/>
      <c r="P172" s="3"/>
      <c r="Q172" s="3"/>
      <c r="S172" s="103">
        <f t="shared" si="48"/>
        <v>0</v>
      </c>
      <c r="T172" s="103">
        <f t="shared" si="49"/>
        <v>0</v>
      </c>
      <c r="U172" s="104">
        <f t="shared" si="50"/>
        <v>0</v>
      </c>
      <c r="V172" s="104">
        <f t="shared" si="50"/>
        <v>0</v>
      </c>
      <c r="X172" s="103" t="e">
        <f t="shared" si="51"/>
        <v>#REF!</v>
      </c>
      <c r="Y172" s="103" t="e">
        <f t="shared" si="52"/>
        <v>#REF!</v>
      </c>
      <c r="Z172" s="104" t="e">
        <f t="shared" si="53"/>
        <v>#REF!</v>
      </c>
      <c r="AA172" s="104" t="e">
        <f t="shared" si="53"/>
        <v>#REF!</v>
      </c>
      <c r="AC172" s="103" t="e">
        <f t="shared" si="54"/>
        <v>#REF!</v>
      </c>
      <c r="AD172" s="103" t="e">
        <f t="shared" si="55"/>
        <v>#REF!</v>
      </c>
      <c r="AE172" s="104" t="e">
        <f t="shared" si="56"/>
        <v>#REF!</v>
      </c>
      <c r="AF172" s="104" t="e">
        <f t="shared" si="56"/>
        <v>#REF!</v>
      </c>
      <c r="AH172" s="103" t="e">
        <f t="shared" si="57"/>
        <v>#REF!</v>
      </c>
      <c r="AI172" s="103" t="e">
        <f t="shared" si="58"/>
        <v>#REF!</v>
      </c>
      <c r="AJ172" s="104" t="e">
        <f t="shared" si="59"/>
        <v>#REF!</v>
      </c>
      <c r="AK172" s="104" t="e">
        <f t="shared" si="59"/>
        <v>#REF!</v>
      </c>
    </row>
    <row r="173" spans="1:37" ht="15" customHeight="1">
      <c r="A173" s="97"/>
      <c r="B173" s="106"/>
      <c r="C173" s="99"/>
      <c r="D173" s="100"/>
      <c r="E173" s="102"/>
      <c r="F173" s="102"/>
      <c r="G173" s="18" t="str">
        <f t="shared" si="46"/>
        <v/>
      </c>
      <c r="H173" s="23" t="str">
        <f t="shared" si="47"/>
        <v/>
      </c>
      <c r="I173" s="27"/>
      <c r="J173" s="3"/>
      <c r="K173" s="3"/>
      <c r="L173" s="3"/>
      <c r="M173" s="3"/>
      <c r="N173" s="3"/>
      <c r="O173" s="3"/>
      <c r="P173" s="3"/>
      <c r="Q173" s="3"/>
      <c r="S173" s="103">
        <f t="shared" si="48"/>
        <v>0</v>
      </c>
      <c r="T173" s="103">
        <f t="shared" si="49"/>
        <v>0</v>
      </c>
      <c r="U173" s="104">
        <f t="shared" si="50"/>
        <v>0</v>
      </c>
      <c r="V173" s="104">
        <f t="shared" si="50"/>
        <v>0</v>
      </c>
      <c r="X173" s="103" t="e">
        <f t="shared" si="51"/>
        <v>#REF!</v>
      </c>
      <c r="Y173" s="103" t="e">
        <f t="shared" si="52"/>
        <v>#REF!</v>
      </c>
      <c r="Z173" s="104" t="e">
        <f t="shared" si="53"/>
        <v>#REF!</v>
      </c>
      <c r="AA173" s="104" t="e">
        <f t="shared" si="53"/>
        <v>#REF!</v>
      </c>
      <c r="AC173" s="103" t="e">
        <f t="shared" si="54"/>
        <v>#REF!</v>
      </c>
      <c r="AD173" s="103" t="e">
        <f t="shared" si="55"/>
        <v>#REF!</v>
      </c>
      <c r="AE173" s="104" t="e">
        <f t="shared" si="56"/>
        <v>#REF!</v>
      </c>
      <c r="AF173" s="104" t="e">
        <f t="shared" si="56"/>
        <v>#REF!</v>
      </c>
      <c r="AH173" s="103" t="e">
        <f t="shared" si="57"/>
        <v>#REF!</v>
      </c>
      <c r="AI173" s="103" t="e">
        <f t="shared" si="58"/>
        <v>#REF!</v>
      </c>
      <c r="AJ173" s="104" t="e">
        <f t="shared" si="59"/>
        <v>#REF!</v>
      </c>
      <c r="AK173" s="104" t="e">
        <f t="shared" si="59"/>
        <v>#REF!</v>
      </c>
    </row>
    <row r="174" spans="1:37" ht="15" customHeight="1">
      <c r="A174" s="97"/>
      <c r="B174" s="106"/>
      <c r="C174" s="99"/>
      <c r="D174" s="100"/>
      <c r="E174" s="102"/>
      <c r="F174" s="102"/>
      <c r="G174" s="18" t="str">
        <f t="shared" si="46"/>
        <v/>
      </c>
      <c r="H174" s="23" t="str">
        <f t="shared" si="47"/>
        <v/>
      </c>
      <c r="I174" s="27"/>
      <c r="J174" s="3"/>
      <c r="K174" s="3"/>
      <c r="L174" s="3"/>
      <c r="M174" s="3"/>
      <c r="N174" s="3"/>
      <c r="O174" s="3"/>
      <c r="P174" s="3"/>
      <c r="Q174" s="3"/>
      <c r="S174" s="103">
        <f t="shared" si="48"/>
        <v>0</v>
      </c>
      <c r="T174" s="103">
        <f t="shared" si="49"/>
        <v>0</v>
      </c>
      <c r="U174" s="104">
        <f t="shared" si="50"/>
        <v>0</v>
      </c>
      <c r="V174" s="104">
        <f t="shared" si="50"/>
        <v>0</v>
      </c>
      <c r="X174" s="103" t="e">
        <f t="shared" si="51"/>
        <v>#REF!</v>
      </c>
      <c r="Y174" s="103" t="e">
        <f t="shared" si="52"/>
        <v>#REF!</v>
      </c>
      <c r="Z174" s="104" t="e">
        <f t="shared" si="53"/>
        <v>#REF!</v>
      </c>
      <c r="AA174" s="104" t="e">
        <f t="shared" si="53"/>
        <v>#REF!</v>
      </c>
      <c r="AC174" s="103" t="e">
        <f t="shared" si="54"/>
        <v>#REF!</v>
      </c>
      <c r="AD174" s="103" t="e">
        <f t="shared" si="55"/>
        <v>#REF!</v>
      </c>
      <c r="AE174" s="104" t="e">
        <f t="shared" si="56"/>
        <v>#REF!</v>
      </c>
      <c r="AF174" s="104" t="e">
        <f t="shared" si="56"/>
        <v>#REF!</v>
      </c>
      <c r="AH174" s="103" t="e">
        <f t="shared" si="57"/>
        <v>#REF!</v>
      </c>
      <c r="AI174" s="103" t="e">
        <f t="shared" si="58"/>
        <v>#REF!</v>
      </c>
      <c r="AJ174" s="104" t="e">
        <f t="shared" si="59"/>
        <v>#REF!</v>
      </c>
      <c r="AK174" s="104" t="e">
        <f t="shared" si="59"/>
        <v>#REF!</v>
      </c>
    </row>
    <row r="175" spans="1:37" ht="15" customHeight="1">
      <c r="A175" s="97"/>
      <c r="B175" s="106"/>
      <c r="C175" s="99"/>
      <c r="D175" s="100"/>
      <c r="E175" s="102"/>
      <c r="F175" s="102"/>
      <c r="G175" s="18" t="str">
        <f t="shared" si="46"/>
        <v/>
      </c>
      <c r="H175" s="23" t="str">
        <f t="shared" si="47"/>
        <v/>
      </c>
      <c r="I175" s="27"/>
      <c r="J175" s="3"/>
      <c r="K175" s="3"/>
      <c r="L175" s="3"/>
      <c r="M175" s="3"/>
      <c r="N175" s="3"/>
      <c r="O175" s="3"/>
      <c r="P175" s="3"/>
      <c r="Q175" s="3"/>
      <c r="S175" s="103">
        <f t="shared" si="48"/>
        <v>0</v>
      </c>
      <c r="T175" s="103">
        <f t="shared" si="49"/>
        <v>0</v>
      </c>
      <c r="U175" s="104">
        <f t="shared" si="50"/>
        <v>0</v>
      </c>
      <c r="V175" s="104">
        <f t="shared" si="50"/>
        <v>0</v>
      </c>
      <c r="X175" s="103" t="e">
        <f t="shared" si="51"/>
        <v>#REF!</v>
      </c>
      <c r="Y175" s="103" t="e">
        <f t="shared" si="52"/>
        <v>#REF!</v>
      </c>
      <c r="Z175" s="104" t="e">
        <f t="shared" si="53"/>
        <v>#REF!</v>
      </c>
      <c r="AA175" s="104" t="e">
        <f t="shared" si="53"/>
        <v>#REF!</v>
      </c>
      <c r="AC175" s="103" t="e">
        <f t="shared" si="54"/>
        <v>#REF!</v>
      </c>
      <c r="AD175" s="103" t="e">
        <f t="shared" si="55"/>
        <v>#REF!</v>
      </c>
      <c r="AE175" s="104" t="e">
        <f t="shared" si="56"/>
        <v>#REF!</v>
      </c>
      <c r="AF175" s="104" t="e">
        <f t="shared" si="56"/>
        <v>#REF!</v>
      </c>
      <c r="AH175" s="103" t="e">
        <f t="shared" si="57"/>
        <v>#REF!</v>
      </c>
      <c r="AI175" s="103" t="e">
        <f t="shared" si="58"/>
        <v>#REF!</v>
      </c>
      <c r="AJ175" s="104" t="e">
        <f t="shared" si="59"/>
        <v>#REF!</v>
      </c>
      <c r="AK175" s="104" t="e">
        <f t="shared" si="59"/>
        <v>#REF!</v>
      </c>
    </row>
    <row r="176" spans="1:37" ht="15" customHeight="1">
      <c r="A176" s="97"/>
      <c r="B176" s="106"/>
      <c r="C176" s="99"/>
      <c r="D176" s="100"/>
      <c r="E176" s="102"/>
      <c r="F176" s="102"/>
      <c r="G176" s="18" t="str">
        <f t="shared" si="46"/>
        <v/>
      </c>
      <c r="H176" s="23" t="str">
        <f t="shared" si="47"/>
        <v/>
      </c>
      <c r="I176" s="27"/>
      <c r="J176" s="3"/>
      <c r="K176" s="3"/>
      <c r="L176" s="3"/>
      <c r="M176" s="3"/>
      <c r="N176" s="3"/>
      <c r="O176" s="3"/>
      <c r="P176" s="3"/>
      <c r="Q176" s="3"/>
      <c r="S176" s="103">
        <f t="shared" si="48"/>
        <v>0</v>
      </c>
      <c r="T176" s="103">
        <f t="shared" si="49"/>
        <v>0</v>
      </c>
      <c r="U176" s="104">
        <f t="shared" si="50"/>
        <v>0</v>
      </c>
      <c r="V176" s="104">
        <f t="shared" si="50"/>
        <v>0</v>
      </c>
      <c r="X176" s="103" t="e">
        <f t="shared" si="51"/>
        <v>#REF!</v>
      </c>
      <c r="Y176" s="103" t="e">
        <f t="shared" si="52"/>
        <v>#REF!</v>
      </c>
      <c r="Z176" s="104" t="e">
        <f t="shared" si="53"/>
        <v>#REF!</v>
      </c>
      <c r="AA176" s="104" t="e">
        <f t="shared" si="53"/>
        <v>#REF!</v>
      </c>
      <c r="AC176" s="103" t="e">
        <f t="shared" si="54"/>
        <v>#REF!</v>
      </c>
      <c r="AD176" s="103" t="e">
        <f t="shared" si="55"/>
        <v>#REF!</v>
      </c>
      <c r="AE176" s="104" t="e">
        <f t="shared" si="56"/>
        <v>#REF!</v>
      </c>
      <c r="AF176" s="104" t="e">
        <f t="shared" si="56"/>
        <v>#REF!</v>
      </c>
      <c r="AH176" s="103" t="e">
        <f t="shared" si="57"/>
        <v>#REF!</v>
      </c>
      <c r="AI176" s="103" t="e">
        <f t="shared" si="58"/>
        <v>#REF!</v>
      </c>
      <c r="AJ176" s="104" t="e">
        <f t="shared" si="59"/>
        <v>#REF!</v>
      </c>
      <c r="AK176" s="104" t="e">
        <f t="shared" si="59"/>
        <v>#REF!</v>
      </c>
    </row>
    <row r="177" spans="1:37" ht="15" customHeight="1">
      <c r="A177" s="97"/>
      <c r="B177" s="108"/>
      <c r="C177" s="99"/>
      <c r="D177" s="100"/>
      <c r="E177" s="102"/>
      <c r="F177" s="102"/>
      <c r="G177" s="18" t="str">
        <f t="shared" si="46"/>
        <v/>
      </c>
      <c r="H177" s="23" t="str">
        <f t="shared" si="47"/>
        <v/>
      </c>
      <c r="I177" s="27"/>
      <c r="J177" s="3"/>
      <c r="K177" s="3"/>
      <c r="L177" s="3"/>
      <c r="M177" s="3"/>
      <c r="N177" s="3"/>
      <c r="O177" s="3"/>
      <c r="P177" s="3"/>
      <c r="Q177" s="3"/>
      <c r="S177" s="103">
        <f t="shared" si="48"/>
        <v>0</v>
      </c>
      <c r="T177" s="103">
        <f t="shared" si="49"/>
        <v>0</v>
      </c>
      <c r="U177" s="104">
        <f t="shared" si="50"/>
        <v>0</v>
      </c>
      <c r="V177" s="104">
        <f t="shared" si="50"/>
        <v>0</v>
      </c>
      <c r="X177" s="103" t="e">
        <f t="shared" si="51"/>
        <v>#REF!</v>
      </c>
      <c r="Y177" s="103" t="e">
        <f t="shared" si="52"/>
        <v>#REF!</v>
      </c>
      <c r="Z177" s="104" t="e">
        <f t="shared" si="53"/>
        <v>#REF!</v>
      </c>
      <c r="AA177" s="104" t="e">
        <f t="shared" si="53"/>
        <v>#REF!</v>
      </c>
      <c r="AC177" s="103" t="e">
        <f t="shared" si="54"/>
        <v>#REF!</v>
      </c>
      <c r="AD177" s="103" t="e">
        <f t="shared" si="55"/>
        <v>#REF!</v>
      </c>
      <c r="AE177" s="104" t="e">
        <f t="shared" si="56"/>
        <v>#REF!</v>
      </c>
      <c r="AF177" s="104" t="e">
        <f t="shared" si="56"/>
        <v>#REF!</v>
      </c>
      <c r="AH177" s="103" t="e">
        <f t="shared" si="57"/>
        <v>#REF!</v>
      </c>
      <c r="AI177" s="103" t="e">
        <f t="shared" si="58"/>
        <v>#REF!</v>
      </c>
      <c r="AJ177" s="104" t="e">
        <f t="shared" si="59"/>
        <v>#REF!</v>
      </c>
      <c r="AK177" s="104" t="e">
        <f t="shared" si="59"/>
        <v>#REF!</v>
      </c>
    </row>
    <row r="178" spans="1:37" ht="15" customHeight="1">
      <c r="A178" s="97"/>
      <c r="B178" s="108"/>
      <c r="C178" s="99"/>
      <c r="D178" s="100"/>
      <c r="E178" s="102"/>
      <c r="F178" s="102"/>
      <c r="G178" s="18" t="str">
        <f t="shared" si="46"/>
        <v/>
      </c>
      <c r="H178" s="23" t="str">
        <f t="shared" si="47"/>
        <v/>
      </c>
      <c r="I178" s="27"/>
      <c r="J178" s="3"/>
      <c r="K178" s="3"/>
      <c r="L178" s="3"/>
      <c r="M178" s="3"/>
      <c r="N178" s="3"/>
      <c r="O178" s="3"/>
      <c r="P178" s="3"/>
      <c r="Q178" s="3"/>
      <c r="S178" s="103">
        <f t="shared" si="48"/>
        <v>0</v>
      </c>
      <c r="T178" s="103">
        <f t="shared" si="49"/>
        <v>0</v>
      </c>
      <c r="U178" s="104">
        <f t="shared" si="50"/>
        <v>0</v>
      </c>
      <c r="V178" s="104">
        <f t="shared" si="50"/>
        <v>0</v>
      </c>
      <c r="X178" s="103" t="e">
        <f t="shared" si="51"/>
        <v>#REF!</v>
      </c>
      <c r="Y178" s="103" t="e">
        <f t="shared" si="52"/>
        <v>#REF!</v>
      </c>
      <c r="Z178" s="104" t="e">
        <f t="shared" si="53"/>
        <v>#REF!</v>
      </c>
      <c r="AA178" s="104" t="e">
        <f t="shared" si="53"/>
        <v>#REF!</v>
      </c>
      <c r="AC178" s="103" t="e">
        <f t="shared" si="54"/>
        <v>#REF!</v>
      </c>
      <c r="AD178" s="103" t="e">
        <f t="shared" si="55"/>
        <v>#REF!</v>
      </c>
      <c r="AE178" s="104" t="e">
        <f t="shared" si="56"/>
        <v>#REF!</v>
      </c>
      <c r="AF178" s="104" t="e">
        <f t="shared" si="56"/>
        <v>#REF!</v>
      </c>
      <c r="AH178" s="103" t="e">
        <f t="shared" si="57"/>
        <v>#REF!</v>
      </c>
      <c r="AI178" s="103" t="e">
        <f t="shared" si="58"/>
        <v>#REF!</v>
      </c>
      <c r="AJ178" s="104" t="e">
        <f t="shared" si="59"/>
        <v>#REF!</v>
      </c>
      <c r="AK178" s="104" t="e">
        <f t="shared" si="59"/>
        <v>#REF!</v>
      </c>
    </row>
    <row r="179" spans="1:37" ht="15" customHeight="1">
      <c r="A179" s="97"/>
      <c r="B179" s="108"/>
      <c r="C179" s="99"/>
      <c r="D179" s="100"/>
      <c r="E179" s="102"/>
      <c r="F179" s="102"/>
      <c r="G179" s="18" t="str">
        <f t="shared" si="46"/>
        <v/>
      </c>
      <c r="H179" s="23" t="str">
        <f t="shared" si="47"/>
        <v/>
      </c>
      <c r="I179" s="27"/>
      <c r="J179" s="3"/>
      <c r="K179" s="3"/>
      <c r="L179" s="3"/>
      <c r="M179" s="3"/>
      <c r="N179" s="3"/>
      <c r="O179" s="3"/>
      <c r="P179" s="3"/>
      <c r="Q179" s="3"/>
      <c r="S179" s="103">
        <f t="shared" si="48"/>
        <v>0</v>
      </c>
      <c r="T179" s="103">
        <f t="shared" si="49"/>
        <v>0</v>
      </c>
      <c r="U179" s="104">
        <f t="shared" si="50"/>
        <v>0</v>
      </c>
      <c r="V179" s="104">
        <f t="shared" si="50"/>
        <v>0</v>
      </c>
      <c r="X179" s="103" t="e">
        <f t="shared" si="51"/>
        <v>#REF!</v>
      </c>
      <c r="Y179" s="103" t="e">
        <f t="shared" si="52"/>
        <v>#REF!</v>
      </c>
      <c r="Z179" s="104" t="e">
        <f t="shared" si="53"/>
        <v>#REF!</v>
      </c>
      <c r="AA179" s="104" t="e">
        <f t="shared" si="53"/>
        <v>#REF!</v>
      </c>
      <c r="AC179" s="103" t="e">
        <f t="shared" si="54"/>
        <v>#REF!</v>
      </c>
      <c r="AD179" s="103" t="e">
        <f t="shared" si="55"/>
        <v>#REF!</v>
      </c>
      <c r="AE179" s="104" t="e">
        <f t="shared" si="56"/>
        <v>#REF!</v>
      </c>
      <c r="AF179" s="104" t="e">
        <f t="shared" si="56"/>
        <v>#REF!</v>
      </c>
      <c r="AH179" s="103" t="e">
        <f t="shared" si="57"/>
        <v>#REF!</v>
      </c>
      <c r="AI179" s="103" t="e">
        <f t="shared" si="58"/>
        <v>#REF!</v>
      </c>
      <c r="AJ179" s="104" t="e">
        <f t="shared" si="59"/>
        <v>#REF!</v>
      </c>
      <c r="AK179" s="104" t="e">
        <f t="shared" si="59"/>
        <v>#REF!</v>
      </c>
    </row>
    <row r="180" spans="1:37" ht="15" customHeight="1">
      <c r="A180" s="97"/>
      <c r="B180" s="108"/>
      <c r="C180" s="99"/>
      <c r="D180" s="100"/>
      <c r="E180" s="102"/>
      <c r="F180" s="102"/>
      <c r="G180" s="18" t="str">
        <f t="shared" si="46"/>
        <v/>
      </c>
      <c r="H180" s="23" t="str">
        <f t="shared" si="47"/>
        <v/>
      </c>
      <c r="I180" s="27"/>
      <c r="J180" s="3"/>
      <c r="K180" s="3"/>
      <c r="L180" s="3"/>
      <c r="M180" s="3"/>
      <c r="N180" s="3"/>
      <c r="O180" s="3"/>
      <c r="P180" s="3"/>
      <c r="Q180" s="3"/>
      <c r="S180" s="103">
        <f t="shared" si="48"/>
        <v>0</v>
      </c>
      <c r="T180" s="103">
        <f t="shared" si="49"/>
        <v>0</v>
      </c>
      <c r="U180" s="104">
        <f t="shared" si="50"/>
        <v>0</v>
      </c>
      <c r="V180" s="104">
        <f t="shared" si="50"/>
        <v>0</v>
      </c>
      <c r="X180" s="103" t="e">
        <f t="shared" si="51"/>
        <v>#REF!</v>
      </c>
      <c r="Y180" s="103" t="e">
        <f t="shared" si="52"/>
        <v>#REF!</v>
      </c>
      <c r="Z180" s="104" t="e">
        <f t="shared" si="53"/>
        <v>#REF!</v>
      </c>
      <c r="AA180" s="104" t="e">
        <f t="shared" si="53"/>
        <v>#REF!</v>
      </c>
      <c r="AC180" s="103" t="e">
        <f t="shared" si="54"/>
        <v>#REF!</v>
      </c>
      <c r="AD180" s="103" t="e">
        <f t="shared" si="55"/>
        <v>#REF!</v>
      </c>
      <c r="AE180" s="104" t="e">
        <f t="shared" si="56"/>
        <v>#REF!</v>
      </c>
      <c r="AF180" s="104" t="e">
        <f t="shared" si="56"/>
        <v>#REF!</v>
      </c>
      <c r="AH180" s="103" t="e">
        <f t="shared" si="57"/>
        <v>#REF!</v>
      </c>
      <c r="AI180" s="103" t="e">
        <f t="shared" si="58"/>
        <v>#REF!</v>
      </c>
      <c r="AJ180" s="104" t="e">
        <f t="shared" si="59"/>
        <v>#REF!</v>
      </c>
      <c r="AK180" s="104" t="e">
        <f t="shared" si="59"/>
        <v>#REF!</v>
      </c>
    </row>
    <row r="181" spans="1:37" ht="15" customHeight="1">
      <c r="A181" s="97"/>
      <c r="B181" s="108"/>
      <c r="C181" s="99"/>
      <c r="D181" s="100"/>
      <c r="E181" s="102"/>
      <c r="F181" s="102"/>
      <c r="G181" s="18" t="str">
        <f t="shared" si="46"/>
        <v/>
      </c>
      <c r="H181" s="23" t="str">
        <f t="shared" si="47"/>
        <v/>
      </c>
      <c r="I181" s="27"/>
      <c r="J181" s="3"/>
      <c r="K181" s="3"/>
      <c r="L181" s="3"/>
      <c r="M181" s="3"/>
      <c r="N181" s="3"/>
      <c r="O181" s="3"/>
      <c r="P181" s="3"/>
      <c r="Q181" s="3"/>
      <c r="S181" s="103">
        <f t="shared" si="48"/>
        <v>0</v>
      </c>
      <c r="T181" s="103">
        <f t="shared" si="49"/>
        <v>0</v>
      </c>
      <c r="U181" s="104">
        <f t="shared" si="50"/>
        <v>0</v>
      </c>
      <c r="V181" s="104">
        <f t="shared" si="50"/>
        <v>0</v>
      </c>
      <c r="X181" s="103" t="e">
        <f t="shared" si="51"/>
        <v>#REF!</v>
      </c>
      <c r="Y181" s="103" t="e">
        <f t="shared" si="52"/>
        <v>#REF!</v>
      </c>
      <c r="Z181" s="104" t="e">
        <f t="shared" si="53"/>
        <v>#REF!</v>
      </c>
      <c r="AA181" s="104" t="e">
        <f t="shared" si="53"/>
        <v>#REF!</v>
      </c>
      <c r="AC181" s="103" t="e">
        <f t="shared" si="54"/>
        <v>#REF!</v>
      </c>
      <c r="AD181" s="103" t="e">
        <f t="shared" si="55"/>
        <v>#REF!</v>
      </c>
      <c r="AE181" s="104" t="e">
        <f t="shared" si="56"/>
        <v>#REF!</v>
      </c>
      <c r="AF181" s="104" t="e">
        <f t="shared" si="56"/>
        <v>#REF!</v>
      </c>
      <c r="AH181" s="103" t="e">
        <f t="shared" si="57"/>
        <v>#REF!</v>
      </c>
      <c r="AI181" s="103" t="e">
        <f t="shared" si="58"/>
        <v>#REF!</v>
      </c>
      <c r="AJ181" s="104" t="e">
        <f t="shared" si="59"/>
        <v>#REF!</v>
      </c>
      <c r="AK181" s="104" t="e">
        <f t="shared" si="59"/>
        <v>#REF!</v>
      </c>
    </row>
    <row r="182" spans="1:37" ht="15" customHeight="1">
      <c r="A182" s="97"/>
      <c r="B182" s="108"/>
      <c r="C182" s="99"/>
      <c r="D182" s="100"/>
      <c r="E182" s="102"/>
      <c r="F182" s="102"/>
      <c r="G182" s="18" t="str">
        <f t="shared" si="46"/>
        <v/>
      </c>
      <c r="H182" s="23" t="str">
        <f t="shared" si="47"/>
        <v/>
      </c>
      <c r="I182" s="27"/>
      <c r="J182" s="3"/>
      <c r="K182" s="3"/>
      <c r="L182" s="3"/>
      <c r="M182" s="3"/>
      <c r="N182" s="3"/>
      <c r="O182" s="3"/>
      <c r="P182" s="3"/>
      <c r="Q182" s="3"/>
      <c r="S182" s="103">
        <f t="shared" si="48"/>
        <v>0</v>
      </c>
      <c r="T182" s="103">
        <f t="shared" si="49"/>
        <v>0</v>
      </c>
      <c r="U182" s="104">
        <f t="shared" si="50"/>
        <v>0</v>
      </c>
      <c r="V182" s="104">
        <f t="shared" si="50"/>
        <v>0</v>
      </c>
      <c r="X182" s="103" t="e">
        <f t="shared" si="51"/>
        <v>#REF!</v>
      </c>
      <c r="Y182" s="103" t="e">
        <f t="shared" si="52"/>
        <v>#REF!</v>
      </c>
      <c r="Z182" s="104" t="e">
        <f t="shared" si="53"/>
        <v>#REF!</v>
      </c>
      <c r="AA182" s="104" t="e">
        <f t="shared" si="53"/>
        <v>#REF!</v>
      </c>
      <c r="AC182" s="103" t="e">
        <f t="shared" si="54"/>
        <v>#REF!</v>
      </c>
      <c r="AD182" s="103" t="e">
        <f t="shared" si="55"/>
        <v>#REF!</v>
      </c>
      <c r="AE182" s="104" t="e">
        <f t="shared" si="56"/>
        <v>#REF!</v>
      </c>
      <c r="AF182" s="104" t="e">
        <f t="shared" si="56"/>
        <v>#REF!</v>
      </c>
      <c r="AH182" s="103" t="e">
        <f t="shared" si="57"/>
        <v>#REF!</v>
      </c>
      <c r="AI182" s="103" t="e">
        <f t="shared" si="58"/>
        <v>#REF!</v>
      </c>
      <c r="AJ182" s="104" t="e">
        <f t="shared" si="59"/>
        <v>#REF!</v>
      </c>
      <c r="AK182" s="104" t="e">
        <f t="shared" si="59"/>
        <v>#REF!</v>
      </c>
    </row>
    <row r="183" spans="1:37" ht="15" customHeight="1">
      <c r="A183" s="97"/>
      <c r="B183" s="106"/>
      <c r="C183" s="99"/>
      <c r="D183" s="100"/>
      <c r="E183" s="102"/>
      <c r="F183" s="102"/>
      <c r="G183" s="18" t="str">
        <f t="shared" si="46"/>
        <v/>
      </c>
      <c r="H183" s="23" t="str">
        <f t="shared" si="47"/>
        <v/>
      </c>
      <c r="I183" s="27"/>
      <c r="J183" s="3"/>
      <c r="K183" s="3"/>
      <c r="L183" s="3"/>
      <c r="M183" s="3"/>
      <c r="N183" s="3"/>
      <c r="O183" s="3"/>
      <c r="P183" s="3"/>
      <c r="Q183" s="3"/>
      <c r="S183" s="103">
        <f t="shared" si="48"/>
        <v>0</v>
      </c>
      <c r="T183" s="103">
        <f t="shared" si="49"/>
        <v>0</v>
      </c>
      <c r="U183" s="104">
        <f t="shared" si="50"/>
        <v>0</v>
      </c>
      <c r="V183" s="104">
        <f t="shared" si="50"/>
        <v>0</v>
      </c>
      <c r="X183" s="103" t="e">
        <f t="shared" si="51"/>
        <v>#REF!</v>
      </c>
      <c r="Y183" s="103" t="e">
        <f t="shared" si="52"/>
        <v>#REF!</v>
      </c>
      <c r="Z183" s="104" t="e">
        <f t="shared" si="53"/>
        <v>#REF!</v>
      </c>
      <c r="AA183" s="104" t="e">
        <f t="shared" si="53"/>
        <v>#REF!</v>
      </c>
      <c r="AC183" s="103" t="e">
        <f t="shared" si="54"/>
        <v>#REF!</v>
      </c>
      <c r="AD183" s="103" t="e">
        <f t="shared" si="55"/>
        <v>#REF!</v>
      </c>
      <c r="AE183" s="104" t="e">
        <f t="shared" si="56"/>
        <v>#REF!</v>
      </c>
      <c r="AF183" s="104" t="e">
        <f t="shared" si="56"/>
        <v>#REF!</v>
      </c>
      <c r="AH183" s="103" t="e">
        <f t="shared" si="57"/>
        <v>#REF!</v>
      </c>
      <c r="AI183" s="103" t="e">
        <f t="shared" si="58"/>
        <v>#REF!</v>
      </c>
      <c r="AJ183" s="104" t="e">
        <f t="shared" si="59"/>
        <v>#REF!</v>
      </c>
      <c r="AK183" s="104" t="e">
        <f t="shared" si="59"/>
        <v>#REF!</v>
      </c>
    </row>
    <row r="184" spans="1:37" ht="15" customHeight="1">
      <c r="A184" s="97"/>
      <c r="B184" s="106"/>
      <c r="C184" s="99"/>
      <c r="D184" s="100"/>
      <c r="E184" s="102"/>
      <c r="F184" s="102"/>
      <c r="G184" s="18" t="str">
        <f t="shared" si="46"/>
        <v/>
      </c>
      <c r="H184" s="23" t="str">
        <f t="shared" si="47"/>
        <v/>
      </c>
      <c r="I184" s="27"/>
      <c r="J184" s="3"/>
      <c r="K184" s="3"/>
      <c r="L184" s="3"/>
      <c r="M184" s="3"/>
      <c r="N184" s="3"/>
      <c r="O184" s="3"/>
      <c r="P184" s="3"/>
      <c r="Q184" s="3"/>
      <c r="S184" s="103">
        <f t="shared" si="48"/>
        <v>0</v>
      </c>
      <c r="T184" s="103">
        <f t="shared" si="49"/>
        <v>0</v>
      </c>
      <c r="U184" s="104">
        <f t="shared" si="50"/>
        <v>0</v>
      </c>
      <c r="V184" s="104">
        <f t="shared" si="50"/>
        <v>0</v>
      </c>
      <c r="X184" s="103" t="e">
        <f t="shared" si="51"/>
        <v>#REF!</v>
      </c>
      <c r="Y184" s="103" t="e">
        <f t="shared" si="52"/>
        <v>#REF!</v>
      </c>
      <c r="Z184" s="104" t="e">
        <f t="shared" si="53"/>
        <v>#REF!</v>
      </c>
      <c r="AA184" s="104" t="e">
        <f t="shared" si="53"/>
        <v>#REF!</v>
      </c>
      <c r="AC184" s="103" t="e">
        <f t="shared" si="54"/>
        <v>#REF!</v>
      </c>
      <c r="AD184" s="103" t="e">
        <f t="shared" si="55"/>
        <v>#REF!</v>
      </c>
      <c r="AE184" s="104" t="e">
        <f t="shared" si="56"/>
        <v>#REF!</v>
      </c>
      <c r="AF184" s="104" t="e">
        <f t="shared" si="56"/>
        <v>#REF!</v>
      </c>
      <c r="AH184" s="103" t="e">
        <f t="shared" si="57"/>
        <v>#REF!</v>
      </c>
      <c r="AI184" s="103" t="e">
        <f t="shared" si="58"/>
        <v>#REF!</v>
      </c>
      <c r="AJ184" s="104" t="e">
        <f t="shared" si="59"/>
        <v>#REF!</v>
      </c>
      <c r="AK184" s="104" t="e">
        <f t="shared" si="59"/>
        <v>#REF!</v>
      </c>
    </row>
    <row r="185" spans="1:37" ht="15" customHeight="1">
      <c r="A185" s="97"/>
      <c r="B185" s="106"/>
      <c r="C185" s="99"/>
      <c r="D185" s="100"/>
      <c r="E185" s="102"/>
      <c r="F185" s="102"/>
      <c r="G185" s="18" t="str">
        <f t="shared" si="46"/>
        <v/>
      </c>
      <c r="H185" s="23" t="str">
        <f t="shared" si="47"/>
        <v/>
      </c>
      <c r="I185" s="27"/>
      <c r="J185" s="3"/>
      <c r="K185" s="3"/>
      <c r="L185" s="3"/>
      <c r="M185" s="3"/>
      <c r="N185" s="3"/>
      <c r="O185" s="3"/>
      <c r="P185" s="3"/>
      <c r="Q185" s="3"/>
      <c r="S185" s="103">
        <f t="shared" si="48"/>
        <v>0</v>
      </c>
      <c r="T185" s="103">
        <f t="shared" si="49"/>
        <v>0</v>
      </c>
      <c r="U185" s="104">
        <f t="shared" si="50"/>
        <v>0</v>
      </c>
      <c r="V185" s="104">
        <f t="shared" si="50"/>
        <v>0</v>
      </c>
      <c r="X185" s="103" t="e">
        <f t="shared" si="51"/>
        <v>#REF!</v>
      </c>
      <c r="Y185" s="103" t="e">
        <f t="shared" si="52"/>
        <v>#REF!</v>
      </c>
      <c r="Z185" s="104" t="e">
        <f t="shared" si="53"/>
        <v>#REF!</v>
      </c>
      <c r="AA185" s="104" t="e">
        <f t="shared" si="53"/>
        <v>#REF!</v>
      </c>
      <c r="AC185" s="103" t="e">
        <f t="shared" si="54"/>
        <v>#REF!</v>
      </c>
      <c r="AD185" s="103" t="e">
        <f t="shared" si="55"/>
        <v>#REF!</v>
      </c>
      <c r="AE185" s="104" t="e">
        <f t="shared" si="56"/>
        <v>#REF!</v>
      </c>
      <c r="AF185" s="104" t="e">
        <f t="shared" si="56"/>
        <v>#REF!</v>
      </c>
      <c r="AH185" s="103" t="e">
        <f t="shared" si="57"/>
        <v>#REF!</v>
      </c>
      <c r="AI185" s="103" t="e">
        <f t="shared" si="58"/>
        <v>#REF!</v>
      </c>
      <c r="AJ185" s="104" t="e">
        <f t="shared" si="59"/>
        <v>#REF!</v>
      </c>
      <c r="AK185" s="104" t="e">
        <f t="shared" si="59"/>
        <v>#REF!</v>
      </c>
    </row>
    <row r="186" spans="1:37" ht="15" customHeight="1">
      <c r="A186" s="97"/>
      <c r="B186" s="106"/>
      <c r="C186" s="99"/>
      <c r="D186" s="100"/>
      <c r="E186" s="102"/>
      <c r="F186" s="102"/>
      <c r="G186" s="18" t="str">
        <f t="shared" si="46"/>
        <v/>
      </c>
      <c r="H186" s="23" t="str">
        <f t="shared" si="47"/>
        <v/>
      </c>
      <c r="I186" s="27"/>
      <c r="J186" s="3"/>
      <c r="K186" s="3"/>
      <c r="L186" s="3"/>
      <c r="M186" s="3"/>
      <c r="N186" s="3"/>
      <c r="O186" s="3"/>
      <c r="P186" s="3"/>
      <c r="Q186" s="3"/>
      <c r="S186" s="103">
        <f t="shared" si="48"/>
        <v>0</v>
      </c>
      <c r="T186" s="103">
        <f t="shared" si="49"/>
        <v>0</v>
      </c>
      <c r="U186" s="104">
        <f t="shared" si="50"/>
        <v>0</v>
      </c>
      <c r="V186" s="104">
        <f t="shared" si="50"/>
        <v>0</v>
      </c>
      <c r="X186" s="103" t="e">
        <f t="shared" si="51"/>
        <v>#REF!</v>
      </c>
      <c r="Y186" s="103" t="e">
        <f t="shared" si="52"/>
        <v>#REF!</v>
      </c>
      <c r="Z186" s="104" t="e">
        <f t="shared" si="53"/>
        <v>#REF!</v>
      </c>
      <c r="AA186" s="104" t="e">
        <f t="shared" si="53"/>
        <v>#REF!</v>
      </c>
      <c r="AC186" s="103" t="e">
        <f t="shared" si="54"/>
        <v>#REF!</v>
      </c>
      <c r="AD186" s="103" t="e">
        <f t="shared" si="55"/>
        <v>#REF!</v>
      </c>
      <c r="AE186" s="104" t="e">
        <f t="shared" si="56"/>
        <v>#REF!</v>
      </c>
      <c r="AF186" s="104" t="e">
        <f t="shared" si="56"/>
        <v>#REF!</v>
      </c>
      <c r="AH186" s="103" t="e">
        <f t="shared" si="57"/>
        <v>#REF!</v>
      </c>
      <c r="AI186" s="103" t="e">
        <f t="shared" si="58"/>
        <v>#REF!</v>
      </c>
      <c r="AJ186" s="104" t="e">
        <f t="shared" si="59"/>
        <v>#REF!</v>
      </c>
      <c r="AK186" s="104" t="e">
        <f t="shared" si="59"/>
        <v>#REF!</v>
      </c>
    </row>
    <row r="187" spans="1:37" ht="15" customHeight="1">
      <c r="A187" s="97"/>
      <c r="B187" s="106"/>
      <c r="C187" s="99"/>
      <c r="D187" s="100"/>
      <c r="E187" s="102"/>
      <c r="F187" s="102"/>
      <c r="G187" s="18" t="str">
        <f t="shared" si="46"/>
        <v/>
      </c>
      <c r="H187" s="23" t="str">
        <f t="shared" si="47"/>
        <v/>
      </c>
      <c r="I187" s="27"/>
      <c r="J187" s="3"/>
      <c r="K187" s="3"/>
      <c r="L187" s="3"/>
      <c r="M187" s="3"/>
      <c r="N187" s="3"/>
      <c r="O187" s="3"/>
      <c r="P187" s="3"/>
      <c r="Q187" s="3"/>
      <c r="S187" s="103">
        <f t="shared" si="48"/>
        <v>0</v>
      </c>
      <c r="T187" s="103">
        <f t="shared" si="49"/>
        <v>0</v>
      </c>
      <c r="U187" s="104">
        <f t="shared" si="50"/>
        <v>0</v>
      </c>
      <c r="V187" s="104">
        <f t="shared" si="50"/>
        <v>0</v>
      </c>
      <c r="X187" s="103" t="e">
        <f t="shared" si="51"/>
        <v>#REF!</v>
      </c>
      <c r="Y187" s="103" t="e">
        <f t="shared" si="52"/>
        <v>#REF!</v>
      </c>
      <c r="Z187" s="104" t="e">
        <f t="shared" si="53"/>
        <v>#REF!</v>
      </c>
      <c r="AA187" s="104" t="e">
        <f t="shared" si="53"/>
        <v>#REF!</v>
      </c>
      <c r="AC187" s="103" t="e">
        <f t="shared" si="54"/>
        <v>#REF!</v>
      </c>
      <c r="AD187" s="103" t="e">
        <f t="shared" si="55"/>
        <v>#REF!</v>
      </c>
      <c r="AE187" s="104" t="e">
        <f t="shared" si="56"/>
        <v>#REF!</v>
      </c>
      <c r="AF187" s="104" t="e">
        <f t="shared" si="56"/>
        <v>#REF!</v>
      </c>
      <c r="AH187" s="103" t="e">
        <f t="shared" si="57"/>
        <v>#REF!</v>
      </c>
      <c r="AI187" s="103" t="e">
        <f t="shared" si="58"/>
        <v>#REF!</v>
      </c>
      <c r="AJ187" s="104" t="e">
        <f t="shared" si="59"/>
        <v>#REF!</v>
      </c>
      <c r="AK187" s="104" t="e">
        <f t="shared" si="59"/>
        <v>#REF!</v>
      </c>
    </row>
    <row r="188" spans="1:37" ht="15" customHeight="1">
      <c r="A188" s="97"/>
      <c r="B188" s="106"/>
      <c r="C188" s="99"/>
      <c r="D188" s="100"/>
      <c r="E188" s="102"/>
      <c r="F188" s="102"/>
      <c r="G188" s="18" t="str">
        <f t="shared" si="46"/>
        <v/>
      </c>
      <c r="H188" s="23" t="str">
        <f t="shared" si="47"/>
        <v/>
      </c>
      <c r="I188" s="27"/>
      <c r="J188" s="3"/>
      <c r="K188" s="3"/>
      <c r="L188" s="3"/>
      <c r="M188" s="3"/>
      <c r="N188" s="3"/>
      <c r="O188" s="3"/>
      <c r="P188" s="3"/>
      <c r="Q188" s="3"/>
      <c r="S188" s="103">
        <f t="shared" si="48"/>
        <v>0</v>
      </c>
      <c r="T188" s="103">
        <f t="shared" si="49"/>
        <v>0</v>
      </c>
      <c r="U188" s="104">
        <f t="shared" si="50"/>
        <v>0</v>
      </c>
      <c r="V188" s="104">
        <f t="shared" si="50"/>
        <v>0</v>
      </c>
      <c r="X188" s="103" t="e">
        <f t="shared" si="51"/>
        <v>#REF!</v>
      </c>
      <c r="Y188" s="103" t="e">
        <f t="shared" si="52"/>
        <v>#REF!</v>
      </c>
      <c r="Z188" s="104" t="e">
        <f t="shared" si="53"/>
        <v>#REF!</v>
      </c>
      <c r="AA188" s="104" t="e">
        <f t="shared" si="53"/>
        <v>#REF!</v>
      </c>
      <c r="AC188" s="103" t="e">
        <f t="shared" si="54"/>
        <v>#REF!</v>
      </c>
      <c r="AD188" s="103" t="e">
        <f t="shared" si="55"/>
        <v>#REF!</v>
      </c>
      <c r="AE188" s="104" t="e">
        <f t="shared" si="56"/>
        <v>#REF!</v>
      </c>
      <c r="AF188" s="104" t="e">
        <f t="shared" si="56"/>
        <v>#REF!</v>
      </c>
      <c r="AH188" s="103" t="e">
        <f t="shared" si="57"/>
        <v>#REF!</v>
      </c>
      <c r="AI188" s="103" t="e">
        <f t="shared" si="58"/>
        <v>#REF!</v>
      </c>
      <c r="AJ188" s="104" t="e">
        <f t="shared" si="59"/>
        <v>#REF!</v>
      </c>
      <c r="AK188" s="104" t="e">
        <f t="shared" si="59"/>
        <v>#REF!</v>
      </c>
    </row>
    <row r="189" spans="1:37" ht="15" customHeight="1">
      <c r="A189" s="97"/>
      <c r="B189" s="106"/>
      <c r="C189" s="99"/>
      <c r="D189" s="100"/>
      <c r="E189" s="102"/>
      <c r="F189" s="102"/>
      <c r="G189" s="18" t="str">
        <f t="shared" si="46"/>
        <v/>
      </c>
      <c r="H189" s="23" t="str">
        <f t="shared" si="47"/>
        <v/>
      </c>
      <c r="I189" s="27"/>
      <c r="J189" s="3"/>
      <c r="K189" s="3"/>
      <c r="L189" s="3"/>
      <c r="M189" s="3"/>
      <c r="N189" s="3"/>
      <c r="O189" s="3"/>
      <c r="P189" s="3"/>
      <c r="Q189" s="3"/>
      <c r="S189" s="103">
        <f t="shared" si="48"/>
        <v>0</v>
      </c>
      <c r="T189" s="103">
        <f t="shared" si="49"/>
        <v>0</v>
      </c>
      <c r="U189" s="104">
        <f t="shared" si="50"/>
        <v>0</v>
      </c>
      <c r="V189" s="104">
        <f t="shared" si="50"/>
        <v>0</v>
      </c>
      <c r="X189" s="103" t="e">
        <f t="shared" si="51"/>
        <v>#REF!</v>
      </c>
      <c r="Y189" s="103" t="e">
        <f t="shared" si="52"/>
        <v>#REF!</v>
      </c>
      <c r="Z189" s="104" t="e">
        <f t="shared" si="53"/>
        <v>#REF!</v>
      </c>
      <c r="AA189" s="104" t="e">
        <f t="shared" si="53"/>
        <v>#REF!</v>
      </c>
      <c r="AC189" s="103" t="e">
        <f t="shared" si="54"/>
        <v>#REF!</v>
      </c>
      <c r="AD189" s="103" t="e">
        <f t="shared" si="55"/>
        <v>#REF!</v>
      </c>
      <c r="AE189" s="104" t="e">
        <f t="shared" si="56"/>
        <v>#REF!</v>
      </c>
      <c r="AF189" s="104" t="e">
        <f t="shared" si="56"/>
        <v>#REF!</v>
      </c>
      <c r="AH189" s="103" t="e">
        <f t="shared" si="57"/>
        <v>#REF!</v>
      </c>
      <c r="AI189" s="103" t="e">
        <f t="shared" si="58"/>
        <v>#REF!</v>
      </c>
      <c r="AJ189" s="104" t="e">
        <f t="shared" si="59"/>
        <v>#REF!</v>
      </c>
      <c r="AK189" s="104" t="e">
        <f t="shared" si="59"/>
        <v>#REF!</v>
      </c>
    </row>
    <row r="190" spans="1:37" ht="15" customHeight="1">
      <c r="A190" s="97"/>
      <c r="B190" s="106"/>
      <c r="C190" s="99"/>
      <c r="D190" s="100"/>
      <c r="E190" s="102"/>
      <c r="F190" s="102"/>
      <c r="G190" s="18" t="str">
        <f t="shared" si="46"/>
        <v/>
      </c>
      <c r="H190" s="23" t="str">
        <f t="shared" si="47"/>
        <v/>
      </c>
      <c r="I190" s="27"/>
      <c r="J190" s="3"/>
      <c r="K190" s="3"/>
      <c r="L190" s="3"/>
      <c r="M190" s="3"/>
      <c r="N190" s="3"/>
      <c r="O190" s="3"/>
      <c r="P190" s="3"/>
      <c r="Q190" s="3"/>
      <c r="S190" s="103">
        <f t="shared" si="48"/>
        <v>0</v>
      </c>
      <c r="T190" s="103">
        <f t="shared" si="49"/>
        <v>0</v>
      </c>
      <c r="U190" s="104">
        <f t="shared" si="50"/>
        <v>0</v>
      </c>
      <c r="V190" s="104">
        <f t="shared" si="50"/>
        <v>0</v>
      </c>
      <c r="X190" s="103" t="e">
        <f t="shared" si="51"/>
        <v>#REF!</v>
      </c>
      <c r="Y190" s="103" t="e">
        <f t="shared" si="52"/>
        <v>#REF!</v>
      </c>
      <c r="Z190" s="104" t="e">
        <f t="shared" si="53"/>
        <v>#REF!</v>
      </c>
      <c r="AA190" s="104" t="e">
        <f t="shared" si="53"/>
        <v>#REF!</v>
      </c>
      <c r="AC190" s="103" t="e">
        <f t="shared" si="54"/>
        <v>#REF!</v>
      </c>
      <c r="AD190" s="103" t="e">
        <f t="shared" si="55"/>
        <v>#REF!</v>
      </c>
      <c r="AE190" s="104" t="e">
        <f t="shared" si="56"/>
        <v>#REF!</v>
      </c>
      <c r="AF190" s="104" t="e">
        <f t="shared" si="56"/>
        <v>#REF!</v>
      </c>
      <c r="AH190" s="103" t="e">
        <f t="shared" si="57"/>
        <v>#REF!</v>
      </c>
      <c r="AI190" s="103" t="e">
        <f t="shared" si="58"/>
        <v>#REF!</v>
      </c>
      <c r="AJ190" s="104" t="e">
        <f t="shared" si="59"/>
        <v>#REF!</v>
      </c>
      <c r="AK190" s="104" t="e">
        <f t="shared" si="59"/>
        <v>#REF!</v>
      </c>
    </row>
    <row r="191" spans="1:37" ht="15" customHeight="1">
      <c r="A191" s="97"/>
      <c r="B191" s="106"/>
      <c r="C191" s="99"/>
      <c r="D191" s="100"/>
      <c r="E191" s="102"/>
      <c r="F191" s="102"/>
      <c r="G191" s="18" t="str">
        <f t="shared" si="46"/>
        <v/>
      </c>
      <c r="H191" s="23" t="str">
        <f t="shared" si="47"/>
        <v/>
      </c>
      <c r="I191" s="27"/>
      <c r="J191" s="3"/>
      <c r="K191" s="3"/>
      <c r="L191" s="3"/>
      <c r="M191" s="3"/>
      <c r="N191" s="3"/>
      <c r="O191" s="3"/>
      <c r="P191" s="3"/>
      <c r="Q191" s="3"/>
      <c r="S191" s="103">
        <f t="shared" si="48"/>
        <v>0</v>
      </c>
      <c r="T191" s="103">
        <f t="shared" si="49"/>
        <v>0</v>
      </c>
      <c r="U191" s="104">
        <f t="shared" si="50"/>
        <v>0</v>
      </c>
      <c r="V191" s="104">
        <f t="shared" si="50"/>
        <v>0</v>
      </c>
      <c r="X191" s="103" t="e">
        <f t="shared" si="51"/>
        <v>#REF!</v>
      </c>
      <c r="Y191" s="103" t="e">
        <f t="shared" si="52"/>
        <v>#REF!</v>
      </c>
      <c r="Z191" s="104" t="e">
        <f t="shared" si="53"/>
        <v>#REF!</v>
      </c>
      <c r="AA191" s="104" t="e">
        <f t="shared" si="53"/>
        <v>#REF!</v>
      </c>
      <c r="AC191" s="103" t="e">
        <f t="shared" si="54"/>
        <v>#REF!</v>
      </c>
      <c r="AD191" s="103" t="e">
        <f t="shared" si="55"/>
        <v>#REF!</v>
      </c>
      <c r="AE191" s="104" t="e">
        <f t="shared" si="56"/>
        <v>#REF!</v>
      </c>
      <c r="AF191" s="104" t="e">
        <f t="shared" si="56"/>
        <v>#REF!</v>
      </c>
      <c r="AH191" s="103" t="e">
        <f t="shared" si="57"/>
        <v>#REF!</v>
      </c>
      <c r="AI191" s="103" t="e">
        <f t="shared" si="58"/>
        <v>#REF!</v>
      </c>
      <c r="AJ191" s="104" t="e">
        <f t="shared" si="59"/>
        <v>#REF!</v>
      </c>
      <c r="AK191" s="104" t="e">
        <f t="shared" si="59"/>
        <v>#REF!</v>
      </c>
    </row>
    <row r="192" spans="1:37" ht="15" customHeight="1">
      <c r="A192" s="97"/>
      <c r="B192" s="106"/>
      <c r="C192" s="99"/>
      <c r="D192" s="100"/>
      <c r="E192" s="102"/>
      <c r="F192" s="102"/>
      <c r="G192" s="18" t="str">
        <f t="shared" si="46"/>
        <v/>
      </c>
      <c r="H192" s="23" t="str">
        <f t="shared" si="47"/>
        <v/>
      </c>
      <c r="I192" s="27"/>
      <c r="J192" s="3"/>
      <c r="K192" s="3"/>
      <c r="L192" s="3"/>
      <c r="M192" s="3"/>
      <c r="N192" s="3"/>
      <c r="O192" s="3"/>
      <c r="P192" s="3"/>
      <c r="Q192" s="3"/>
      <c r="S192" s="103">
        <f t="shared" si="48"/>
        <v>0</v>
      </c>
      <c r="T192" s="103">
        <f t="shared" si="49"/>
        <v>0</v>
      </c>
      <c r="U192" s="104">
        <f t="shared" si="50"/>
        <v>0</v>
      </c>
      <c r="V192" s="104">
        <f t="shared" si="50"/>
        <v>0</v>
      </c>
      <c r="X192" s="103" t="e">
        <f t="shared" si="51"/>
        <v>#REF!</v>
      </c>
      <c r="Y192" s="103" t="e">
        <f t="shared" si="52"/>
        <v>#REF!</v>
      </c>
      <c r="Z192" s="104" t="e">
        <f t="shared" si="53"/>
        <v>#REF!</v>
      </c>
      <c r="AA192" s="104" t="e">
        <f t="shared" si="53"/>
        <v>#REF!</v>
      </c>
      <c r="AC192" s="103" t="e">
        <f t="shared" si="54"/>
        <v>#REF!</v>
      </c>
      <c r="AD192" s="103" t="e">
        <f t="shared" si="55"/>
        <v>#REF!</v>
      </c>
      <c r="AE192" s="104" t="e">
        <f t="shared" si="56"/>
        <v>#REF!</v>
      </c>
      <c r="AF192" s="104" t="e">
        <f t="shared" si="56"/>
        <v>#REF!</v>
      </c>
      <c r="AH192" s="103" t="e">
        <f t="shared" si="57"/>
        <v>#REF!</v>
      </c>
      <c r="AI192" s="103" t="e">
        <f t="shared" si="58"/>
        <v>#REF!</v>
      </c>
      <c r="AJ192" s="104" t="e">
        <f t="shared" si="59"/>
        <v>#REF!</v>
      </c>
      <c r="AK192" s="104" t="e">
        <f t="shared" si="59"/>
        <v>#REF!</v>
      </c>
    </row>
    <row r="193" spans="1:37" ht="15" customHeight="1">
      <c r="A193" s="107"/>
      <c r="B193" s="108"/>
      <c r="C193" s="99"/>
      <c r="D193" s="100"/>
      <c r="E193" s="102"/>
      <c r="F193" s="102"/>
      <c r="G193" s="18" t="str">
        <f t="shared" si="46"/>
        <v/>
      </c>
      <c r="H193" s="23" t="str">
        <f t="shared" si="47"/>
        <v/>
      </c>
      <c r="I193" s="27"/>
      <c r="J193" s="3"/>
      <c r="K193" s="3"/>
      <c r="L193" s="3"/>
      <c r="M193" s="3"/>
      <c r="N193" s="3"/>
      <c r="O193" s="3"/>
      <c r="P193" s="3"/>
      <c r="Q193" s="3"/>
      <c r="S193" s="103">
        <f t="shared" si="48"/>
        <v>0</v>
      </c>
      <c r="T193" s="103">
        <f t="shared" si="49"/>
        <v>0</v>
      </c>
      <c r="U193" s="104">
        <f t="shared" si="50"/>
        <v>0</v>
      </c>
      <c r="V193" s="104">
        <f t="shared" si="50"/>
        <v>0</v>
      </c>
      <c r="X193" s="103" t="e">
        <f t="shared" si="51"/>
        <v>#REF!</v>
      </c>
      <c r="Y193" s="103" t="e">
        <f t="shared" si="52"/>
        <v>#REF!</v>
      </c>
      <c r="Z193" s="104" t="e">
        <f t="shared" si="53"/>
        <v>#REF!</v>
      </c>
      <c r="AA193" s="104" t="e">
        <f t="shared" si="53"/>
        <v>#REF!</v>
      </c>
      <c r="AC193" s="103" t="e">
        <f t="shared" si="54"/>
        <v>#REF!</v>
      </c>
      <c r="AD193" s="103" t="e">
        <f t="shared" si="55"/>
        <v>#REF!</v>
      </c>
      <c r="AE193" s="104" t="e">
        <f t="shared" si="56"/>
        <v>#REF!</v>
      </c>
      <c r="AF193" s="104" t="e">
        <f t="shared" si="56"/>
        <v>#REF!</v>
      </c>
      <c r="AH193" s="103" t="e">
        <f t="shared" si="57"/>
        <v>#REF!</v>
      </c>
      <c r="AI193" s="103" t="e">
        <f t="shared" si="58"/>
        <v>#REF!</v>
      </c>
      <c r="AJ193" s="104" t="e">
        <f t="shared" si="59"/>
        <v>#REF!</v>
      </c>
      <c r="AK193" s="104" t="e">
        <f t="shared" si="59"/>
        <v>#REF!</v>
      </c>
    </row>
    <row r="194" spans="1:37" ht="15" customHeight="1">
      <c r="A194" s="107"/>
      <c r="B194" s="108"/>
      <c r="C194" s="99"/>
      <c r="D194" s="100"/>
      <c r="E194" s="102"/>
      <c r="F194" s="102"/>
      <c r="G194" s="18" t="str">
        <f t="shared" si="46"/>
        <v/>
      </c>
      <c r="H194" s="23" t="str">
        <f t="shared" si="47"/>
        <v/>
      </c>
      <c r="I194" s="27"/>
      <c r="J194" s="3"/>
      <c r="K194" s="3"/>
      <c r="L194" s="3"/>
      <c r="M194" s="3"/>
      <c r="N194" s="3"/>
      <c r="O194" s="3"/>
      <c r="P194" s="3"/>
      <c r="Q194" s="3"/>
      <c r="S194" s="103">
        <f t="shared" si="48"/>
        <v>0</v>
      </c>
      <c r="T194" s="103">
        <f t="shared" si="49"/>
        <v>0</v>
      </c>
      <c r="U194" s="104">
        <f t="shared" si="50"/>
        <v>0</v>
      </c>
      <c r="V194" s="104">
        <f t="shared" si="50"/>
        <v>0</v>
      </c>
      <c r="X194" s="103" t="e">
        <f t="shared" si="51"/>
        <v>#REF!</v>
      </c>
      <c r="Y194" s="103" t="e">
        <f t="shared" si="52"/>
        <v>#REF!</v>
      </c>
      <c r="Z194" s="104" t="e">
        <f t="shared" si="53"/>
        <v>#REF!</v>
      </c>
      <c r="AA194" s="104" t="e">
        <f t="shared" si="53"/>
        <v>#REF!</v>
      </c>
      <c r="AC194" s="103" t="e">
        <f t="shared" si="54"/>
        <v>#REF!</v>
      </c>
      <c r="AD194" s="103" t="e">
        <f t="shared" si="55"/>
        <v>#REF!</v>
      </c>
      <c r="AE194" s="104" t="e">
        <f t="shared" si="56"/>
        <v>#REF!</v>
      </c>
      <c r="AF194" s="104" t="e">
        <f t="shared" si="56"/>
        <v>#REF!</v>
      </c>
      <c r="AH194" s="103" t="e">
        <f t="shared" si="57"/>
        <v>#REF!</v>
      </c>
      <c r="AI194" s="103" t="e">
        <f t="shared" si="58"/>
        <v>#REF!</v>
      </c>
      <c r="AJ194" s="104" t="e">
        <f t="shared" si="59"/>
        <v>#REF!</v>
      </c>
      <c r="AK194" s="104" t="e">
        <f t="shared" si="59"/>
        <v>#REF!</v>
      </c>
    </row>
    <row r="195" spans="1:37" ht="15" customHeight="1">
      <c r="A195" s="97"/>
      <c r="B195" s="105"/>
      <c r="C195" s="99"/>
      <c r="D195" s="100"/>
      <c r="E195" s="102"/>
      <c r="F195" s="102"/>
      <c r="G195" s="18" t="str">
        <f t="shared" si="46"/>
        <v/>
      </c>
      <c r="H195" s="23" t="str">
        <f t="shared" si="47"/>
        <v/>
      </c>
      <c r="I195" s="26"/>
      <c r="J195" s="3"/>
      <c r="K195" s="3"/>
      <c r="L195" s="3"/>
      <c r="M195" s="3"/>
      <c r="N195" s="3"/>
      <c r="O195" s="3"/>
      <c r="P195" s="3"/>
      <c r="Q195" s="3"/>
      <c r="S195" s="103">
        <f t="shared" si="48"/>
        <v>0</v>
      </c>
      <c r="T195" s="103">
        <f t="shared" si="49"/>
        <v>0</v>
      </c>
      <c r="U195" s="104">
        <f t="shared" si="50"/>
        <v>0</v>
      </c>
      <c r="V195" s="104">
        <f t="shared" si="50"/>
        <v>0</v>
      </c>
      <c r="X195" s="103" t="e">
        <f t="shared" si="51"/>
        <v>#REF!</v>
      </c>
      <c r="Y195" s="103" t="e">
        <f t="shared" si="52"/>
        <v>#REF!</v>
      </c>
      <c r="Z195" s="104" t="e">
        <f t="shared" si="53"/>
        <v>#REF!</v>
      </c>
      <c r="AA195" s="104" t="e">
        <f t="shared" si="53"/>
        <v>#REF!</v>
      </c>
      <c r="AC195" s="103" t="e">
        <f t="shared" si="54"/>
        <v>#REF!</v>
      </c>
      <c r="AD195" s="103" t="e">
        <f t="shared" si="55"/>
        <v>#REF!</v>
      </c>
      <c r="AE195" s="104" t="e">
        <f t="shared" si="56"/>
        <v>#REF!</v>
      </c>
      <c r="AF195" s="104" t="e">
        <f t="shared" si="56"/>
        <v>#REF!</v>
      </c>
      <c r="AH195" s="103" t="e">
        <f t="shared" si="57"/>
        <v>#REF!</v>
      </c>
      <c r="AI195" s="103" t="e">
        <f t="shared" si="58"/>
        <v>#REF!</v>
      </c>
      <c r="AJ195" s="104" t="e">
        <f t="shared" si="59"/>
        <v>#REF!</v>
      </c>
      <c r="AK195" s="104" t="e">
        <f t="shared" si="59"/>
        <v>#REF!</v>
      </c>
    </row>
    <row r="196" spans="1:37" ht="15" customHeight="1">
      <c r="A196" s="97"/>
      <c r="B196" s="106"/>
      <c r="C196" s="99"/>
      <c r="D196" s="100"/>
      <c r="E196" s="102"/>
      <c r="F196" s="102"/>
      <c r="G196" s="18" t="str">
        <f t="shared" si="46"/>
        <v/>
      </c>
      <c r="H196" s="23" t="str">
        <f t="shared" si="47"/>
        <v/>
      </c>
      <c r="I196" s="27"/>
      <c r="J196" s="3"/>
      <c r="K196" s="3"/>
      <c r="L196" s="3"/>
      <c r="M196" s="3"/>
      <c r="N196" s="3"/>
      <c r="O196" s="3"/>
      <c r="P196" s="3"/>
      <c r="Q196" s="3"/>
      <c r="S196" s="103">
        <f t="shared" si="48"/>
        <v>0</v>
      </c>
      <c r="T196" s="103">
        <f t="shared" si="49"/>
        <v>0</v>
      </c>
      <c r="U196" s="104">
        <f t="shared" si="50"/>
        <v>0</v>
      </c>
      <c r="V196" s="104">
        <f t="shared" si="50"/>
        <v>0</v>
      </c>
      <c r="X196" s="103" t="e">
        <f t="shared" si="51"/>
        <v>#REF!</v>
      </c>
      <c r="Y196" s="103" t="e">
        <f t="shared" si="52"/>
        <v>#REF!</v>
      </c>
      <c r="Z196" s="104" t="e">
        <f t="shared" si="53"/>
        <v>#REF!</v>
      </c>
      <c r="AA196" s="104" t="e">
        <f t="shared" si="53"/>
        <v>#REF!</v>
      </c>
      <c r="AC196" s="103" t="e">
        <f t="shared" si="54"/>
        <v>#REF!</v>
      </c>
      <c r="AD196" s="103" t="e">
        <f t="shared" si="55"/>
        <v>#REF!</v>
      </c>
      <c r="AE196" s="104" t="e">
        <f t="shared" si="56"/>
        <v>#REF!</v>
      </c>
      <c r="AF196" s="104" t="e">
        <f t="shared" si="56"/>
        <v>#REF!</v>
      </c>
      <c r="AH196" s="103" t="e">
        <f t="shared" si="57"/>
        <v>#REF!</v>
      </c>
      <c r="AI196" s="103" t="e">
        <f t="shared" si="58"/>
        <v>#REF!</v>
      </c>
      <c r="AJ196" s="104" t="e">
        <f t="shared" si="59"/>
        <v>#REF!</v>
      </c>
      <c r="AK196" s="104" t="e">
        <f t="shared" si="59"/>
        <v>#REF!</v>
      </c>
    </row>
    <row r="197" spans="1:37" ht="15" customHeight="1">
      <c r="A197" s="97"/>
      <c r="B197" s="105"/>
      <c r="C197" s="99"/>
      <c r="D197" s="100"/>
      <c r="E197" s="102"/>
      <c r="F197" s="102"/>
      <c r="G197" s="18" t="str">
        <f t="shared" si="46"/>
        <v/>
      </c>
      <c r="H197" s="23" t="str">
        <f t="shared" si="47"/>
        <v/>
      </c>
      <c r="I197" s="27"/>
      <c r="J197" s="3"/>
      <c r="K197" s="3"/>
      <c r="L197" s="3"/>
      <c r="M197" s="3"/>
      <c r="N197" s="3"/>
      <c r="O197" s="3"/>
      <c r="P197" s="3"/>
      <c r="Q197" s="3"/>
      <c r="S197" s="103">
        <f t="shared" si="48"/>
        <v>0</v>
      </c>
      <c r="T197" s="103">
        <f t="shared" si="49"/>
        <v>0</v>
      </c>
      <c r="U197" s="104">
        <f t="shared" si="50"/>
        <v>0</v>
      </c>
      <c r="V197" s="104">
        <f t="shared" si="50"/>
        <v>0</v>
      </c>
      <c r="X197" s="103" t="e">
        <f t="shared" si="51"/>
        <v>#REF!</v>
      </c>
      <c r="Y197" s="103" t="e">
        <f t="shared" si="52"/>
        <v>#REF!</v>
      </c>
      <c r="Z197" s="104" t="e">
        <f t="shared" si="53"/>
        <v>#REF!</v>
      </c>
      <c r="AA197" s="104" t="e">
        <f t="shared" si="53"/>
        <v>#REF!</v>
      </c>
      <c r="AC197" s="103" t="e">
        <f t="shared" si="54"/>
        <v>#REF!</v>
      </c>
      <c r="AD197" s="103" t="e">
        <f t="shared" si="55"/>
        <v>#REF!</v>
      </c>
      <c r="AE197" s="104" t="e">
        <f t="shared" si="56"/>
        <v>#REF!</v>
      </c>
      <c r="AF197" s="104" t="e">
        <f t="shared" si="56"/>
        <v>#REF!</v>
      </c>
      <c r="AH197" s="103" t="e">
        <f t="shared" si="57"/>
        <v>#REF!</v>
      </c>
      <c r="AI197" s="103" t="e">
        <f t="shared" si="58"/>
        <v>#REF!</v>
      </c>
      <c r="AJ197" s="104" t="e">
        <f t="shared" si="59"/>
        <v>#REF!</v>
      </c>
      <c r="AK197" s="104" t="e">
        <f t="shared" si="59"/>
        <v>#REF!</v>
      </c>
    </row>
    <row r="198" spans="1:37" ht="15" customHeight="1">
      <c r="A198" s="97"/>
      <c r="B198" s="105"/>
      <c r="C198" s="99"/>
      <c r="D198" s="100"/>
      <c r="E198" s="102"/>
      <c r="F198" s="102"/>
      <c r="G198" s="18" t="str">
        <f t="shared" si="46"/>
        <v/>
      </c>
      <c r="H198" s="23" t="str">
        <f t="shared" si="47"/>
        <v/>
      </c>
      <c r="I198" s="27"/>
      <c r="J198" s="3"/>
      <c r="K198" s="3"/>
      <c r="L198" s="3"/>
      <c r="M198" s="3"/>
      <c r="N198" s="3"/>
      <c r="O198" s="3"/>
      <c r="P198" s="3"/>
      <c r="Q198" s="3"/>
      <c r="S198" s="103">
        <f t="shared" si="48"/>
        <v>0</v>
      </c>
      <c r="T198" s="103">
        <f t="shared" si="49"/>
        <v>0</v>
      </c>
      <c r="U198" s="104">
        <f t="shared" si="50"/>
        <v>0</v>
      </c>
      <c r="V198" s="104">
        <f t="shared" si="50"/>
        <v>0</v>
      </c>
      <c r="X198" s="103" t="e">
        <f t="shared" si="51"/>
        <v>#REF!</v>
      </c>
      <c r="Y198" s="103" t="e">
        <f t="shared" si="52"/>
        <v>#REF!</v>
      </c>
      <c r="Z198" s="104" t="e">
        <f t="shared" si="53"/>
        <v>#REF!</v>
      </c>
      <c r="AA198" s="104" t="e">
        <f t="shared" si="53"/>
        <v>#REF!</v>
      </c>
      <c r="AC198" s="103" t="e">
        <f t="shared" si="54"/>
        <v>#REF!</v>
      </c>
      <c r="AD198" s="103" t="e">
        <f t="shared" si="55"/>
        <v>#REF!</v>
      </c>
      <c r="AE198" s="104" t="e">
        <f t="shared" si="56"/>
        <v>#REF!</v>
      </c>
      <c r="AF198" s="104" t="e">
        <f t="shared" si="56"/>
        <v>#REF!</v>
      </c>
      <c r="AH198" s="103" t="e">
        <f t="shared" si="57"/>
        <v>#REF!</v>
      </c>
      <c r="AI198" s="103" t="e">
        <f t="shared" si="58"/>
        <v>#REF!</v>
      </c>
      <c r="AJ198" s="104" t="e">
        <f t="shared" si="59"/>
        <v>#REF!</v>
      </c>
      <c r="AK198" s="104" t="e">
        <f t="shared" si="59"/>
        <v>#REF!</v>
      </c>
    </row>
    <row r="199" spans="1:37" ht="15" customHeight="1">
      <c r="A199" s="97"/>
      <c r="B199" s="105"/>
      <c r="C199" s="99"/>
      <c r="D199" s="100"/>
      <c r="E199" s="102"/>
      <c r="F199" s="102"/>
      <c r="G199" s="18" t="str">
        <f t="shared" si="46"/>
        <v/>
      </c>
      <c r="H199" s="23" t="str">
        <f t="shared" si="47"/>
        <v/>
      </c>
      <c r="I199" s="27"/>
      <c r="J199" s="3"/>
      <c r="K199" s="3"/>
      <c r="L199" s="3"/>
      <c r="M199" s="3"/>
      <c r="N199" s="3"/>
      <c r="O199" s="3"/>
      <c r="P199" s="3"/>
      <c r="Q199" s="3"/>
      <c r="S199" s="103">
        <f t="shared" si="48"/>
        <v>0</v>
      </c>
      <c r="T199" s="103">
        <f t="shared" si="49"/>
        <v>0</v>
      </c>
      <c r="U199" s="104">
        <f t="shared" si="50"/>
        <v>0</v>
      </c>
      <c r="V199" s="104">
        <f t="shared" si="50"/>
        <v>0</v>
      </c>
      <c r="X199" s="103" t="e">
        <f t="shared" si="51"/>
        <v>#REF!</v>
      </c>
      <c r="Y199" s="103" t="e">
        <f t="shared" si="52"/>
        <v>#REF!</v>
      </c>
      <c r="Z199" s="104" t="e">
        <f t="shared" si="53"/>
        <v>#REF!</v>
      </c>
      <c r="AA199" s="104" t="e">
        <f t="shared" si="53"/>
        <v>#REF!</v>
      </c>
      <c r="AC199" s="103" t="e">
        <f t="shared" si="54"/>
        <v>#REF!</v>
      </c>
      <c r="AD199" s="103" t="e">
        <f t="shared" si="55"/>
        <v>#REF!</v>
      </c>
      <c r="AE199" s="104" t="e">
        <f t="shared" si="56"/>
        <v>#REF!</v>
      </c>
      <c r="AF199" s="104" t="e">
        <f t="shared" si="56"/>
        <v>#REF!</v>
      </c>
      <c r="AH199" s="103" t="e">
        <f t="shared" si="57"/>
        <v>#REF!</v>
      </c>
      <c r="AI199" s="103" t="e">
        <f t="shared" si="58"/>
        <v>#REF!</v>
      </c>
      <c r="AJ199" s="104" t="e">
        <f t="shared" si="59"/>
        <v>#REF!</v>
      </c>
      <c r="AK199" s="104" t="e">
        <f t="shared" si="59"/>
        <v>#REF!</v>
      </c>
    </row>
    <row r="200" spans="1:37" ht="15" customHeight="1">
      <c r="A200" s="97"/>
      <c r="B200" s="105"/>
      <c r="C200" s="99"/>
      <c r="D200" s="100"/>
      <c r="E200" s="102"/>
      <c r="F200" s="102"/>
      <c r="G200" s="18" t="str">
        <f t="shared" si="46"/>
        <v/>
      </c>
      <c r="H200" s="23" t="str">
        <f t="shared" si="47"/>
        <v/>
      </c>
      <c r="I200" s="27"/>
      <c r="J200" s="3"/>
      <c r="K200" s="3"/>
      <c r="L200" s="3"/>
      <c r="M200" s="3"/>
      <c r="N200" s="3"/>
      <c r="O200" s="3"/>
      <c r="P200" s="3"/>
      <c r="Q200" s="3"/>
      <c r="S200" s="103">
        <f t="shared" si="48"/>
        <v>0</v>
      </c>
      <c r="T200" s="103">
        <f t="shared" si="49"/>
        <v>0</v>
      </c>
      <c r="U200" s="104">
        <f t="shared" si="50"/>
        <v>0</v>
      </c>
      <c r="V200" s="104">
        <f t="shared" si="50"/>
        <v>0</v>
      </c>
      <c r="X200" s="103" t="e">
        <f t="shared" si="51"/>
        <v>#REF!</v>
      </c>
      <c r="Y200" s="103" t="e">
        <f t="shared" si="52"/>
        <v>#REF!</v>
      </c>
      <c r="Z200" s="104" t="e">
        <f t="shared" si="53"/>
        <v>#REF!</v>
      </c>
      <c r="AA200" s="104" t="e">
        <f t="shared" si="53"/>
        <v>#REF!</v>
      </c>
      <c r="AC200" s="103" t="e">
        <f t="shared" si="54"/>
        <v>#REF!</v>
      </c>
      <c r="AD200" s="103" t="e">
        <f t="shared" si="55"/>
        <v>#REF!</v>
      </c>
      <c r="AE200" s="104" t="e">
        <f t="shared" si="56"/>
        <v>#REF!</v>
      </c>
      <c r="AF200" s="104" t="e">
        <f t="shared" si="56"/>
        <v>#REF!</v>
      </c>
      <c r="AH200" s="103" t="e">
        <f t="shared" si="57"/>
        <v>#REF!</v>
      </c>
      <c r="AI200" s="103" t="e">
        <f t="shared" si="58"/>
        <v>#REF!</v>
      </c>
      <c r="AJ200" s="104" t="e">
        <f t="shared" si="59"/>
        <v>#REF!</v>
      </c>
      <c r="AK200" s="104" t="e">
        <f t="shared" si="59"/>
        <v>#REF!</v>
      </c>
    </row>
    <row r="201" spans="1:37" ht="15" customHeight="1">
      <c r="A201" s="97"/>
      <c r="B201" s="106"/>
      <c r="C201" s="99"/>
      <c r="D201" s="100"/>
      <c r="E201" s="102"/>
      <c r="F201" s="102"/>
      <c r="G201" s="18" t="str">
        <f t="shared" si="46"/>
        <v/>
      </c>
      <c r="H201" s="23" t="str">
        <f t="shared" si="47"/>
        <v/>
      </c>
      <c r="I201" s="27"/>
      <c r="J201" s="3"/>
      <c r="K201" s="3"/>
      <c r="L201" s="3"/>
      <c r="M201" s="3"/>
      <c r="N201" s="3"/>
      <c r="O201" s="3"/>
      <c r="P201" s="3"/>
      <c r="Q201" s="3"/>
      <c r="S201" s="103">
        <f t="shared" si="48"/>
        <v>0</v>
      </c>
      <c r="T201" s="103">
        <f t="shared" si="49"/>
        <v>0</v>
      </c>
      <c r="U201" s="104">
        <f t="shared" si="50"/>
        <v>0</v>
      </c>
      <c r="V201" s="104">
        <f t="shared" si="50"/>
        <v>0</v>
      </c>
      <c r="X201" s="103" t="e">
        <f t="shared" si="51"/>
        <v>#REF!</v>
      </c>
      <c r="Y201" s="103" t="e">
        <f t="shared" si="52"/>
        <v>#REF!</v>
      </c>
      <c r="Z201" s="104" t="e">
        <f t="shared" si="53"/>
        <v>#REF!</v>
      </c>
      <c r="AA201" s="104" t="e">
        <f t="shared" si="53"/>
        <v>#REF!</v>
      </c>
      <c r="AC201" s="103" t="e">
        <f t="shared" si="54"/>
        <v>#REF!</v>
      </c>
      <c r="AD201" s="103" t="e">
        <f t="shared" si="55"/>
        <v>#REF!</v>
      </c>
      <c r="AE201" s="104" t="e">
        <f t="shared" si="56"/>
        <v>#REF!</v>
      </c>
      <c r="AF201" s="104" t="e">
        <f t="shared" si="56"/>
        <v>#REF!</v>
      </c>
      <c r="AH201" s="103" t="e">
        <f t="shared" si="57"/>
        <v>#REF!</v>
      </c>
      <c r="AI201" s="103" t="e">
        <f t="shared" si="58"/>
        <v>#REF!</v>
      </c>
      <c r="AJ201" s="104" t="e">
        <f t="shared" si="59"/>
        <v>#REF!</v>
      </c>
      <c r="AK201" s="104" t="e">
        <f t="shared" si="59"/>
        <v>#REF!</v>
      </c>
    </row>
    <row r="202" spans="1:37" ht="15" customHeight="1">
      <c r="A202" s="107"/>
      <c r="B202" s="108"/>
      <c r="C202" s="99"/>
      <c r="D202" s="100"/>
      <c r="E202" s="102"/>
      <c r="F202" s="102"/>
      <c r="G202" s="18" t="str">
        <f t="shared" si="46"/>
        <v/>
      </c>
      <c r="H202" s="23" t="str">
        <f t="shared" si="47"/>
        <v/>
      </c>
      <c r="I202" s="27"/>
      <c r="J202" s="3"/>
      <c r="K202" s="3"/>
      <c r="L202" s="3"/>
      <c r="M202" s="3"/>
      <c r="N202" s="3"/>
      <c r="O202" s="3"/>
      <c r="P202" s="3"/>
      <c r="Q202" s="3"/>
      <c r="S202" s="103">
        <f t="shared" si="48"/>
        <v>0</v>
      </c>
      <c r="T202" s="103">
        <f t="shared" si="49"/>
        <v>0</v>
      </c>
      <c r="U202" s="104">
        <f t="shared" si="50"/>
        <v>0</v>
      </c>
      <c r="V202" s="104">
        <f t="shared" si="50"/>
        <v>0</v>
      </c>
      <c r="X202" s="103" t="e">
        <f t="shared" si="51"/>
        <v>#REF!</v>
      </c>
      <c r="Y202" s="103" t="e">
        <f t="shared" si="52"/>
        <v>#REF!</v>
      </c>
      <c r="Z202" s="104" t="e">
        <f t="shared" si="53"/>
        <v>#REF!</v>
      </c>
      <c r="AA202" s="104" t="e">
        <f t="shared" si="53"/>
        <v>#REF!</v>
      </c>
      <c r="AC202" s="103" t="e">
        <f t="shared" si="54"/>
        <v>#REF!</v>
      </c>
      <c r="AD202" s="103" t="e">
        <f t="shared" si="55"/>
        <v>#REF!</v>
      </c>
      <c r="AE202" s="104" t="e">
        <f t="shared" si="56"/>
        <v>#REF!</v>
      </c>
      <c r="AF202" s="104" t="e">
        <f t="shared" si="56"/>
        <v>#REF!</v>
      </c>
      <c r="AH202" s="103" t="e">
        <f t="shared" si="57"/>
        <v>#REF!</v>
      </c>
      <c r="AI202" s="103" t="e">
        <f t="shared" si="58"/>
        <v>#REF!</v>
      </c>
      <c r="AJ202" s="104" t="e">
        <f t="shared" si="59"/>
        <v>#REF!</v>
      </c>
      <c r="AK202" s="104" t="e">
        <f t="shared" si="59"/>
        <v>#REF!</v>
      </c>
    </row>
    <row r="203" spans="1:37" ht="15" customHeight="1">
      <c r="A203" s="107"/>
      <c r="B203" s="108"/>
      <c r="C203" s="99"/>
      <c r="D203" s="100"/>
      <c r="E203" s="102"/>
      <c r="F203" s="102"/>
      <c r="G203" s="18" t="str">
        <f t="shared" si="46"/>
        <v/>
      </c>
      <c r="H203" s="23" t="str">
        <f t="shared" si="47"/>
        <v/>
      </c>
      <c r="I203" s="27"/>
      <c r="J203" s="3"/>
      <c r="K203" s="3"/>
      <c r="L203" s="3"/>
      <c r="M203" s="3"/>
      <c r="N203" s="3"/>
      <c r="O203" s="3"/>
      <c r="P203" s="3"/>
      <c r="Q203" s="3"/>
      <c r="S203" s="103">
        <f t="shared" si="48"/>
        <v>0</v>
      </c>
      <c r="T203" s="103">
        <f t="shared" si="49"/>
        <v>0</v>
      </c>
      <c r="U203" s="104">
        <f t="shared" si="50"/>
        <v>0</v>
      </c>
      <c r="V203" s="104">
        <f t="shared" si="50"/>
        <v>0</v>
      </c>
      <c r="X203" s="103" t="e">
        <f t="shared" si="51"/>
        <v>#REF!</v>
      </c>
      <c r="Y203" s="103" t="e">
        <f t="shared" si="52"/>
        <v>#REF!</v>
      </c>
      <c r="Z203" s="104" t="e">
        <f t="shared" si="53"/>
        <v>#REF!</v>
      </c>
      <c r="AA203" s="104" t="e">
        <f t="shared" si="53"/>
        <v>#REF!</v>
      </c>
      <c r="AC203" s="103" t="e">
        <f t="shared" si="54"/>
        <v>#REF!</v>
      </c>
      <c r="AD203" s="103" t="e">
        <f t="shared" si="55"/>
        <v>#REF!</v>
      </c>
      <c r="AE203" s="104" t="e">
        <f t="shared" si="56"/>
        <v>#REF!</v>
      </c>
      <c r="AF203" s="104" t="e">
        <f t="shared" si="56"/>
        <v>#REF!</v>
      </c>
      <c r="AH203" s="103" t="e">
        <f t="shared" si="57"/>
        <v>#REF!</v>
      </c>
      <c r="AI203" s="103" t="e">
        <f t="shared" si="58"/>
        <v>#REF!</v>
      </c>
      <c r="AJ203" s="104" t="e">
        <f t="shared" si="59"/>
        <v>#REF!</v>
      </c>
      <c r="AK203" s="104" t="e">
        <f t="shared" si="59"/>
        <v>#REF!</v>
      </c>
    </row>
    <row r="204" spans="1:37" ht="15" customHeight="1">
      <c r="A204" s="107"/>
      <c r="B204" s="108"/>
      <c r="C204" s="99"/>
      <c r="D204" s="100"/>
      <c r="E204" s="102"/>
      <c r="F204" s="102"/>
      <c r="G204" s="18" t="str">
        <f t="shared" si="46"/>
        <v/>
      </c>
      <c r="H204" s="23" t="str">
        <f t="shared" si="47"/>
        <v/>
      </c>
      <c r="I204" s="27"/>
      <c r="J204" s="3"/>
      <c r="K204" s="3"/>
      <c r="L204" s="3"/>
      <c r="M204" s="3"/>
      <c r="N204" s="3"/>
      <c r="O204" s="3"/>
      <c r="P204" s="3"/>
      <c r="Q204" s="3"/>
      <c r="S204" s="103">
        <f t="shared" si="48"/>
        <v>0</v>
      </c>
      <c r="T204" s="103">
        <f t="shared" si="49"/>
        <v>0</v>
      </c>
      <c r="U204" s="104">
        <f t="shared" si="50"/>
        <v>0</v>
      </c>
      <c r="V204" s="104">
        <f t="shared" si="50"/>
        <v>0</v>
      </c>
      <c r="X204" s="103" t="e">
        <f t="shared" si="51"/>
        <v>#REF!</v>
      </c>
      <c r="Y204" s="103" t="e">
        <f t="shared" si="52"/>
        <v>#REF!</v>
      </c>
      <c r="Z204" s="104" t="e">
        <f t="shared" si="53"/>
        <v>#REF!</v>
      </c>
      <c r="AA204" s="104" t="e">
        <f t="shared" si="53"/>
        <v>#REF!</v>
      </c>
      <c r="AC204" s="103" t="e">
        <f t="shared" si="54"/>
        <v>#REF!</v>
      </c>
      <c r="AD204" s="103" t="e">
        <f t="shared" si="55"/>
        <v>#REF!</v>
      </c>
      <c r="AE204" s="104" t="e">
        <f t="shared" si="56"/>
        <v>#REF!</v>
      </c>
      <c r="AF204" s="104" t="e">
        <f t="shared" si="56"/>
        <v>#REF!</v>
      </c>
      <c r="AH204" s="103" t="e">
        <f t="shared" si="57"/>
        <v>#REF!</v>
      </c>
      <c r="AI204" s="103" t="e">
        <f t="shared" si="58"/>
        <v>#REF!</v>
      </c>
      <c r="AJ204" s="104" t="e">
        <f t="shared" si="59"/>
        <v>#REF!</v>
      </c>
      <c r="AK204" s="104" t="e">
        <f t="shared" si="59"/>
        <v>#REF!</v>
      </c>
    </row>
    <row r="205" spans="1:37" ht="15" customHeight="1">
      <c r="A205" s="107"/>
      <c r="B205" s="108"/>
      <c r="C205" s="99"/>
      <c r="D205" s="100"/>
      <c r="E205" s="102"/>
      <c r="F205" s="102"/>
      <c r="G205" s="18" t="str">
        <f t="shared" si="46"/>
        <v/>
      </c>
      <c r="H205" s="23" t="str">
        <f t="shared" si="47"/>
        <v/>
      </c>
      <c r="I205" s="27"/>
      <c r="J205" s="3"/>
      <c r="K205" s="3"/>
      <c r="L205" s="3"/>
      <c r="M205" s="3"/>
      <c r="N205" s="3"/>
      <c r="O205" s="3"/>
      <c r="P205" s="3"/>
      <c r="Q205" s="3"/>
      <c r="S205" s="103">
        <f t="shared" si="48"/>
        <v>0</v>
      </c>
      <c r="T205" s="103">
        <f t="shared" si="49"/>
        <v>0</v>
      </c>
      <c r="U205" s="104">
        <f t="shared" si="50"/>
        <v>0</v>
      </c>
      <c r="V205" s="104">
        <f t="shared" si="50"/>
        <v>0</v>
      </c>
      <c r="X205" s="103" t="e">
        <f t="shared" si="51"/>
        <v>#REF!</v>
      </c>
      <c r="Y205" s="103" t="e">
        <f t="shared" si="52"/>
        <v>#REF!</v>
      </c>
      <c r="Z205" s="104" t="e">
        <f t="shared" si="53"/>
        <v>#REF!</v>
      </c>
      <c r="AA205" s="104" t="e">
        <f t="shared" si="53"/>
        <v>#REF!</v>
      </c>
      <c r="AC205" s="103" t="e">
        <f t="shared" si="54"/>
        <v>#REF!</v>
      </c>
      <c r="AD205" s="103" t="e">
        <f t="shared" si="55"/>
        <v>#REF!</v>
      </c>
      <c r="AE205" s="104" t="e">
        <f t="shared" si="56"/>
        <v>#REF!</v>
      </c>
      <c r="AF205" s="104" t="e">
        <f t="shared" si="56"/>
        <v>#REF!</v>
      </c>
      <c r="AH205" s="103" t="e">
        <f t="shared" si="57"/>
        <v>#REF!</v>
      </c>
      <c r="AI205" s="103" t="e">
        <f t="shared" si="58"/>
        <v>#REF!</v>
      </c>
      <c r="AJ205" s="104" t="e">
        <f t="shared" si="59"/>
        <v>#REF!</v>
      </c>
      <c r="AK205" s="104" t="e">
        <f t="shared" si="59"/>
        <v>#REF!</v>
      </c>
    </row>
    <row r="206" spans="1:37" ht="15" customHeight="1">
      <c r="A206" s="107"/>
      <c r="B206" s="108"/>
      <c r="C206" s="99"/>
      <c r="D206" s="100"/>
      <c r="E206" s="102"/>
      <c r="F206" s="102"/>
      <c r="G206" s="18" t="str">
        <f t="shared" si="46"/>
        <v/>
      </c>
      <c r="H206" s="23" t="str">
        <f t="shared" si="47"/>
        <v/>
      </c>
      <c r="I206" s="27"/>
      <c r="J206" s="3"/>
      <c r="K206" s="3"/>
      <c r="L206" s="3"/>
      <c r="M206" s="3"/>
      <c r="N206" s="3"/>
      <c r="O206" s="3"/>
      <c r="P206" s="3"/>
      <c r="Q206" s="3"/>
      <c r="S206" s="103">
        <f t="shared" si="48"/>
        <v>0</v>
      </c>
      <c r="T206" s="103">
        <f t="shared" si="49"/>
        <v>0</v>
      </c>
      <c r="U206" s="104">
        <f t="shared" si="50"/>
        <v>0</v>
      </c>
      <c r="V206" s="104">
        <f t="shared" si="50"/>
        <v>0</v>
      </c>
      <c r="X206" s="103" t="e">
        <f t="shared" si="51"/>
        <v>#REF!</v>
      </c>
      <c r="Y206" s="103" t="e">
        <f t="shared" si="52"/>
        <v>#REF!</v>
      </c>
      <c r="Z206" s="104" t="e">
        <f t="shared" si="53"/>
        <v>#REF!</v>
      </c>
      <c r="AA206" s="104" t="e">
        <f t="shared" si="53"/>
        <v>#REF!</v>
      </c>
      <c r="AC206" s="103" t="e">
        <f t="shared" si="54"/>
        <v>#REF!</v>
      </c>
      <c r="AD206" s="103" t="e">
        <f t="shared" si="55"/>
        <v>#REF!</v>
      </c>
      <c r="AE206" s="104" t="e">
        <f t="shared" si="56"/>
        <v>#REF!</v>
      </c>
      <c r="AF206" s="104" t="e">
        <f t="shared" si="56"/>
        <v>#REF!</v>
      </c>
      <c r="AH206" s="103" t="e">
        <f t="shared" si="57"/>
        <v>#REF!</v>
      </c>
      <c r="AI206" s="103" t="e">
        <f t="shared" si="58"/>
        <v>#REF!</v>
      </c>
      <c r="AJ206" s="104" t="e">
        <f t="shared" si="59"/>
        <v>#REF!</v>
      </c>
      <c r="AK206" s="104" t="e">
        <f t="shared" si="59"/>
        <v>#REF!</v>
      </c>
    </row>
    <row r="207" spans="1:37" ht="15" customHeight="1">
      <c r="A207" s="107"/>
      <c r="B207" s="108"/>
      <c r="C207" s="99"/>
      <c r="D207" s="100"/>
      <c r="E207" s="102"/>
      <c r="F207" s="102"/>
      <c r="G207" s="18" t="str">
        <f t="shared" si="46"/>
        <v/>
      </c>
      <c r="H207" s="23" t="str">
        <f t="shared" si="47"/>
        <v/>
      </c>
      <c r="I207" s="27"/>
      <c r="J207" s="3"/>
      <c r="K207" s="3"/>
      <c r="L207" s="3"/>
      <c r="M207" s="3"/>
      <c r="N207" s="3"/>
      <c r="O207" s="3"/>
      <c r="P207" s="3"/>
      <c r="Q207" s="3"/>
      <c r="S207" s="103">
        <f t="shared" si="48"/>
        <v>0</v>
      </c>
      <c r="T207" s="103">
        <f t="shared" si="49"/>
        <v>0</v>
      </c>
      <c r="U207" s="104">
        <f t="shared" si="50"/>
        <v>0</v>
      </c>
      <c r="V207" s="104">
        <f t="shared" si="50"/>
        <v>0</v>
      </c>
      <c r="X207" s="103" t="e">
        <f t="shared" si="51"/>
        <v>#REF!</v>
      </c>
      <c r="Y207" s="103" t="e">
        <f t="shared" si="52"/>
        <v>#REF!</v>
      </c>
      <c r="Z207" s="104" t="e">
        <f t="shared" si="53"/>
        <v>#REF!</v>
      </c>
      <c r="AA207" s="104" t="e">
        <f t="shared" si="53"/>
        <v>#REF!</v>
      </c>
      <c r="AC207" s="103" t="e">
        <f t="shared" si="54"/>
        <v>#REF!</v>
      </c>
      <c r="AD207" s="103" t="e">
        <f t="shared" si="55"/>
        <v>#REF!</v>
      </c>
      <c r="AE207" s="104" t="e">
        <f t="shared" si="56"/>
        <v>#REF!</v>
      </c>
      <c r="AF207" s="104" t="e">
        <f t="shared" si="56"/>
        <v>#REF!</v>
      </c>
      <c r="AH207" s="103" t="e">
        <f t="shared" si="57"/>
        <v>#REF!</v>
      </c>
      <c r="AI207" s="103" t="e">
        <f t="shared" si="58"/>
        <v>#REF!</v>
      </c>
      <c r="AJ207" s="104" t="e">
        <f t="shared" si="59"/>
        <v>#REF!</v>
      </c>
      <c r="AK207" s="104" t="e">
        <f t="shared" si="59"/>
        <v>#REF!</v>
      </c>
    </row>
    <row r="208" spans="1:37" ht="15" customHeight="1">
      <c r="A208" s="107"/>
      <c r="B208" s="108"/>
      <c r="C208" s="99"/>
      <c r="D208" s="100"/>
      <c r="E208" s="102"/>
      <c r="F208" s="102"/>
      <c r="G208" s="18" t="str">
        <f t="shared" si="46"/>
        <v/>
      </c>
      <c r="H208" s="23" t="str">
        <f t="shared" si="47"/>
        <v/>
      </c>
      <c r="I208" s="27"/>
      <c r="J208" s="3"/>
      <c r="K208" s="3"/>
      <c r="L208" s="3"/>
      <c r="M208" s="3"/>
      <c r="N208" s="3"/>
      <c r="O208" s="3"/>
      <c r="P208" s="3"/>
      <c r="Q208" s="3"/>
      <c r="S208" s="103">
        <f t="shared" si="48"/>
        <v>0</v>
      </c>
      <c r="T208" s="103">
        <f t="shared" si="49"/>
        <v>0</v>
      </c>
      <c r="U208" s="104">
        <f t="shared" si="50"/>
        <v>0</v>
      </c>
      <c r="V208" s="104">
        <f t="shared" si="50"/>
        <v>0</v>
      </c>
      <c r="X208" s="103" t="e">
        <f t="shared" si="51"/>
        <v>#REF!</v>
      </c>
      <c r="Y208" s="103" t="e">
        <f t="shared" si="52"/>
        <v>#REF!</v>
      </c>
      <c r="Z208" s="104" t="e">
        <f t="shared" si="53"/>
        <v>#REF!</v>
      </c>
      <c r="AA208" s="104" t="e">
        <f t="shared" si="53"/>
        <v>#REF!</v>
      </c>
      <c r="AC208" s="103" t="e">
        <f t="shared" si="54"/>
        <v>#REF!</v>
      </c>
      <c r="AD208" s="103" t="e">
        <f t="shared" si="55"/>
        <v>#REF!</v>
      </c>
      <c r="AE208" s="104" t="e">
        <f t="shared" si="56"/>
        <v>#REF!</v>
      </c>
      <c r="AF208" s="104" t="e">
        <f t="shared" si="56"/>
        <v>#REF!</v>
      </c>
      <c r="AH208" s="103" t="e">
        <f t="shared" si="57"/>
        <v>#REF!</v>
      </c>
      <c r="AI208" s="103" t="e">
        <f t="shared" si="58"/>
        <v>#REF!</v>
      </c>
      <c r="AJ208" s="104" t="e">
        <f t="shared" si="59"/>
        <v>#REF!</v>
      </c>
      <c r="AK208" s="104" t="e">
        <f t="shared" si="59"/>
        <v>#REF!</v>
      </c>
    </row>
    <row r="209" spans="1:898 1130:1961 2134:3033 3315:3315" ht="15" customHeight="1">
      <c r="A209" s="107"/>
      <c r="B209" s="108"/>
      <c r="C209" s="99"/>
      <c r="D209" s="100"/>
      <c r="E209" s="102"/>
      <c r="F209" s="102"/>
      <c r="G209" s="18" t="str">
        <f t="shared" si="46"/>
        <v/>
      </c>
      <c r="H209" s="23" t="str">
        <f t="shared" si="47"/>
        <v/>
      </c>
      <c r="I209" s="27"/>
      <c r="J209" s="3"/>
      <c r="K209" s="3"/>
      <c r="L209" s="3"/>
      <c r="M209" s="3"/>
      <c r="N209" s="3"/>
      <c r="O209" s="3"/>
      <c r="P209" s="3"/>
      <c r="Q209" s="3"/>
      <c r="S209" s="103">
        <f t="shared" si="48"/>
        <v>0</v>
      </c>
      <c r="T209" s="103">
        <f t="shared" si="49"/>
        <v>0</v>
      </c>
      <c r="U209" s="104">
        <f t="shared" si="50"/>
        <v>0</v>
      </c>
      <c r="V209" s="104">
        <f t="shared" si="50"/>
        <v>0</v>
      </c>
      <c r="X209" s="103" t="e">
        <f t="shared" si="51"/>
        <v>#REF!</v>
      </c>
      <c r="Y209" s="103" t="e">
        <f t="shared" si="52"/>
        <v>#REF!</v>
      </c>
      <c r="Z209" s="104" t="e">
        <f t="shared" si="53"/>
        <v>#REF!</v>
      </c>
      <c r="AA209" s="104" t="e">
        <f t="shared" si="53"/>
        <v>#REF!</v>
      </c>
      <c r="AC209" s="103" t="e">
        <f t="shared" si="54"/>
        <v>#REF!</v>
      </c>
      <c r="AD209" s="103" t="e">
        <f t="shared" si="55"/>
        <v>#REF!</v>
      </c>
      <c r="AE209" s="104" t="e">
        <f t="shared" si="56"/>
        <v>#REF!</v>
      </c>
      <c r="AF209" s="104" t="e">
        <f t="shared" si="56"/>
        <v>#REF!</v>
      </c>
      <c r="AH209" s="103" t="e">
        <f t="shared" si="57"/>
        <v>#REF!</v>
      </c>
      <c r="AI209" s="103" t="e">
        <f t="shared" si="58"/>
        <v>#REF!</v>
      </c>
      <c r="AJ209" s="104" t="e">
        <f t="shared" si="59"/>
        <v>#REF!</v>
      </c>
      <c r="AK209" s="104" t="e">
        <f t="shared" si="59"/>
        <v>#REF!</v>
      </c>
    </row>
    <row r="210" spans="1:898 1130:1961 2134:3033 3315:3315" ht="15" customHeight="1">
      <c r="A210" s="107"/>
      <c r="B210" s="108"/>
      <c r="C210" s="99"/>
      <c r="D210" s="100"/>
      <c r="E210" s="102"/>
      <c r="F210" s="102"/>
      <c r="G210" s="18" t="str">
        <f t="shared" si="46"/>
        <v/>
      </c>
      <c r="H210" s="23" t="str">
        <f t="shared" si="47"/>
        <v/>
      </c>
      <c r="I210" s="27"/>
      <c r="J210" s="3"/>
      <c r="K210" s="3"/>
      <c r="L210" s="3"/>
      <c r="M210" s="3"/>
      <c r="N210" s="3"/>
      <c r="O210" s="3"/>
      <c r="P210" s="3"/>
      <c r="Q210" s="3"/>
      <c r="S210" s="103">
        <f t="shared" si="48"/>
        <v>0</v>
      </c>
      <c r="T210" s="103">
        <f t="shared" si="49"/>
        <v>0</v>
      </c>
      <c r="U210" s="104">
        <f t="shared" si="50"/>
        <v>0</v>
      </c>
      <c r="V210" s="104">
        <f t="shared" si="50"/>
        <v>0</v>
      </c>
      <c r="X210" s="103" t="e">
        <f t="shared" si="51"/>
        <v>#REF!</v>
      </c>
      <c r="Y210" s="103" t="e">
        <f t="shared" si="52"/>
        <v>#REF!</v>
      </c>
      <c r="Z210" s="104" t="e">
        <f t="shared" si="53"/>
        <v>#REF!</v>
      </c>
      <c r="AA210" s="104" t="e">
        <f t="shared" si="53"/>
        <v>#REF!</v>
      </c>
      <c r="AC210" s="103" t="e">
        <f t="shared" si="54"/>
        <v>#REF!</v>
      </c>
      <c r="AD210" s="103" t="e">
        <f t="shared" si="55"/>
        <v>#REF!</v>
      </c>
      <c r="AE210" s="104" t="e">
        <f t="shared" si="56"/>
        <v>#REF!</v>
      </c>
      <c r="AF210" s="104" t="e">
        <f t="shared" si="56"/>
        <v>#REF!</v>
      </c>
      <c r="AH210" s="103" t="e">
        <f t="shared" si="57"/>
        <v>#REF!</v>
      </c>
      <c r="AI210" s="103" t="e">
        <f t="shared" si="58"/>
        <v>#REF!</v>
      </c>
      <c r="AJ210" s="104" t="e">
        <f t="shared" si="59"/>
        <v>#REF!</v>
      </c>
      <c r="AK210" s="104" t="e">
        <f t="shared" si="59"/>
        <v>#REF!</v>
      </c>
    </row>
    <row r="211" spans="1:898 1130:1961 2134:3033 3315:3315" ht="15" customHeight="1">
      <c r="A211" s="107"/>
      <c r="B211" s="108"/>
      <c r="C211" s="99"/>
      <c r="D211" s="100"/>
      <c r="E211" s="102"/>
      <c r="F211" s="102"/>
      <c r="G211" s="18" t="str">
        <f t="shared" si="46"/>
        <v/>
      </c>
      <c r="H211" s="23" t="str">
        <f t="shared" si="47"/>
        <v/>
      </c>
      <c r="I211" s="27"/>
      <c r="J211" s="3"/>
      <c r="K211" s="3"/>
      <c r="L211" s="3"/>
      <c r="M211" s="3"/>
      <c r="N211" s="3"/>
      <c r="O211" s="3"/>
      <c r="P211" s="3"/>
      <c r="Q211" s="3"/>
      <c r="S211" s="103">
        <f t="shared" si="48"/>
        <v>0</v>
      </c>
      <c r="T211" s="103">
        <f t="shared" si="49"/>
        <v>0</v>
      </c>
      <c r="U211" s="104">
        <f t="shared" si="50"/>
        <v>0</v>
      </c>
      <c r="V211" s="104">
        <f t="shared" si="50"/>
        <v>0</v>
      </c>
      <c r="X211" s="103" t="e">
        <f t="shared" si="51"/>
        <v>#REF!</v>
      </c>
      <c r="Y211" s="103" t="e">
        <f t="shared" si="52"/>
        <v>#REF!</v>
      </c>
      <c r="Z211" s="104" t="e">
        <f t="shared" si="53"/>
        <v>#REF!</v>
      </c>
      <c r="AA211" s="104" t="e">
        <f t="shared" si="53"/>
        <v>#REF!</v>
      </c>
      <c r="AC211" s="103" t="e">
        <f t="shared" si="54"/>
        <v>#REF!</v>
      </c>
      <c r="AD211" s="103" t="e">
        <f t="shared" si="55"/>
        <v>#REF!</v>
      </c>
      <c r="AE211" s="104" t="e">
        <f t="shared" si="56"/>
        <v>#REF!</v>
      </c>
      <c r="AF211" s="104" t="e">
        <f t="shared" si="56"/>
        <v>#REF!</v>
      </c>
      <c r="AH211" s="103" t="e">
        <f t="shared" si="57"/>
        <v>#REF!</v>
      </c>
      <c r="AI211" s="103" t="e">
        <f t="shared" si="58"/>
        <v>#REF!</v>
      </c>
      <c r="AJ211" s="104" t="e">
        <f t="shared" si="59"/>
        <v>#REF!</v>
      </c>
      <c r="AK211" s="104" t="e">
        <f t="shared" si="59"/>
        <v>#REF!</v>
      </c>
    </row>
    <row r="212" spans="1:898 1130:1961 2134:3033 3315:3315" ht="15" customHeight="1">
      <c r="A212" s="107"/>
      <c r="B212" s="108"/>
      <c r="C212" s="99"/>
      <c r="D212" s="100"/>
      <c r="E212" s="102"/>
      <c r="F212" s="102"/>
      <c r="G212" s="18" t="str">
        <f t="shared" si="46"/>
        <v/>
      </c>
      <c r="H212" s="23" t="str">
        <f t="shared" si="47"/>
        <v/>
      </c>
      <c r="I212" s="27"/>
      <c r="J212" s="3"/>
      <c r="K212" s="3"/>
      <c r="L212" s="3"/>
      <c r="M212" s="3"/>
      <c r="N212" s="3"/>
      <c r="O212" s="3"/>
      <c r="P212" s="3"/>
      <c r="Q212" s="3"/>
      <c r="S212" s="103">
        <f t="shared" si="48"/>
        <v>0</v>
      </c>
      <c r="T212" s="103">
        <f t="shared" si="49"/>
        <v>0</v>
      </c>
      <c r="U212" s="104">
        <f t="shared" si="50"/>
        <v>0</v>
      </c>
      <c r="V212" s="104">
        <f t="shared" si="50"/>
        <v>0</v>
      </c>
      <c r="X212" s="103" t="e">
        <f t="shared" si="51"/>
        <v>#REF!</v>
      </c>
      <c r="Y212" s="103" t="e">
        <f t="shared" si="52"/>
        <v>#REF!</v>
      </c>
      <c r="Z212" s="104" t="e">
        <f t="shared" si="53"/>
        <v>#REF!</v>
      </c>
      <c r="AA212" s="104" t="e">
        <f t="shared" si="53"/>
        <v>#REF!</v>
      </c>
      <c r="AC212" s="103" t="e">
        <f t="shared" si="54"/>
        <v>#REF!</v>
      </c>
      <c r="AD212" s="103" t="e">
        <f t="shared" si="55"/>
        <v>#REF!</v>
      </c>
      <c r="AE212" s="104" t="e">
        <f t="shared" si="56"/>
        <v>#REF!</v>
      </c>
      <c r="AF212" s="104" t="e">
        <f t="shared" si="56"/>
        <v>#REF!</v>
      </c>
      <c r="AH212" s="103" t="e">
        <f t="shared" si="57"/>
        <v>#REF!</v>
      </c>
      <c r="AI212" s="103" t="e">
        <f t="shared" si="58"/>
        <v>#REF!</v>
      </c>
      <c r="AJ212" s="104" t="e">
        <f t="shared" si="59"/>
        <v>#REF!</v>
      </c>
      <c r="AK212" s="104" t="e">
        <f t="shared" si="59"/>
        <v>#REF!</v>
      </c>
    </row>
    <row r="213" spans="1:898 1130:1961 2134:3033 3315:3315" ht="15" customHeight="1">
      <c r="A213" s="107"/>
      <c r="B213" s="108"/>
      <c r="C213" s="99"/>
      <c r="D213" s="100"/>
      <c r="E213" s="102"/>
      <c r="F213" s="102"/>
      <c r="G213" s="18" t="str">
        <f t="shared" si="46"/>
        <v/>
      </c>
      <c r="H213" s="23" t="str">
        <f t="shared" si="47"/>
        <v/>
      </c>
      <c r="I213" s="27"/>
      <c r="J213" s="3"/>
      <c r="K213" s="3"/>
      <c r="L213" s="3"/>
      <c r="M213" s="3"/>
      <c r="N213" s="3"/>
      <c r="O213" s="3"/>
      <c r="P213" s="3"/>
      <c r="Q213" s="3"/>
      <c r="S213" s="103">
        <f t="shared" si="48"/>
        <v>0</v>
      </c>
      <c r="T213" s="103">
        <f t="shared" si="49"/>
        <v>0</v>
      </c>
      <c r="U213" s="104">
        <f t="shared" si="50"/>
        <v>0</v>
      </c>
      <c r="V213" s="104">
        <f t="shared" si="50"/>
        <v>0</v>
      </c>
      <c r="X213" s="103" t="e">
        <f t="shared" si="51"/>
        <v>#REF!</v>
      </c>
      <c r="Y213" s="103" t="e">
        <f t="shared" si="52"/>
        <v>#REF!</v>
      </c>
      <c r="Z213" s="104" t="e">
        <f t="shared" si="53"/>
        <v>#REF!</v>
      </c>
      <c r="AA213" s="104" t="e">
        <f t="shared" si="53"/>
        <v>#REF!</v>
      </c>
      <c r="AC213" s="103" t="e">
        <f t="shared" si="54"/>
        <v>#REF!</v>
      </c>
      <c r="AD213" s="103" t="e">
        <f t="shared" si="55"/>
        <v>#REF!</v>
      </c>
      <c r="AE213" s="104" t="e">
        <f t="shared" si="56"/>
        <v>#REF!</v>
      </c>
      <c r="AF213" s="104" t="e">
        <f t="shared" si="56"/>
        <v>#REF!</v>
      </c>
      <c r="AH213" s="103" t="e">
        <f t="shared" si="57"/>
        <v>#REF!</v>
      </c>
      <c r="AI213" s="103" t="e">
        <f t="shared" si="58"/>
        <v>#REF!</v>
      </c>
      <c r="AJ213" s="104" t="e">
        <f t="shared" si="59"/>
        <v>#REF!</v>
      </c>
      <c r="AK213" s="104" t="e">
        <f t="shared" si="59"/>
        <v>#REF!</v>
      </c>
    </row>
    <row r="214" spans="1:898 1130:1961 2134:3033 3315:3315" ht="15" customHeight="1">
      <c r="A214" s="97"/>
      <c r="B214" s="106"/>
      <c r="C214" s="99"/>
      <c r="D214" s="100"/>
      <c r="E214" s="102"/>
      <c r="F214" s="102"/>
      <c r="G214" s="18" t="str">
        <f t="shared" si="46"/>
        <v/>
      </c>
      <c r="H214" s="23" t="str">
        <f t="shared" si="47"/>
        <v/>
      </c>
      <c r="I214" s="27"/>
      <c r="J214" s="3"/>
      <c r="K214" s="3"/>
      <c r="L214" s="3"/>
      <c r="M214" s="3"/>
      <c r="N214" s="3"/>
      <c r="O214" s="3"/>
      <c r="P214" s="3"/>
      <c r="Q214" s="3"/>
      <c r="S214" s="103">
        <f t="shared" ref="S214:S277" si="60">IF($A214&lt;&gt;"(DC)", $E214*$R$7, $E214)</f>
        <v>0</v>
      </c>
      <c r="T214" s="103">
        <f t="shared" ref="T214:T277" si="61">IF($A214&lt;&gt;"(DC)", $F214*$R$7, $F214)</f>
        <v>0</v>
      </c>
      <c r="U214" s="104">
        <f t="shared" ref="U214:V277" si="62">IF(AND($D214="",S214=""),"",IF($D214="",S214,$D214+S214))</f>
        <v>0</v>
      </c>
      <c r="V214" s="104">
        <f t="shared" si="62"/>
        <v>0</v>
      </c>
      <c r="X214" s="103" t="e">
        <f t="shared" ref="X214:X277" si="63">IF($A214&lt;&gt;"(DC)", $E214*$W$7, $E214)</f>
        <v>#REF!</v>
      </c>
      <c r="Y214" s="103" t="e">
        <f t="shared" ref="Y214:Y277" si="64">IF($A214&lt;&gt;"(DC)", $F214*$W$7, $F214)</f>
        <v>#REF!</v>
      </c>
      <c r="Z214" s="104" t="e">
        <f t="shared" ref="Z214:AA277" si="65">IF(AND($D214="",X214=""),"",IF($D214="",X214,$D214+X214))</f>
        <v>#REF!</v>
      </c>
      <c r="AA214" s="104" t="e">
        <f t="shared" si="65"/>
        <v>#REF!</v>
      </c>
      <c r="AC214" s="103" t="e">
        <f t="shared" ref="AC214:AC277" si="66">IF($A214&lt;&gt;"(DC)", $E214*$W$7, $E214)</f>
        <v>#REF!</v>
      </c>
      <c r="AD214" s="103" t="e">
        <f t="shared" ref="AD214:AD277" si="67">IF($A214&lt;&gt;"(DC)", $F214*$W$7, $F214)</f>
        <v>#REF!</v>
      </c>
      <c r="AE214" s="104" t="e">
        <f t="shared" ref="AE214:AF277" si="68">IF(AND($D214="",AC214=""),"",IF($D214="",AC214,$D214+AC214))</f>
        <v>#REF!</v>
      </c>
      <c r="AF214" s="104" t="e">
        <f t="shared" si="68"/>
        <v>#REF!</v>
      </c>
      <c r="AH214" s="103" t="e">
        <f t="shared" ref="AH214:AH277" si="69">IF($A214&lt;&gt;"(DC)", $E214*$AG$7, $E214)</f>
        <v>#REF!</v>
      </c>
      <c r="AI214" s="103" t="e">
        <f t="shared" ref="AI214:AI277" si="70">IF($A214&lt;&gt;"(DC)", $F214*$AG$7, $F214)</f>
        <v>#REF!</v>
      </c>
      <c r="AJ214" s="104" t="e">
        <f t="shared" ref="AJ214:AK277" si="71">IF(AND($D214="",AH214=""),"",IF($D214="",AH214,$D214+AH214))</f>
        <v>#REF!</v>
      </c>
      <c r="AK214" s="104" t="e">
        <f t="shared" si="71"/>
        <v>#REF!</v>
      </c>
    </row>
    <row r="215" spans="1:898 1130:1961 2134:3033 3315:3315" ht="15" customHeight="1">
      <c r="A215" s="97"/>
      <c r="B215" s="106"/>
      <c r="C215" s="99"/>
      <c r="D215" s="100"/>
      <c r="E215" s="102"/>
      <c r="F215" s="102"/>
      <c r="G215" s="18" t="str">
        <f t="shared" si="46"/>
        <v/>
      </c>
      <c r="H215" s="23" t="str">
        <f t="shared" si="47"/>
        <v/>
      </c>
      <c r="I215" s="27"/>
      <c r="J215" s="3"/>
      <c r="K215" s="3"/>
      <c r="L215" s="3"/>
      <c r="M215" s="3"/>
      <c r="N215" s="3"/>
      <c r="O215" s="3"/>
      <c r="P215" s="3"/>
      <c r="Q215" s="3"/>
      <c r="S215" s="103">
        <f t="shared" si="60"/>
        <v>0</v>
      </c>
      <c r="T215" s="103">
        <f t="shared" si="61"/>
        <v>0</v>
      </c>
      <c r="U215" s="104">
        <f t="shared" si="62"/>
        <v>0</v>
      </c>
      <c r="V215" s="104">
        <f t="shared" si="62"/>
        <v>0</v>
      </c>
      <c r="X215" s="103" t="e">
        <f t="shared" si="63"/>
        <v>#REF!</v>
      </c>
      <c r="Y215" s="103" t="e">
        <f t="shared" si="64"/>
        <v>#REF!</v>
      </c>
      <c r="Z215" s="104" t="e">
        <f t="shared" si="65"/>
        <v>#REF!</v>
      </c>
      <c r="AA215" s="104" t="e">
        <f t="shared" si="65"/>
        <v>#REF!</v>
      </c>
      <c r="AC215" s="103" t="e">
        <f t="shared" si="66"/>
        <v>#REF!</v>
      </c>
      <c r="AD215" s="103" t="e">
        <f t="shared" si="67"/>
        <v>#REF!</v>
      </c>
      <c r="AE215" s="104" t="e">
        <f t="shared" si="68"/>
        <v>#REF!</v>
      </c>
      <c r="AF215" s="104" t="e">
        <f t="shared" si="68"/>
        <v>#REF!</v>
      </c>
      <c r="AH215" s="103" t="e">
        <f t="shared" si="69"/>
        <v>#REF!</v>
      </c>
      <c r="AI215" s="103" t="e">
        <f t="shared" si="70"/>
        <v>#REF!</v>
      </c>
      <c r="AJ215" s="104" t="e">
        <f t="shared" si="71"/>
        <v>#REF!</v>
      </c>
      <c r="AK215" s="104" t="e">
        <f t="shared" si="71"/>
        <v>#REF!</v>
      </c>
    </row>
    <row r="216" spans="1:898 1130:1961 2134:3033 3315:3315" ht="15" customHeight="1">
      <c r="A216" s="97"/>
      <c r="B216" s="106"/>
      <c r="C216" s="99"/>
      <c r="D216" s="100"/>
      <c r="E216" s="102"/>
      <c r="F216" s="102"/>
      <c r="G216" s="18" t="str">
        <f t="shared" si="46"/>
        <v/>
      </c>
      <c r="H216" s="23" t="str">
        <f t="shared" si="47"/>
        <v/>
      </c>
      <c r="I216" s="27"/>
      <c r="J216" s="3"/>
      <c r="K216" s="3"/>
      <c r="L216" s="3"/>
      <c r="M216" s="3"/>
      <c r="N216" s="3"/>
      <c r="O216" s="3"/>
      <c r="P216" s="3"/>
      <c r="Q216" s="3"/>
      <c r="S216" s="103">
        <f t="shared" si="60"/>
        <v>0</v>
      </c>
      <c r="T216" s="103">
        <f t="shared" si="61"/>
        <v>0</v>
      </c>
      <c r="U216" s="104">
        <f t="shared" si="62"/>
        <v>0</v>
      </c>
      <c r="V216" s="104">
        <f t="shared" si="62"/>
        <v>0</v>
      </c>
      <c r="X216" s="103" t="e">
        <f t="shared" si="63"/>
        <v>#REF!</v>
      </c>
      <c r="Y216" s="103" t="e">
        <f t="shared" si="64"/>
        <v>#REF!</v>
      </c>
      <c r="Z216" s="104" t="e">
        <f t="shared" si="65"/>
        <v>#REF!</v>
      </c>
      <c r="AA216" s="104" t="e">
        <f t="shared" si="65"/>
        <v>#REF!</v>
      </c>
      <c r="AC216" s="103" t="e">
        <f t="shared" si="66"/>
        <v>#REF!</v>
      </c>
      <c r="AD216" s="103" t="e">
        <f t="shared" si="67"/>
        <v>#REF!</v>
      </c>
      <c r="AE216" s="104" t="e">
        <f t="shared" si="68"/>
        <v>#REF!</v>
      </c>
      <c r="AF216" s="104" t="e">
        <f t="shared" si="68"/>
        <v>#REF!</v>
      </c>
      <c r="AH216" s="103" t="e">
        <f t="shared" si="69"/>
        <v>#REF!</v>
      </c>
      <c r="AI216" s="103" t="e">
        <f t="shared" si="70"/>
        <v>#REF!</v>
      </c>
      <c r="AJ216" s="104" t="e">
        <f t="shared" si="71"/>
        <v>#REF!</v>
      </c>
      <c r="AK216" s="104" t="e">
        <f t="shared" si="71"/>
        <v>#REF!</v>
      </c>
    </row>
    <row r="217" spans="1:898 1130:1961 2134:3033 3315:3315" ht="15" customHeight="1">
      <c r="A217" s="97"/>
      <c r="B217" s="106"/>
      <c r="C217" s="99"/>
      <c r="D217" s="100"/>
      <c r="E217" s="102"/>
      <c r="F217" s="102"/>
      <c r="G217" s="18" t="str">
        <f t="shared" si="46"/>
        <v/>
      </c>
      <c r="H217" s="23" t="str">
        <f t="shared" si="47"/>
        <v/>
      </c>
      <c r="I217" s="27"/>
      <c r="J217" s="3"/>
      <c r="K217" s="3"/>
      <c r="L217" s="3"/>
      <c r="M217" s="3"/>
      <c r="N217" s="3"/>
      <c r="O217" s="3"/>
      <c r="P217" s="3"/>
      <c r="Q217" s="3"/>
      <c r="S217" s="103">
        <f t="shared" si="60"/>
        <v>0</v>
      </c>
      <c r="T217" s="103">
        <f t="shared" si="61"/>
        <v>0</v>
      </c>
      <c r="U217" s="104">
        <f t="shared" si="62"/>
        <v>0</v>
      </c>
      <c r="V217" s="104">
        <f t="shared" si="62"/>
        <v>0</v>
      </c>
      <c r="X217" s="103" t="e">
        <f t="shared" si="63"/>
        <v>#REF!</v>
      </c>
      <c r="Y217" s="103" t="e">
        <f t="shared" si="64"/>
        <v>#REF!</v>
      </c>
      <c r="Z217" s="104" t="e">
        <f t="shared" si="65"/>
        <v>#REF!</v>
      </c>
      <c r="AA217" s="104" t="e">
        <f t="shared" si="65"/>
        <v>#REF!</v>
      </c>
      <c r="AC217" s="103" t="e">
        <f t="shared" si="66"/>
        <v>#REF!</v>
      </c>
      <c r="AD217" s="103" t="e">
        <f t="shared" si="67"/>
        <v>#REF!</v>
      </c>
      <c r="AE217" s="104" t="e">
        <f t="shared" si="68"/>
        <v>#REF!</v>
      </c>
      <c r="AF217" s="104" t="e">
        <f t="shared" si="68"/>
        <v>#REF!</v>
      </c>
      <c r="AH217" s="103" t="e">
        <f t="shared" si="69"/>
        <v>#REF!</v>
      </c>
      <c r="AI217" s="103" t="e">
        <f t="shared" si="70"/>
        <v>#REF!</v>
      </c>
      <c r="AJ217" s="104" t="e">
        <f t="shared" si="71"/>
        <v>#REF!</v>
      </c>
      <c r="AK217" s="104" t="e">
        <f t="shared" si="71"/>
        <v>#REF!</v>
      </c>
    </row>
    <row r="218" spans="1:898 1130:1961 2134:3033 3315:3315" ht="15" customHeight="1">
      <c r="A218" s="97"/>
      <c r="B218" s="105"/>
      <c r="C218" s="99"/>
      <c r="D218" s="100"/>
      <c r="E218" s="102"/>
      <c r="F218" s="102"/>
      <c r="G218" s="18" t="str">
        <f t="shared" si="46"/>
        <v/>
      </c>
      <c r="H218" s="23" t="str">
        <f t="shared" si="47"/>
        <v/>
      </c>
      <c r="I218" s="27"/>
      <c r="J218" s="3"/>
      <c r="K218" s="3"/>
      <c r="L218" s="3"/>
      <c r="M218" s="3"/>
      <c r="N218" s="3"/>
      <c r="O218" s="3"/>
      <c r="P218" s="3"/>
      <c r="Q218" s="3"/>
      <c r="S218" s="103">
        <f t="shared" si="60"/>
        <v>0</v>
      </c>
      <c r="T218" s="103">
        <f t="shared" si="61"/>
        <v>0</v>
      </c>
      <c r="U218" s="104">
        <f t="shared" si="62"/>
        <v>0</v>
      </c>
      <c r="V218" s="104">
        <f t="shared" si="62"/>
        <v>0</v>
      </c>
      <c r="X218" s="103" t="e">
        <f t="shared" si="63"/>
        <v>#REF!</v>
      </c>
      <c r="Y218" s="103" t="e">
        <f t="shared" si="64"/>
        <v>#REF!</v>
      </c>
      <c r="Z218" s="104" t="e">
        <f t="shared" si="65"/>
        <v>#REF!</v>
      </c>
      <c r="AA218" s="104" t="e">
        <f t="shared" si="65"/>
        <v>#REF!</v>
      </c>
      <c r="AC218" s="103" t="e">
        <f t="shared" si="66"/>
        <v>#REF!</v>
      </c>
      <c r="AD218" s="103" t="e">
        <f t="shared" si="67"/>
        <v>#REF!</v>
      </c>
      <c r="AE218" s="104" t="e">
        <f t="shared" si="68"/>
        <v>#REF!</v>
      </c>
      <c r="AF218" s="104" t="e">
        <f t="shared" si="68"/>
        <v>#REF!</v>
      </c>
      <c r="AH218" s="103" t="e">
        <f t="shared" si="69"/>
        <v>#REF!</v>
      </c>
      <c r="AI218" s="103" t="e">
        <f t="shared" si="70"/>
        <v>#REF!</v>
      </c>
      <c r="AJ218" s="104" t="e">
        <f t="shared" si="71"/>
        <v>#REF!</v>
      </c>
      <c r="AK218" s="104" t="e">
        <f t="shared" si="71"/>
        <v>#REF!</v>
      </c>
    </row>
    <row r="219" spans="1:898 1130:1961 2134:3033 3315:3315" ht="15" customHeight="1">
      <c r="A219" s="97"/>
      <c r="B219" s="106"/>
      <c r="C219" s="99"/>
      <c r="D219" s="100"/>
      <c r="E219" s="102"/>
      <c r="F219" s="102"/>
      <c r="G219" s="18" t="str">
        <f t="shared" si="46"/>
        <v/>
      </c>
      <c r="H219" s="23" t="str">
        <f t="shared" si="47"/>
        <v/>
      </c>
      <c r="I219" s="27"/>
      <c r="J219" s="3"/>
      <c r="K219" s="3"/>
      <c r="L219" s="3"/>
      <c r="M219" s="3"/>
      <c r="N219" s="3"/>
      <c r="O219" s="3"/>
      <c r="P219" s="3"/>
      <c r="Q219" s="3"/>
      <c r="S219" s="103">
        <f t="shared" si="60"/>
        <v>0</v>
      </c>
      <c r="T219" s="103">
        <f t="shared" si="61"/>
        <v>0</v>
      </c>
      <c r="U219" s="104">
        <f t="shared" si="62"/>
        <v>0</v>
      </c>
      <c r="V219" s="104">
        <f t="shared" si="62"/>
        <v>0</v>
      </c>
      <c r="X219" s="103" t="e">
        <f t="shared" si="63"/>
        <v>#REF!</v>
      </c>
      <c r="Y219" s="103" t="e">
        <f t="shared" si="64"/>
        <v>#REF!</v>
      </c>
      <c r="Z219" s="104" t="e">
        <f t="shared" si="65"/>
        <v>#REF!</v>
      </c>
      <c r="AA219" s="104" t="e">
        <f t="shared" si="65"/>
        <v>#REF!</v>
      </c>
      <c r="AC219" s="103" t="e">
        <f t="shared" si="66"/>
        <v>#REF!</v>
      </c>
      <c r="AD219" s="103" t="e">
        <f t="shared" si="67"/>
        <v>#REF!</v>
      </c>
      <c r="AE219" s="104" t="e">
        <f t="shared" si="68"/>
        <v>#REF!</v>
      </c>
      <c r="AF219" s="104" t="e">
        <f t="shared" si="68"/>
        <v>#REF!</v>
      </c>
      <c r="AH219" s="103" t="e">
        <f t="shared" si="69"/>
        <v>#REF!</v>
      </c>
      <c r="AI219" s="103" t="e">
        <f t="shared" si="70"/>
        <v>#REF!</v>
      </c>
      <c r="AJ219" s="104" t="e">
        <f t="shared" si="71"/>
        <v>#REF!</v>
      </c>
      <c r="AK219" s="104" t="e">
        <f t="shared" si="71"/>
        <v>#REF!</v>
      </c>
    </row>
    <row r="220" spans="1:898 1130:1961 2134:3033 3315:3315" ht="15" customHeight="1">
      <c r="A220" s="97"/>
      <c r="B220" s="105"/>
      <c r="C220" s="99"/>
      <c r="D220" s="100"/>
      <c r="E220" s="102"/>
      <c r="F220" s="102"/>
      <c r="G220" s="18" t="str">
        <f t="shared" si="46"/>
        <v/>
      </c>
      <c r="H220" s="23" t="str">
        <f t="shared" si="47"/>
        <v/>
      </c>
      <c r="I220" s="27"/>
      <c r="J220" s="3"/>
      <c r="K220" s="3"/>
      <c r="L220" s="3"/>
      <c r="M220" s="3"/>
      <c r="N220" s="3"/>
      <c r="O220" s="3"/>
      <c r="P220" s="3"/>
      <c r="Q220" s="3"/>
      <c r="S220" s="103">
        <f t="shared" si="60"/>
        <v>0</v>
      </c>
      <c r="T220" s="103">
        <f t="shared" si="61"/>
        <v>0</v>
      </c>
      <c r="U220" s="104">
        <f t="shared" si="62"/>
        <v>0</v>
      </c>
      <c r="V220" s="104">
        <f t="shared" si="62"/>
        <v>0</v>
      </c>
      <c r="X220" s="103" t="e">
        <f t="shared" si="63"/>
        <v>#REF!</v>
      </c>
      <c r="Y220" s="103" t="e">
        <f t="shared" si="64"/>
        <v>#REF!</v>
      </c>
      <c r="Z220" s="104" t="e">
        <f t="shared" si="65"/>
        <v>#REF!</v>
      </c>
      <c r="AA220" s="104" t="e">
        <f t="shared" si="65"/>
        <v>#REF!</v>
      </c>
      <c r="AC220" s="103" t="e">
        <f t="shared" si="66"/>
        <v>#REF!</v>
      </c>
      <c r="AD220" s="103" t="e">
        <f t="shared" si="67"/>
        <v>#REF!</v>
      </c>
      <c r="AE220" s="104" t="e">
        <f t="shared" si="68"/>
        <v>#REF!</v>
      </c>
      <c r="AF220" s="104" t="e">
        <f t="shared" si="68"/>
        <v>#REF!</v>
      </c>
      <c r="AH220" s="103" t="e">
        <f t="shared" si="69"/>
        <v>#REF!</v>
      </c>
      <c r="AI220" s="103" t="e">
        <f t="shared" si="70"/>
        <v>#REF!</v>
      </c>
      <c r="AJ220" s="104" t="e">
        <f t="shared" si="71"/>
        <v>#REF!</v>
      </c>
      <c r="AK220" s="104" t="e">
        <f t="shared" si="71"/>
        <v>#REF!</v>
      </c>
    </row>
    <row r="221" spans="1:898 1130:1961 2134:3033 3315:3315" ht="15" customHeight="1">
      <c r="A221" s="97"/>
      <c r="B221" s="106"/>
      <c r="C221" s="99"/>
      <c r="D221" s="100"/>
      <c r="E221" s="102"/>
      <c r="F221" s="102"/>
      <c r="G221" s="18" t="str">
        <f t="shared" si="46"/>
        <v/>
      </c>
      <c r="H221" s="23" t="str">
        <f t="shared" si="47"/>
        <v/>
      </c>
      <c r="I221" s="26"/>
      <c r="J221" s="3"/>
      <c r="K221" s="3"/>
      <c r="L221" s="3"/>
      <c r="M221" s="3"/>
      <c r="N221" s="3"/>
      <c r="O221" s="3"/>
      <c r="P221" s="3"/>
      <c r="Q221" s="3"/>
      <c r="S221" s="103">
        <f t="shared" si="60"/>
        <v>0</v>
      </c>
      <c r="T221" s="103">
        <f t="shared" si="61"/>
        <v>0</v>
      </c>
      <c r="U221" s="104">
        <f t="shared" si="62"/>
        <v>0</v>
      </c>
      <c r="V221" s="104">
        <f t="shared" si="62"/>
        <v>0</v>
      </c>
      <c r="X221" s="103" t="e">
        <f t="shared" si="63"/>
        <v>#REF!</v>
      </c>
      <c r="Y221" s="103" t="e">
        <f t="shared" si="64"/>
        <v>#REF!</v>
      </c>
      <c r="Z221" s="104" t="e">
        <f t="shared" si="65"/>
        <v>#REF!</v>
      </c>
      <c r="AA221" s="104" t="e">
        <f t="shared" si="65"/>
        <v>#REF!</v>
      </c>
      <c r="AC221" s="103" t="e">
        <f t="shared" si="66"/>
        <v>#REF!</v>
      </c>
      <c r="AD221" s="103" t="e">
        <f t="shared" si="67"/>
        <v>#REF!</v>
      </c>
      <c r="AE221" s="104" t="e">
        <f t="shared" si="68"/>
        <v>#REF!</v>
      </c>
      <c r="AF221" s="104" t="e">
        <f t="shared" si="68"/>
        <v>#REF!</v>
      </c>
      <c r="AH221" s="103" t="e">
        <f t="shared" si="69"/>
        <v>#REF!</v>
      </c>
      <c r="AI221" s="103" t="e">
        <f t="shared" si="70"/>
        <v>#REF!</v>
      </c>
      <c r="AJ221" s="104" t="e">
        <f t="shared" si="71"/>
        <v>#REF!</v>
      </c>
      <c r="AK221" s="104" t="e">
        <f t="shared" si="71"/>
        <v>#REF!</v>
      </c>
      <c r="EU221" s="77"/>
      <c r="EV221" s="77"/>
      <c r="GM221" s="77"/>
      <c r="LK221" s="77"/>
      <c r="SJ221" s="77"/>
      <c r="TN221" s="77"/>
      <c r="WJ221" s="77"/>
      <c r="XG221" s="77"/>
      <c r="AFG221" s="77"/>
      <c r="AHC221" s="77"/>
      <c r="AHN221" s="77"/>
      <c r="AQL221" s="77"/>
      <c r="AYQ221" s="77"/>
      <c r="BBW221" s="77"/>
      <c r="BOW221" s="77"/>
      <c r="BRB221" s="77"/>
      <c r="BWK221" s="77"/>
      <c r="CDB221" s="77"/>
      <c r="CEH221" s="77"/>
      <c r="CHE221" s="77"/>
      <c r="CIE221" s="77"/>
      <c r="CJY221" s="77"/>
      <c r="CNP221" s="77"/>
      <c r="CVA221" s="77"/>
      <c r="CXO221" s="77"/>
      <c r="DAR221" s="77"/>
      <c r="DEG221" s="77"/>
      <c r="DEH221" s="77"/>
      <c r="DEJ221" s="77"/>
      <c r="DEM221" s="77"/>
      <c r="DET221" s="77"/>
      <c r="DEZ221" s="77"/>
      <c r="DIM221" s="77"/>
      <c r="DKR221" s="77"/>
      <c r="DLQ221" s="77"/>
      <c r="DWM221" s="77"/>
    </row>
    <row r="222" spans="1:898 1130:1961 2134:3033 3315:3315" ht="15" customHeight="1">
      <c r="A222" s="97"/>
      <c r="B222" s="105"/>
      <c r="C222" s="99"/>
      <c r="D222" s="100"/>
      <c r="E222" s="102"/>
      <c r="F222" s="102"/>
      <c r="G222" s="18" t="str">
        <f t="shared" si="46"/>
        <v/>
      </c>
      <c r="H222" s="23" t="str">
        <f t="shared" si="47"/>
        <v/>
      </c>
      <c r="I222" s="27"/>
      <c r="J222" s="3"/>
      <c r="K222" s="3"/>
      <c r="L222" s="3"/>
      <c r="M222" s="3"/>
      <c r="N222" s="3"/>
      <c r="O222" s="3"/>
      <c r="P222" s="3"/>
      <c r="Q222" s="3"/>
      <c r="S222" s="103">
        <f t="shared" si="60"/>
        <v>0</v>
      </c>
      <c r="T222" s="103">
        <f t="shared" si="61"/>
        <v>0</v>
      </c>
      <c r="U222" s="104">
        <f t="shared" si="62"/>
        <v>0</v>
      </c>
      <c r="V222" s="104">
        <f t="shared" si="62"/>
        <v>0</v>
      </c>
      <c r="X222" s="103" t="e">
        <f t="shared" si="63"/>
        <v>#REF!</v>
      </c>
      <c r="Y222" s="103" t="e">
        <f t="shared" si="64"/>
        <v>#REF!</v>
      </c>
      <c r="Z222" s="104" t="e">
        <f t="shared" si="65"/>
        <v>#REF!</v>
      </c>
      <c r="AA222" s="104" t="e">
        <f t="shared" si="65"/>
        <v>#REF!</v>
      </c>
      <c r="AC222" s="103" t="e">
        <f t="shared" si="66"/>
        <v>#REF!</v>
      </c>
      <c r="AD222" s="103" t="e">
        <f t="shared" si="67"/>
        <v>#REF!</v>
      </c>
      <c r="AE222" s="104" t="e">
        <f t="shared" si="68"/>
        <v>#REF!</v>
      </c>
      <c r="AF222" s="104" t="e">
        <f t="shared" si="68"/>
        <v>#REF!</v>
      </c>
      <c r="AH222" s="103" t="e">
        <f t="shared" si="69"/>
        <v>#REF!</v>
      </c>
      <c r="AI222" s="103" t="e">
        <f t="shared" si="70"/>
        <v>#REF!</v>
      </c>
      <c r="AJ222" s="104" t="e">
        <f t="shared" si="71"/>
        <v>#REF!</v>
      </c>
      <c r="AK222" s="104" t="e">
        <f t="shared" si="71"/>
        <v>#REF!</v>
      </c>
    </row>
    <row r="223" spans="1:898 1130:1961 2134:3033 3315:3315" ht="15" customHeight="1">
      <c r="A223" s="97"/>
      <c r="B223" s="106"/>
      <c r="C223" s="99"/>
      <c r="D223" s="100"/>
      <c r="E223" s="102"/>
      <c r="F223" s="102"/>
      <c r="G223" s="18" t="str">
        <f t="shared" si="46"/>
        <v/>
      </c>
      <c r="H223" s="23" t="str">
        <f t="shared" si="47"/>
        <v/>
      </c>
      <c r="I223" s="26"/>
      <c r="J223" s="3"/>
      <c r="K223" s="3"/>
      <c r="L223" s="3"/>
      <c r="M223" s="3"/>
      <c r="N223" s="3"/>
      <c r="O223" s="3"/>
      <c r="P223" s="3"/>
      <c r="Q223" s="3"/>
      <c r="S223" s="103">
        <f t="shared" si="60"/>
        <v>0</v>
      </c>
      <c r="T223" s="103">
        <f t="shared" si="61"/>
        <v>0</v>
      </c>
      <c r="U223" s="104">
        <f t="shared" si="62"/>
        <v>0</v>
      </c>
      <c r="V223" s="104">
        <f t="shared" si="62"/>
        <v>0</v>
      </c>
      <c r="X223" s="103" t="e">
        <f t="shared" si="63"/>
        <v>#REF!</v>
      </c>
      <c r="Y223" s="103" t="e">
        <f t="shared" si="64"/>
        <v>#REF!</v>
      </c>
      <c r="Z223" s="104" t="e">
        <f t="shared" si="65"/>
        <v>#REF!</v>
      </c>
      <c r="AA223" s="104" t="e">
        <f t="shared" si="65"/>
        <v>#REF!</v>
      </c>
      <c r="AC223" s="103" t="e">
        <f t="shared" si="66"/>
        <v>#REF!</v>
      </c>
      <c r="AD223" s="103" t="e">
        <f t="shared" si="67"/>
        <v>#REF!</v>
      </c>
      <c r="AE223" s="104" t="e">
        <f t="shared" si="68"/>
        <v>#REF!</v>
      </c>
      <c r="AF223" s="104" t="e">
        <f t="shared" si="68"/>
        <v>#REF!</v>
      </c>
      <c r="AH223" s="103" t="e">
        <f t="shared" si="69"/>
        <v>#REF!</v>
      </c>
      <c r="AI223" s="103" t="e">
        <f t="shared" si="70"/>
        <v>#REF!</v>
      </c>
      <c r="AJ223" s="104" t="e">
        <f t="shared" si="71"/>
        <v>#REF!</v>
      </c>
      <c r="AK223" s="104" t="e">
        <f t="shared" si="71"/>
        <v>#REF!</v>
      </c>
      <c r="EU223" s="77"/>
      <c r="EV223" s="77"/>
      <c r="GM223" s="77"/>
      <c r="LK223" s="77"/>
      <c r="SJ223" s="77"/>
      <c r="TN223" s="77"/>
      <c r="WJ223" s="77"/>
      <c r="XG223" s="77"/>
      <c r="AFG223" s="77"/>
      <c r="AHC223" s="77"/>
      <c r="AHN223" s="77"/>
      <c r="AQL223" s="77"/>
      <c r="AYQ223" s="77"/>
      <c r="BBW223" s="77"/>
      <c r="BOW223" s="77"/>
      <c r="BRB223" s="77"/>
      <c r="BWK223" s="77"/>
      <c r="CDB223" s="77"/>
      <c r="CEH223" s="77"/>
      <c r="CHE223" s="77"/>
      <c r="CIE223" s="77"/>
      <c r="CJY223" s="77"/>
      <c r="CNP223" s="77"/>
      <c r="CVA223" s="77"/>
      <c r="CXO223" s="77"/>
      <c r="DAR223" s="77"/>
      <c r="DEG223" s="77"/>
      <c r="DEH223" s="77"/>
      <c r="DEJ223" s="77"/>
      <c r="DEM223" s="77"/>
      <c r="DET223" s="77"/>
      <c r="DEZ223" s="77"/>
      <c r="DIM223" s="77"/>
      <c r="DKR223" s="77"/>
      <c r="DLQ223" s="77"/>
      <c r="DWM223" s="77"/>
    </row>
    <row r="224" spans="1:898 1130:1961 2134:3033 3315:3315" ht="15" customHeight="1">
      <c r="A224" s="97"/>
      <c r="B224" s="108"/>
      <c r="C224" s="99"/>
      <c r="D224" s="100"/>
      <c r="E224" s="102"/>
      <c r="F224" s="102"/>
      <c r="G224" s="18" t="str">
        <f t="shared" si="46"/>
        <v/>
      </c>
      <c r="H224" s="23" t="str">
        <f t="shared" si="47"/>
        <v/>
      </c>
      <c r="I224" s="26"/>
      <c r="J224" s="3"/>
      <c r="K224" s="3"/>
      <c r="L224" s="3"/>
      <c r="M224" s="3"/>
      <c r="N224" s="3"/>
      <c r="O224" s="3"/>
      <c r="P224" s="3"/>
      <c r="Q224" s="3"/>
      <c r="S224" s="103">
        <f t="shared" si="60"/>
        <v>0</v>
      </c>
      <c r="T224" s="103">
        <f t="shared" si="61"/>
        <v>0</v>
      </c>
      <c r="U224" s="104">
        <f t="shared" si="62"/>
        <v>0</v>
      </c>
      <c r="V224" s="104">
        <f t="shared" si="62"/>
        <v>0</v>
      </c>
      <c r="X224" s="103" t="e">
        <f t="shared" si="63"/>
        <v>#REF!</v>
      </c>
      <c r="Y224" s="103" t="e">
        <f t="shared" si="64"/>
        <v>#REF!</v>
      </c>
      <c r="Z224" s="104" t="e">
        <f t="shared" si="65"/>
        <v>#REF!</v>
      </c>
      <c r="AA224" s="104" t="e">
        <f t="shared" si="65"/>
        <v>#REF!</v>
      </c>
      <c r="AC224" s="103" t="e">
        <f t="shared" si="66"/>
        <v>#REF!</v>
      </c>
      <c r="AD224" s="103" t="e">
        <f t="shared" si="67"/>
        <v>#REF!</v>
      </c>
      <c r="AE224" s="104" t="e">
        <f t="shared" si="68"/>
        <v>#REF!</v>
      </c>
      <c r="AF224" s="104" t="e">
        <f t="shared" si="68"/>
        <v>#REF!</v>
      </c>
      <c r="AH224" s="103" t="e">
        <f t="shared" si="69"/>
        <v>#REF!</v>
      </c>
      <c r="AI224" s="103" t="e">
        <f t="shared" si="70"/>
        <v>#REF!</v>
      </c>
      <c r="AJ224" s="104" t="e">
        <f t="shared" si="71"/>
        <v>#REF!</v>
      </c>
      <c r="AK224" s="104" t="e">
        <f t="shared" si="71"/>
        <v>#REF!</v>
      </c>
    </row>
    <row r="225" spans="1:37" ht="15" customHeight="1">
      <c r="A225" s="97"/>
      <c r="B225" s="106"/>
      <c r="C225" s="99"/>
      <c r="D225" s="100"/>
      <c r="E225" s="102"/>
      <c r="F225" s="102"/>
      <c r="G225" s="18" t="str">
        <f t="shared" si="46"/>
        <v/>
      </c>
      <c r="H225" s="23" t="str">
        <f t="shared" si="47"/>
        <v/>
      </c>
      <c r="I225" s="26"/>
      <c r="J225" s="3"/>
      <c r="K225" s="3"/>
      <c r="L225" s="3"/>
      <c r="M225" s="3"/>
      <c r="N225" s="3"/>
      <c r="O225" s="3"/>
      <c r="P225" s="3"/>
      <c r="Q225" s="3"/>
      <c r="S225" s="103">
        <f t="shared" si="60"/>
        <v>0</v>
      </c>
      <c r="T225" s="103">
        <f t="shared" si="61"/>
        <v>0</v>
      </c>
      <c r="U225" s="104">
        <f t="shared" si="62"/>
        <v>0</v>
      </c>
      <c r="V225" s="104">
        <f t="shared" si="62"/>
        <v>0</v>
      </c>
      <c r="X225" s="103" t="e">
        <f t="shared" si="63"/>
        <v>#REF!</v>
      </c>
      <c r="Y225" s="103" t="e">
        <f t="shared" si="64"/>
        <v>#REF!</v>
      </c>
      <c r="Z225" s="104" t="e">
        <f t="shared" si="65"/>
        <v>#REF!</v>
      </c>
      <c r="AA225" s="104" t="e">
        <f t="shared" si="65"/>
        <v>#REF!</v>
      </c>
      <c r="AC225" s="103" t="e">
        <f t="shared" si="66"/>
        <v>#REF!</v>
      </c>
      <c r="AD225" s="103" t="e">
        <f t="shared" si="67"/>
        <v>#REF!</v>
      </c>
      <c r="AE225" s="104" t="e">
        <f t="shared" si="68"/>
        <v>#REF!</v>
      </c>
      <c r="AF225" s="104" t="e">
        <f t="shared" si="68"/>
        <v>#REF!</v>
      </c>
      <c r="AH225" s="103" t="e">
        <f t="shared" si="69"/>
        <v>#REF!</v>
      </c>
      <c r="AI225" s="103" t="e">
        <f t="shared" si="70"/>
        <v>#REF!</v>
      </c>
      <c r="AJ225" s="104" t="e">
        <f t="shared" si="71"/>
        <v>#REF!</v>
      </c>
      <c r="AK225" s="104" t="e">
        <f t="shared" si="71"/>
        <v>#REF!</v>
      </c>
    </row>
    <row r="226" spans="1:37" ht="15" customHeight="1">
      <c r="A226" s="97"/>
      <c r="B226" s="105"/>
      <c r="C226" s="99"/>
      <c r="D226" s="100"/>
      <c r="E226" s="102"/>
      <c r="F226" s="102"/>
      <c r="G226" s="18" t="str">
        <f t="shared" si="46"/>
        <v/>
      </c>
      <c r="H226" s="23" t="str">
        <f t="shared" si="47"/>
        <v/>
      </c>
      <c r="I226" s="27"/>
      <c r="J226" s="3"/>
      <c r="K226" s="3"/>
      <c r="L226" s="3"/>
      <c r="M226" s="3"/>
      <c r="N226" s="3"/>
      <c r="O226" s="3"/>
      <c r="P226" s="3"/>
      <c r="Q226" s="3"/>
      <c r="S226" s="103">
        <f t="shared" si="60"/>
        <v>0</v>
      </c>
      <c r="T226" s="103">
        <f t="shared" si="61"/>
        <v>0</v>
      </c>
      <c r="U226" s="104">
        <f t="shared" si="62"/>
        <v>0</v>
      </c>
      <c r="V226" s="104">
        <f t="shared" si="62"/>
        <v>0</v>
      </c>
      <c r="X226" s="103" t="e">
        <f t="shared" si="63"/>
        <v>#REF!</v>
      </c>
      <c r="Y226" s="103" t="e">
        <f t="shared" si="64"/>
        <v>#REF!</v>
      </c>
      <c r="Z226" s="104" t="e">
        <f t="shared" si="65"/>
        <v>#REF!</v>
      </c>
      <c r="AA226" s="104" t="e">
        <f t="shared" si="65"/>
        <v>#REF!</v>
      </c>
      <c r="AC226" s="103" t="e">
        <f t="shared" si="66"/>
        <v>#REF!</v>
      </c>
      <c r="AD226" s="103" t="e">
        <f t="shared" si="67"/>
        <v>#REF!</v>
      </c>
      <c r="AE226" s="104" t="e">
        <f t="shared" si="68"/>
        <v>#REF!</v>
      </c>
      <c r="AF226" s="104" t="e">
        <f t="shared" si="68"/>
        <v>#REF!</v>
      </c>
      <c r="AH226" s="103" t="e">
        <f t="shared" si="69"/>
        <v>#REF!</v>
      </c>
      <c r="AI226" s="103" t="e">
        <f t="shared" si="70"/>
        <v>#REF!</v>
      </c>
      <c r="AJ226" s="104" t="e">
        <f t="shared" si="71"/>
        <v>#REF!</v>
      </c>
      <c r="AK226" s="104" t="e">
        <f t="shared" si="71"/>
        <v>#REF!</v>
      </c>
    </row>
    <row r="227" spans="1:37" ht="15" customHeight="1">
      <c r="A227" s="97"/>
      <c r="B227" s="106"/>
      <c r="C227" s="99"/>
      <c r="D227" s="100"/>
      <c r="E227" s="102"/>
      <c r="F227" s="102"/>
      <c r="G227" s="18" t="str">
        <f t="shared" si="46"/>
        <v/>
      </c>
      <c r="H227" s="23" t="str">
        <f t="shared" si="47"/>
        <v/>
      </c>
      <c r="I227" s="26"/>
      <c r="J227" s="3"/>
      <c r="K227" s="3"/>
      <c r="L227" s="3"/>
      <c r="M227" s="3"/>
      <c r="N227" s="3"/>
      <c r="O227" s="3"/>
      <c r="P227" s="3"/>
      <c r="Q227" s="3"/>
      <c r="S227" s="103">
        <f t="shared" si="60"/>
        <v>0</v>
      </c>
      <c r="T227" s="103">
        <f t="shared" si="61"/>
        <v>0</v>
      </c>
      <c r="U227" s="104">
        <f t="shared" si="62"/>
        <v>0</v>
      </c>
      <c r="V227" s="104">
        <f t="shared" si="62"/>
        <v>0</v>
      </c>
      <c r="X227" s="103" t="e">
        <f t="shared" si="63"/>
        <v>#REF!</v>
      </c>
      <c r="Y227" s="103" t="e">
        <f t="shared" si="64"/>
        <v>#REF!</v>
      </c>
      <c r="Z227" s="104" t="e">
        <f t="shared" si="65"/>
        <v>#REF!</v>
      </c>
      <c r="AA227" s="104" t="e">
        <f t="shared" si="65"/>
        <v>#REF!</v>
      </c>
      <c r="AC227" s="103" t="e">
        <f t="shared" si="66"/>
        <v>#REF!</v>
      </c>
      <c r="AD227" s="103" t="e">
        <f t="shared" si="67"/>
        <v>#REF!</v>
      </c>
      <c r="AE227" s="104" t="e">
        <f t="shared" si="68"/>
        <v>#REF!</v>
      </c>
      <c r="AF227" s="104" t="e">
        <f t="shared" si="68"/>
        <v>#REF!</v>
      </c>
      <c r="AH227" s="103" t="e">
        <f t="shared" si="69"/>
        <v>#REF!</v>
      </c>
      <c r="AI227" s="103" t="e">
        <f t="shared" si="70"/>
        <v>#REF!</v>
      </c>
      <c r="AJ227" s="104" t="e">
        <f t="shared" si="71"/>
        <v>#REF!</v>
      </c>
      <c r="AK227" s="104" t="e">
        <f t="shared" si="71"/>
        <v>#REF!</v>
      </c>
    </row>
    <row r="228" spans="1:37" ht="15" customHeight="1">
      <c r="A228" s="97"/>
      <c r="B228" s="106"/>
      <c r="C228" s="99"/>
      <c r="D228" s="100"/>
      <c r="E228" s="102"/>
      <c r="F228" s="102"/>
      <c r="G228" s="18" t="str">
        <f t="shared" si="46"/>
        <v/>
      </c>
      <c r="H228" s="23" t="str">
        <f t="shared" si="47"/>
        <v/>
      </c>
      <c r="I228" s="26"/>
      <c r="J228" s="3"/>
      <c r="K228" s="3"/>
      <c r="L228" s="3"/>
      <c r="M228" s="3"/>
      <c r="N228" s="3"/>
      <c r="O228" s="3"/>
      <c r="P228" s="3"/>
      <c r="Q228" s="3"/>
      <c r="S228" s="103">
        <f t="shared" si="60"/>
        <v>0</v>
      </c>
      <c r="T228" s="103">
        <f t="shared" si="61"/>
        <v>0</v>
      </c>
      <c r="U228" s="104">
        <f t="shared" si="62"/>
        <v>0</v>
      </c>
      <c r="V228" s="104">
        <f t="shared" si="62"/>
        <v>0</v>
      </c>
      <c r="X228" s="103" t="e">
        <f t="shared" si="63"/>
        <v>#REF!</v>
      </c>
      <c r="Y228" s="103" t="e">
        <f t="shared" si="64"/>
        <v>#REF!</v>
      </c>
      <c r="Z228" s="104" t="e">
        <f t="shared" si="65"/>
        <v>#REF!</v>
      </c>
      <c r="AA228" s="104" t="e">
        <f t="shared" si="65"/>
        <v>#REF!</v>
      </c>
      <c r="AC228" s="103" t="e">
        <f t="shared" si="66"/>
        <v>#REF!</v>
      </c>
      <c r="AD228" s="103" t="e">
        <f t="shared" si="67"/>
        <v>#REF!</v>
      </c>
      <c r="AE228" s="104" t="e">
        <f t="shared" si="68"/>
        <v>#REF!</v>
      </c>
      <c r="AF228" s="104" t="e">
        <f t="shared" si="68"/>
        <v>#REF!</v>
      </c>
      <c r="AH228" s="103" t="e">
        <f t="shared" si="69"/>
        <v>#REF!</v>
      </c>
      <c r="AI228" s="103" t="e">
        <f t="shared" si="70"/>
        <v>#REF!</v>
      </c>
      <c r="AJ228" s="104" t="e">
        <f t="shared" si="71"/>
        <v>#REF!</v>
      </c>
      <c r="AK228" s="104" t="e">
        <f t="shared" si="71"/>
        <v>#REF!</v>
      </c>
    </row>
    <row r="229" spans="1:37" ht="15" customHeight="1">
      <c r="A229" s="97"/>
      <c r="B229" s="105"/>
      <c r="C229" s="99"/>
      <c r="D229" s="100"/>
      <c r="E229" s="102"/>
      <c r="F229" s="102"/>
      <c r="G229" s="18" t="str">
        <f t="shared" si="46"/>
        <v/>
      </c>
      <c r="H229" s="23" t="str">
        <f t="shared" si="47"/>
        <v/>
      </c>
      <c r="I229" s="27"/>
      <c r="J229" s="3"/>
      <c r="K229" s="3"/>
      <c r="L229" s="3"/>
      <c r="M229" s="3"/>
      <c r="N229" s="3"/>
      <c r="O229" s="3"/>
      <c r="P229" s="3"/>
      <c r="Q229" s="3"/>
      <c r="S229" s="103">
        <f t="shared" si="60"/>
        <v>0</v>
      </c>
      <c r="T229" s="103">
        <f t="shared" si="61"/>
        <v>0</v>
      </c>
      <c r="U229" s="104">
        <f t="shared" si="62"/>
        <v>0</v>
      </c>
      <c r="V229" s="104">
        <f t="shared" si="62"/>
        <v>0</v>
      </c>
      <c r="X229" s="103" t="e">
        <f t="shared" si="63"/>
        <v>#REF!</v>
      </c>
      <c r="Y229" s="103" t="e">
        <f t="shared" si="64"/>
        <v>#REF!</v>
      </c>
      <c r="Z229" s="104" t="e">
        <f t="shared" si="65"/>
        <v>#REF!</v>
      </c>
      <c r="AA229" s="104" t="e">
        <f t="shared" si="65"/>
        <v>#REF!</v>
      </c>
      <c r="AC229" s="103" t="e">
        <f t="shared" si="66"/>
        <v>#REF!</v>
      </c>
      <c r="AD229" s="103" t="e">
        <f t="shared" si="67"/>
        <v>#REF!</v>
      </c>
      <c r="AE229" s="104" t="e">
        <f t="shared" si="68"/>
        <v>#REF!</v>
      </c>
      <c r="AF229" s="104" t="e">
        <f t="shared" si="68"/>
        <v>#REF!</v>
      </c>
      <c r="AH229" s="103" t="e">
        <f t="shared" si="69"/>
        <v>#REF!</v>
      </c>
      <c r="AI229" s="103" t="e">
        <f t="shared" si="70"/>
        <v>#REF!</v>
      </c>
      <c r="AJ229" s="104" t="e">
        <f t="shared" si="71"/>
        <v>#REF!</v>
      </c>
      <c r="AK229" s="104" t="e">
        <f t="shared" si="71"/>
        <v>#REF!</v>
      </c>
    </row>
    <row r="230" spans="1:37" ht="15" customHeight="1">
      <c r="A230" s="97"/>
      <c r="B230" s="106"/>
      <c r="C230" s="99"/>
      <c r="D230" s="100"/>
      <c r="E230" s="102"/>
      <c r="F230" s="102"/>
      <c r="G230" s="18" t="str">
        <f t="shared" si="46"/>
        <v/>
      </c>
      <c r="H230" s="23" t="str">
        <f t="shared" si="47"/>
        <v/>
      </c>
      <c r="I230" s="26"/>
      <c r="J230" s="3"/>
      <c r="K230" s="3"/>
      <c r="L230" s="3"/>
      <c r="M230" s="3"/>
      <c r="N230" s="3"/>
      <c r="O230" s="3"/>
      <c r="P230" s="3"/>
      <c r="Q230" s="3"/>
      <c r="S230" s="103">
        <f t="shared" si="60"/>
        <v>0</v>
      </c>
      <c r="T230" s="103">
        <f t="shared" si="61"/>
        <v>0</v>
      </c>
      <c r="U230" s="104">
        <f t="shared" si="62"/>
        <v>0</v>
      </c>
      <c r="V230" s="104">
        <f t="shared" si="62"/>
        <v>0</v>
      </c>
      <c r="X230" s="103" t="e">
        <f t="shared" si="63"/>
        <v>#REF!</v>
      </c>
      <c r="Y230" s="103" t="e">
        <f t="shared" si="64"/>
        <v>#REF!</v>
      </c>
      <c r="Z230" s="104" t="e">
        <f t="shared" si="65"/>
        <v>#REF!</v>
      </c>
      <c r="AA230" s="104" t="e">
        <f t="shared" si="65"/>
        <v>#REF!</v>
      </c>
      <c r="AC230" s="103" t="e">
        <f t="shared" si="66"/>
        <v>#REF!</v>
      </c>
      <c r="AD230" s="103" t="e">
        <f t="shared" si="67"/>
        <v>#REF!</v>
      </c>
      <c r="AE230" s="104" t="e">
        <f t="shared" si="68"/>
        <v>#REF!</v>
      </c>
      <c r="AF230" s="104" t="e">
        <f t="shared" si="68"/>
        <v>#REF!</v>
      </c>
      <c r="AH230" s="103" t="e">
        <f t="shared" si="69"/>
        <v>#REF!</v>
      </c>
      <c r="AI230" s="103" t="e">
        <f t="shared" si="70"/>
        <v>#REF!</v>
      </c>
      <c r="AJ230" s="104" t="e">
        <f t="shared" si="71"/>
        <v>#REF!</v>
      </c>
      <c r="AK230" s="104" t="e">
        <f t="shared" si="71"/>
        <v>#REF!</v>
      </c>
    </row>
    <row r="231" spans="1:37" ht="15" customHeight="1">
      <c r="A231" s="97"/>
      <c r="B231" s="105"/>
      <c r="C231" s="99"/>
      <c r="D231" s="100"/>
      <c r="E231" s="102"/>
      <c r="F231" s="102"/>
      <c r="G231" s="18" t="str">
        <f t="shared" si="46"/>
        <v/>
      </c>
      <c r="H231" s="23" t="str">
        <f t="shared" si="47"/>
        <v/>
      </c>
      <c r="I231" s="27"/>
      <c r="J231" s="3"/>
      <c r="K231" s="3"/>
      <c r="L231" s="3"/>
      <c r="M231" s="3"/>
      <c r="N231" s="3"/>
      <c r="O231" s="3"/>
      <c r="P231" s="3"/>
      <c r="Q231" s="3"/>
      <c r="S231" s="103">
        <f t="shared" si="60"/>
        <v>0</v>
      </c>
      <c r="T231" s="103">
        <f t="shared" si="61"/>
        <v>0</v>
      </c>
      <c r="U231" s="104">
        <f t="shared" si="62"/>
        <v>0</v>
      </c>
      <c r="V231" s="104">
        <f t="shared" si="62"/>
        <v>0</v>
      </c>
      <c r="X231" s="103" t="e">
        <f t="shared" si="63"/>
        <v>#REF!</v>
      </c>
      <c r="Y231" s="103" t="e">
        <f t="shared" si="64"/>
        <v>#REF!</v>
      </c>
      <c r="Z231" s="104" t="e">
        <f t="shared" si="65"/>
        <v>#REF!</v>
      </c>
      <c r="AA231" s="104" t="e">
        <f t="shared" si="65"/>
        <v>#REF!</v>
      </c>
      <c r="AC231" s="103" t="e">
        <f t="shared" si="66"/>
        <v>#REF!</v>
      </c>
      <c r="AD231" s="103" t="e">
        <f t="shared" si="67"/>
        <v>#REF!</v>
      </c>
      <c r="AE231" s="104" t="e">
        <f t="shared" si="68"/>
        <v>#REF!</v>
      </c>
      <c r="AF231" s="104" t="e">
        <f t="shared" si="68"/>
        <v>#REF!</v>
      </c>
      <c r="AH231" s="103" t="e">
        <f t="shared" si="69"/>
        <v>#REF!</v>
      </c>
      <c r="AI231" s="103" t="e">
        <f t="shared" si="70"/>
        <v>#REF!</v>
      </c>
      <c r="AJ231" s="104" t="e">
        <f t="shared" si="71"/>
        <v>#REF!</v>
      </c>
      <c r="AK231" s="104" t="e">
        <f t="shared" si="71"/>
        <v>#REF!</v>
      </c>
    </row>
    <row r="232" spans="1:37" ht="15" customHeight="1">
      <c r="A232" s="97"/>
      <c r="B232" s="106"/>
      <c r="C232" s="99"/>
      <c r="D232" s="100"/>
      <c r="E232" s="102"/>
      <c r="F232" s="102"/>
      <c r="G232" s="18" t="str">
        <f t="shared" si="46"/>
        <v/>
      </c>
      <c r="H232" s="23" t="str">
        <f t="shared" si="47"/>
        <v/>
      </c>
      <c r="I232" s="26"/>
      <c r="J232" s="3"/>
      <c r="K232" s="3"/>
      <c r="L232" s="3"/>
      <c r="M232" s="3"/>
      <c r="N232" s="3"/>
      <c r="O232" s="3"/>
      <c r="P232" s="3"/>
      <c r="Q232" s="3"/>
      <c r="S232" s="103">
        <f t="shared" si="60"/>
        <v>0</v>
      </c>
      <c r="T232" s="103">
        <f t="shared" si="61"/>
        <v>0</v>
      </c>
      <c r="U232" s="104">
        <f t="shared" si="62"/>
        <v>0</v>
      </c>
      <c r="V232" s="104">
        <f t="shared" si="62"/>
        <v>0</v>
      </c>
      <c r="X232" s="103" t="e">
        <f t="shared" si="63"/>
        <v>#REF!</v>
      </c>
      <c r="Y232" s="103" t="e">
        <f t="shared" si="64"/>
        <v>#REF!</v>
      </c>
      <c r="Z232" s="104" t="e">
        <f t="shared" si="65"/>
        <v>#REF!</v>
      </c>
      <c r="AA232" s="104" t="e">
        <f t="shared" si="65"/>
        <v>#REF!</v>
      </c>
      <c r="AC232" s="103" t="e">
        <f t="shared" si="66"/>
        <v>#REF!</v>
      </c>
      <c r="AD232" s="103" t="e">
        <f t="shared" si="67"/>
        <v>#REF!</v>
      </c>
      <c r="AE232" s="104" t="e">
        <f t="shared" si="68"/>
        <v>#REF!</v>
      </c>
      <c r="AF232" s="104" t="e">
        <f t="shared" si="68"/>
        <v>#REF!</v>
      </c>
      <c r="AH232" s="103" t="e">
        <f t="shared" si="69"/>
        <v>#REF!</v>
      </c>
      <c r="AI232" s="103" t="e">
        <f t="shared" si="70"/>
        <v>#REF!</v>
      </c>
      <c r="AJ232" s="104" t="e">
        <f t="shared" si="71"/>
        <v>#REF!</v>
      </c>
      <c r="AK232" s="104" t="e">
        <f t="shared" si="71"/>
        <v>#REF!</v>
      </c>
    </row>
    <row r="233" spans="1:37" ht="15" customHeight="1">
      <c r="A233" s="97"/>
      <c r="B233" s="105"/>
      <c r="C233" s="99"/>
      <c r="D233" s="100"/>
      <c r="E233" s="102"/>
      <c r="F233" s="102"/>
      <c r="G233" s="18" t="str">
        <f t="shared" si="46"/>
        <v/>
      </c>
      <c r="H233" s="23" t="str">
        <f t="shared" si="47"/>
        <v/>
      </c>
      <c r="I233" s="27"/>
      <c r="J233" s="3"/>
      <c r="K233" s="3"/>
      <c r="L233" s="3"/>
      <c r="M233" s="3"/>
      <c r="N233" s="3"/>
      <c r="O233" s="3"/>
      <c r="P233" s="3"/>
      <c r="Q233" s="3"/>
      <c r="S233" s="103">
        <f t="shared" si="60"/>
        <v>0</v>
      </c>
      <c r="T233" s="103">
        <f t="shared" si="61"/>
        <v>0</v>
      </c>
      <c r="U233" s="104">
        <f t="shared" si="62"/>
        <v>0</v>
      </c>
      <c r="V233" s="104">
        <f t="shared" si="62"/>
        <v>0</v>
      </c>
      <c r="X233" s="103" t="e">
        <f t="shared" si="63"/>
        <v>#REF!</v>
      </c>
      <c r="Y233" s="103" t="e">
        <f t="shared" si="64"/>
        <v>#REF!</v>
      </c>
      <c r="Z233" s="104" t="e">
        <f t="shared" si="65"/>
        <v>#REF!</v>
      </c>
      <c r="AA233" s="104" t="e">
        <f t="shared" si="65"/>
        <v>#REF!</v>
      </c>
      <c r="AC233" s="103" t="e">
        <f t="shared" si="66"/>
        <v>#REF!</v>
      </c>
      <c r="AD233" s="103" t="e">
        <f t="shared" si="67"/>
        <v>#REF!</v>
      </c>
      <c r="AE233" s="104" t="e">
        <f t="shared" si="68"/>
        <v>#REF!</v>
      </c>
      <c r="AF233" s="104" t="e">
        <f t="shared" si="68"/>
        <v>#REF!</v>
      </c>
      <c r="AH233" s="103" t="e">
        <f t="shared" si="69"/>
        <v>#REF!</v>
      </c>
      <c r="AI233" s="103" t="e">
        <f t="shared" si="70"/>
        <v>#REF!</v>
      </c>
      <c r="AJ233" s="104" t="e">
        <f t="shared" si="71"/>
        <v>#REF!</v>
      </c>
      <c r="AK233" s="104" t="e">
        <f t="shared" si="71"/>
        <v>#REF!</v>
      </c>
    </row>
    <row r="234" spans="1:37" ht="15" customHeight="1">
      <c r="A234" s="97"/>
      <c r="B234" s="106"/>
      <c r="C234" s="99"/>
      <c r="D234" s="100"/>
      <c r="E234" s="102"/>
      <c r="F234" s="102"/>
      <c r="G234" s="18" t="str">
        <f t="shared" si="46"/>
        <v/>
      </c>
      <c r="H234" s="23" t="str">
        <f t="shared" si="47"/>
        <v/>
      </c>
      <c r="I234" s="27"/>
      <c r="J234" s="3"/>
      <c r="K234" s="3"/>
      <c r="L234" s="3"/>
      <c r="M234" s="3"/>
      <c r="N234" s="3"/>
      <c r="O234" s="3"/>
      <c r="P234" s="3"/>
      <c r="Q234" s="3"/>
      <c r="S234" s="103">
        <f t="shared" si="60"/>
        <v>0</v>
      </c>
      <c r="T234" s="103">
        <f t="shared" si="61"/>
        <v>0</v>
      </c>
      <c r="U234" s="104">
        <f t="shared" si="62"/>
        <v>0</v>
      </c>
      <c r="V234" s="104">
        <f t="shared" si="62"/>
        <v>0</v>
      </c>
      <c r="X234" s="103" t="e">
        <f t="shared" si="63"/>
        <v>#REF!</v>
      </c>
      <c r="Y234" s="103" t="e">
        <f t="shared" si="64"/>
        <v>#REF!</v>
      </c>
      <c r="Z234" s="104" t="e">
        <f t="shared" si="65"/>
        <v>#REF!</v>
      </c>
      <c r="AA234" s="104" t="e">
        <f t="shared" si="65"/>
        <v>#REF!</v>
      </c>
      <c r="AC234" s="103" t="e">
        <f t="shared" si="66"/>
        <v>#REF!</v>
      </c>
      <c r="AD234" s="103" t="e">
        <f t="shared" si="67"/>
        <v>#REF!</v>
      </c>
      <c r="AE234" s="104" t="e">
        <f t="shared" si="68"/>
        <v>#REF!</v>
      </c>
      <c r="AF234" s="104" t="e">
        <f t="shared" si="68"/>
        <v>#REF!</v>
      </c>
      <c r="AH234" s="103" t="e">
        <f t="shared" si="69"/>
        <v>#REF!</v>
      </c>
      <c r="AI234" s="103" t="e">
        <f t="shared" si="70"/>
        <v>#REF!</v>
      </c>
      <c r="AJ234" s="104" t="e">
        <f t="shared" si="71"/>
        <v>#REF!</v>
      </c>
      <c r="AK234" s="104" t="e">
        <f t="shared" si="71"/>
        <v>#REF!</v>
      </c>
    </row>
    <row r="235" spans="1:37" ht="15" customHeight="1">
      <c r="A235" s="97"/>
      <c r="B235" s="110"/>
      <c r="C235" s="99"/>
      <c r="D235" s="100"/>
      <c r="E235" s="102"/>
      <c r="F235" s="102"/>
      <c r="G235" s="18" t="str">
        <f t="shared" si="46"/>
        <v/>
      </c>
      <c r="H235" s="23" t="str">
        <f t="shared" si="47"/>
        <v/>
      </c>
      <c r="I235" s="27"/>
      <c r="J235" s="3"/>
      <c r="K235" s="3"/>
      <c r="L235" s="3"/>
      <c r="M235" s="3"/>
      <c r="N235" s="3"/>
      <c r="O235" s="3"/>
      <c r="P235" s="3"/>
      <c r="Q235" s="3"/>
      <c r="S235" s="103">
        <f t="shared" si="60"/>
        <v>0</v>
      </c>
      <c r="T235" s="103">
        <f t="shared" si="61"/>
        <v>0</v>
      </c>
      <c r="U235" s="104">
        <f t="shared" si="62"/>
        <v>0</v>
      </c>
      <c r="V235" s="104">
        <f t="shared" si="62"/>
        <v>0</v>
      </c>
      <c r="X235" s="103" t="e">
        <f t="shared" si="63"/>
        <v>#REF!</v>
      </c>
      <c r="Y235" s="103" t="e">
        <f t="shared" si="64"/>
        <v>#REF!</v>
      </c>
      <c r="Z235" s="104" t="e">
        <f t="shared" si="65"/>
        <v>#REF!</v>
      </c>
      <c r="AA235" s="104" t="e">
        <f t="shared" si="65"/>
        <v>#REF!</v>
      </c>
      <c r="AC235" s="103" t="e">
        <f t="shared" si="66"/>
        <v>#REF!</v>
      </c>
      <c r="AD235" s="103" t="e">
        <f t="shared" si="67"/>
        <v>#REF!</v>
      </c>
      <c r="AE235" s="104" t="e">
        <f t="shared" si="68"/>
        <v>#REF!</v>
      </c>
      <c r="AF235" s="104" t="e">
        <f t="shared" si="68"/>
        <v>#REF!</v>
      </c>
      <c r="AH235" s="103" t="e">
        <f t="shared" si="69"/>
        <v>#REF!</v>
      </c>
      <c r="AI235" s="103" t="e">
        <f t="shared" si="70"/>
        <v>#REF!</v>
      </c>
      <c r="AJ235" s="104" t="e">
        <f t="shared" si="71"/>
        <v>#REF!</v>
      </c>
      <c r="AK235" s="104" t="e">
        <f t="shared" si="71"/>
        <v>#REF!</v>
      </c>
    </row>
    <row r="236" spans="1:37" ht="15" customHeight="1">
      <c r="A236" s="97"/>
      <c r="B236" s="110"/>
      <c r="C236" s="99"/>
      <c r="D236" s="100"/>
      <c r="E236" s="102"/>
      <c r="F236" s="102"/>
      <c r="G236" s="18" t="str">
        <f t="shared" si="46"/>
        <v/>
      </c>
      <c r="H236" s="23" t="str">
        <f t="shared" si="47"/>
        <v/>
      </c>
      <c r="I236" s="27"/>
      <c r="J236" s="3"/>
      <c r="K236" s="3"/>
      <c r="L236" s="3"/>
      <c r="M236" s="3"/>
      <c r="N236" s="3"/>
      <c r="O236" s="3"/>
      <c r="P236" s="3"/>
      <c r="Q236" s="3"/>
      <c r="S236" s="103">
        <f t="shared" si="60"/>
        <v>0</v>
      </c>
      <c r="T236" s="103">
        <f t="shared" si="61"/>
        <v>0</v>
      </c>
      <c r="U236" s="104">
        <f t="shared" si="62"/>
        <v>0</v>
      </c>
      <c r="V236" s="104">
        <f t="shared" si="62"/>
        <v>0</v>
      </c>
      <c r="X236" s="103" t="e">
        <f t="shared" si="63"/>
        <v>#REF!</v>
      </c>
      <c r="Y236" s="103" t="e">
        <f t="shared" si="64"/>
        <v>#REF!</v>
      </c>
      <c r="Z236" s="104" t="e">
        <f t="shared" si="65"/>
        <v>#REF!</v>
      </c>
      <c r="AA236" s="104" t="e">
        <f t="shared" si="65"/>
        <v>#REF!</v>
      </c>
      <c r="AC236" s="103" t="e">
        <f t="shared" si="66"/>
        <v>#REF!</v>
      </c>
      <c r="AD236" s="103" t="e">
        <f t="shared" si="67"/>
        <v>#REF!</v>
      </c>
      <c r="AE236" s="104" t="e">
        <f t="shared" si="68"/>
        <v>#REF!</v>
      </c>
      <c r="AF236" s="104" t="e">
        <f t="shared" si="68"/>
        <v>#REF!</v>
      </c>
      <c r="AH236" s="103" t="e">
        <f t="shared" si="69"/>
        <v>#REF!</v>
      </c>
      <c r="AI236" s="103" t="e">
        <f t="shared" si="70"/>
        <v>#REF!</v>
      </c>
      <c r="AJ236" s="104" t="e">
        <f t="shared" si="71"/>
        <v>#REF!</v>
      </c>
      <c r="AK236" s="104" t="e">
        <f t="shared" si="71"/>
        <v>#REF!</v>
      </c>
    </row>
    <row r="237" spans="1:37" ht="15" customHeight="1">
      <c r="A237" s="97"/>
      <c r="B237" s="110"/>
      <c r="C237" s="99"/>
      <c r="D237" s="100"/>
      <c r="E237" s="102"/>
      <c r="F237" s="102"/>
      <c r="G237" s="18" t="str">
        <f t="shared" si="46"/>
        <v/>
      </c>
      <c r="H237" s="23" t="str">
        <f t="shared" si="47"/>
        <v/>
      </c>
      <c r="I237" s="27"/>
      <c r="J237" s="3"/>
      <c r="K237" s="3"/>
      <c r="L237" s="3"/>
      <c r="M237" s="3"/>
      <c r="N237" s="3"/>
      <c r="O237" s="3"/>
      <c r="P237" s="3"/>
      <c r="Q237" s="3"/>
      <c r="S237" s="103">
        <f t="shared" si="60"/>
        <v>0</v>
      </c>
      <c r="T237" s="103">
        <f t="shared" si="61"/>
        <v>0</v>
      </c>
      <c r="U237" s="104">
        <f t="shared" si="62"/>
        <v>0</v>
      </c>
      <c r="V237" s="104">
        <f t="shared" si="62"/>
        <v>0</v>
      </c>
      <c r="X237" s="103" t="e">
        <f t="shared" si="63"/>
        <v>#REF!</v>
      </c>
      <c r="Y237" s="103" t="e">
        <f t="shared" si="64"/>
        <v>#REF!</v>
      </c>
      <c r="Z237" s="104" t="e">
        <f t="shared" si="65"/>
        <v>#REF!</v>
      </c>
      <c r="AA237" s="104" t="e">
        <f t="shared" si="65"/>
        <v>#REF!</v>
      </c>
      <c r="AC237" s="103" t="e">
        <f t="shared" si="66"/>
        <v>#REF!</v>
      </c>
      <c r="AD237" s="103" t="e">
        <f t="shared" si="67"/>
        <v>#REF!</v>
      </c>
      <c r="AE237" s="104" t="e">
        <f t="shared" si="68"/>
        <v>#REF!</v>
      </c>
      <c r="AF237" s="104" t="e">
        <f t="shared" si="68"/>
        <v>#REF!</v>
      </c>
      <c r="AH237" s="103" t="e">
        <f t="shared" si="69"/>
        <v>#REF!</v>
      </c>
      <c r="AI237" s="103" t="e">
        <f t="shared" si="70"/>
        <v>#REF!</v>
      </c>
      <c r="AJ237" s="104" t="e">
        <f t="shared" si="71"/>
        <v>#REF!</v>
      </c>
      <c r="AK237" s="104" t="e">
        <f t="shared" si="71"/>
        <v>#REF!</v>
      </c>
    </row>
    <row r="238" spans="1:37" ht="15" customHeight="1">
      <c r="A238" s="97"/>
      <c r="B238" s="108"/>
      <c r="C238" s="99"/>
      <c r="D238" s="100"/>
      <c r="E238" s="102"/>
      <c r="F238" s="102"/>
      <c r="G238" s="18" t="str">
        <f t="shared" si="46"/>
        <v/>
      </c>
      <c r="H238" s="23" t="str">
        <f t="shared" si="47"/>
        <v/>
      </c>
      <c r="I238" s="26"/>
      <c r="J238" s="3"/>
      <c r="K238" s="3"/>
      <c r="L238" s="3"/>
      <c r="M238" s="3"/>
      <c r="N238" s="3"/>
      <c r="O238" s="3"/>
      <c r="P238" s="3"/>
      <c r="Q238" s="3"/>
      <c r="S238" s="103">
        <f t="shared" si="60"/>
        <v>0</v>
      </c>
      <c r="T238" s="103">
        <f t="shared" si="61"/>
        <v>0</v>
      </c>
      <c r="U238" s="104">
        <f t="shared" si="62"/>
        <v>0</v>
      </c>
      <c r="V238" s="104">
        <f t="shared" si="62"/>
        <v>0</v>
      </c>
      <c r="X238" s="103" t="e">
        <f t="shared" si="63"/>
        <v>#REF!</v>
      </c>
      <c r="Y238" s="103" t="e">
        <f t="shared" si="64"/>
        <v>#REF!</v>
      </c>
      <c r="Z238" s="104" t="e">
        <f t="shared" si="65"/>
        <v>#REF!</v>
      </c>
      <c r="AA238" s="104" t="e">
        <f t="shared" si="65"/>
        <v>#REF!</v>
      </c>
      <c r="AC238" s="103" t="e">
        <f t="shared" si="66"/>
        <v>#REF!</v>
      </c>
      <c r="AD238" s="103" t="e">
        <f t="shared" si="67"/>
        <v>#REF!</v>
      </c>
      <c r="AE238" s="104" t="e">
        <f t="shared" si="68"/>
        <v>#REF!</v>
      </c>
      <c r="AF238" s="104" t="e">
        <f t="shared" si="68"/>
        <v>#REF!</v>
      </c>
      <c r="AH238" s="103" t="e">
        <f t="shared" si="69"/>
        <v>#REF!</v>
      </c>
      <c r="AI238" s="103" t="e">
        <f t="shared" si="70"/>
        <v>#REF!</v>
      </c>
      <c r="AJ238" s="104" t="e">
        <f t="shared" si="71"/>
        <v>#REF!</v>
      </c>
      <c r="AK238" s="104" t="e">
        <f t="shared" si="71"/>
        <v>#REF!</v>
      </c>
    </row>
    <row r="239" spans="1:37" ht="15" customHeight="1">
      <c r="A239" s="97"/>
      <c r="B239" s="106"/>
      <c r="C239" s="99"/>
      <c r="D239" s="100"/>
      <c r="E239" s="102"/>
      <c r="F239" s="102"/>
      <c r="G239" s="18" t="str">
        <f t="shared" si="46"/>
        <v/>
      </c>
      <c r="H239" s="23" t="str">
        <f t="shared" si="47"/>
        <v/>
      </c>
      <c r="I239" s="27"/>
      <c r="J239" s="3"/>
      <c r="K239" s="3"/>
      <c r="L239" s="3"/>
      <c r="M239" s="3"/>
      <c r="N239" s="3"/>
      <c r="O239" s="3"/>
      <c r="P239" s="3"/>
      <c r="Q239" s="3"/>
      <c r="S239" s="103">
        <f t="shared" si="60"/>
        <v>0</v>
      </c>
      <c r="T239" s="103">
        <f t="shared" si="61"/>
        <v>0</v>
      </c>
      <c r="U239" s="104">
        <f t="shared" si="62"/>
        <v>0</v>
      </c>
      <c r="V239" s="104">
        <f t="shared" si="62"/>
        <v>0</v>
      </c>
      <c r="X239" s="103" t="e">
        <f t="shared" si="63"/>
        <v>#REF!</v>
      </c>
      <c r="Y239" s="103" t="e">
        <f t="shared" si="64"/>
        <v>#REF!</v>
      </c>
      <c r="Z239" s="104" t="e">
        <f t="shared" si="65"/>
        <v>#REF!</v>
      </c>
      <c r="AA239" s="104" t="e">
        <f t="shared" si="65"/>
        <v>#REF!</v>
      </c>
      <c r="AC239" s="103" t="e">
        <f t="shared" si="66"/>
        <v>#REF!</v>
      </c>
      <c r="AD239" s="103" t="e">
        <f t="shared" si="67"/>
        <v>#REF!</v>
      </c>
      <c r="AE239" s="104" t="e">
        <f t="shared" si="68"/>
        <v>#REF!</v>
      </c>
      <c r="AF239" s="104" t="e">
        <f t="shared" si="68"/>
        <v>#REF!</v>
      </c>
      <c r="AH239" s="103" t="e">
        <f t="shared" si="69"/>
        <v>#REF!</v>
      </c>
      <c r="AI239" s="103" t="e">
        <f t="shared" si="70"/>
        <v>#REF!</v>
      </c>
      <c r="AJ239" s="104" t="e">
        <f t="shared" si="71"/>
        <v>#REF!</v>
      </c>
      <c r="AK239" s="104" t="e">
        <f t="shared" si="71"/>
        <v>#REF!</v>
      </c>
    </row>
    <row r="240" spans="1:37" ht="15" customHeight="1">
      <c r="A240" s="107"/>
      <c r="B240" s="108"/>
      <c r="C240" s="99"/>
      <c r="D240" s="100"/>
      <c r="E240" s="102"/>
      <c r="F240" s="102"/>
      <c r="G240" s="18" t="str">
        <f t="shared" si="46"/>
        <v/>
      </c>
      <c r="H240" s="23" t="str">
        <f t="shared" si="47"/>
        <v/>
      </c>
      <c r="I240" s="27"/>
      <c r="J240" s="3"/>
      <c r="K240" s="3"/>
      <c r="L240" s="3"/>
      <c r="M240" s="3"/>
      <c r="N240" s="3"/>
      <c r="O240" s="3"/>
      <c r="P240" s="3"/>
      <c r="Q240" s="3"/>
      <c r="S240" s="103">
        <f t="shared" si="60"/>
        <v>0</v>
      </c>
      <c r="T240" s="103">
        <f t="shared" si="61"/>
        <v>0</v>
      </c>
      <c r="U240" s="104">
        <f t="shared" si="62"/>
        <v>0</v>
      </c>
      <c r="V240" s="104">
        <f t="shared" si="62"/>
        <v>0</v>
      </c>
      <c r="X240" s="103" t="e">
        <f t="shared" si="63"/>
        <v>#REF!</v>
      </c>
      <c r="Y240" s="103" t="e">
        <f t="shared" si="64"/>
        <v>#REF!</v>
      </c>
      <c r="Z240" s="104" t="e">
        <f t="shared" si="65"/>
        <v>#REF!</v>
      </c>
      <c r="AA240" s="104" t="e">
        <f t="shared" si="65"/>
        <v>#REF!</v>
      </c>
      <c r="AC240" s="103" t="e">
        <f t="shared" si="66"/>
        <v>#REF!</v>
      </c>
      <c r="AD240" s="103" t="e">
        <f t="shared" si="67"/>
        <v>#REF!</v>
      </c>
      <c r="AE240" s="104" t="e">
        <f t="shared" si="68"/>
        <v>#REF!</v>
      </c>
      <c r="AF240" s="104" t="e">
        <f t="shared" si="68"/>
        <v>#REF!</v>
      </c>
      <c r="AH240" s="103" t="e">
        <f t="shared" si="69"/>
        <v>#REF!</v>
      </c>
      <c r="AI240" s="103" t="e">
        <f t="shared" si="70"/>
        <v>#REF!</v>
      </c>
      <c r="AJ240" s="104" t="e">
        <f t="shared" si="71"/>
        <v>#REF!</v>
      </c>
      <c r="AK240" s="104" t="e">
        <f t="shared" si="71"/>
        <v>#REF!</v>
      </c>
    </row>
    <row r="241" spans="1:37" ht="15" customHeight="1">
      <c r="A241" s="107"/>
      <c r="B241" s="108"/>
      <c r="C241" s="99"/>
      <c r="D241" s="100"/>
      <c r="E241" s="102"/>
      <c r="F241" s="102"/>
      <c r="G241" s="18" t="str">
        <f t="shared" si="46"/>
        <v/>
      </c>
      <c r="H241" s="23" t="str">
        <f t="shared" si="47"/>
        <v/>
      </c>
      <c r="I241" s="27"/>
      <c r="J241" s="3"/>
      <c r="K241" s="3"/>
      <c r="L241" s="3"/>
      <c r="M241" s="3"/>
      <c r="N241" s="3"/>
      <c r="O241" s="3"/>
      <c r="P241" s="3"/>
      <c r="Q241" s="3"/>
      <c r="S241" s="103">
        <f t="shared" si="60"/>
        <v>0</v>
      </c>
      <c r="T241" s="103">
        <f t="shared" si="61"/>
        <v>0</v>
      </c>
      <c r="U241" s="104">
        <f t="shared" si="62"/>
        <v>0</v>
      </c>
      <c r="V241" s="104">
        <f t="shared" si="62"/>
        <v>0</v>
      </c>
      <c r="X241" s="103" t="e">
        <f t="shared" si="63"/>
        <v>#REF!</v>
      </c>
      <c r="Y241" s="103" t="e">
        <f t="shared" si="64"/>
        <v>#REF!</v>
      </c>
      <c r="Z241" s="104" t="e">
        <f t="shared" si="65"/>
        <v>#REF!</v>
      </c>
      <c r="AA241" s="104" t="e">
        <f t="shared" si="65"/>
        <v>#REF!</v>
      </c>
      <c r="AC241" s="103" t="e">
        <f t="shared" si="66"/>
        <v>#REF!</v>
      </c>
      <c r="AD241" s="103" t="e">
        <f t="shared" si="67"/>
        <v>#REF!</v>
      </c>
      <c r="AE241" s="104" t="e">
        <f t="shared" si="68"/>
        <v>#REF!</v>
      </c>
      <c r="AF241" s="104" t="e">
        <f t="shared" si="68"/>
        <v>#REF!</v>
      </c>
      <c r="AH241" s="103" t="e">
        <f t="shared" si="69"/>
        <v>#REF!</v>
      </c>
      <c r="AI241" s="103" t="e">
        <f t="shared" si="70"/>
        <v>#REF!</v>
      </c>
      <c r="AJ241" s="104" t="e">
        <f t="shared" si="71"/>
        <v>#REF!</v>
      </c>
      <c r="AK241" s="104" t="e">
        <f t="shared" si="71"/>
        <v>#REF!</v>
      </c>
    </row>
    <row r="242" spans="1:37" ht="15" customHeight="1">
      <c r="A242" s="97"/>
      <c r="B242" s="106"/>
      <c r="C242" s="99"/>
      <c r="D242" s="100"/>
      <c r="E242" s="102"/>
      <c r="F242" s="102"/>
      <c r="G242" s="18" t="str">
        <f t="shared" si="46"/>
        <v/>
      </c>
      <c r="H242" s="23" t="str">
        <f t="shared" si="47"/>
        <v/>
      </c>
      <c r="I242" s="27"/>
      <c r="J242" s="3"/>
      <c r="K242" s="3"/>
      <c r="L242" s="3"/>
      <c r="M242" s="3"/>
      <c r="N242" s="3"/>
      <c r="O242" s="3"/>
      <c r="P242" s="3"/>
      <c r="Q242" s="3"/>
      <c r="S242" s="103">
        <f t="shared" si="60"/>
        <v>0</v>
      </c>
      <c r="T242" s="103">
        <f t="shared" si="61"/>
        <v>0</v>
      </c>
      <c r="U242" s="104">
        <f t="shared" si="62"/>
        <v>0</v>
      </c>
      <c r="V242" s="104">
        <f t="shared" si="62"/>
        <v>0</v>
      </c>
      <c r="X242" s="103" t="e">
        <f t="shared" si="63"/>
        <v>#REF!</v>
      </c>
      <c r="Y242" s="103" t="e">
        <f t="shared" si="64"/>
        <v>#REF!</v>
      </c>
      <c r="Z242" s="104" t="e">
        <f t="shared" si="65"/>
        <v>#REF!</v>
      </c>
      <c r="AA242" s="104" t="e">
        <f t="shared" si="65"/>
        <v>#REF!</v>
      </c>
      <c r="AC242" s="103" t="e">
        <f t="shared" si="66"/>
        <v>#REF!</v>
      </c>
      <c r="AD242" s="103" t="e">
        <f t="shared" si="67"/>
        <v>#REF!</v>
      </c>
      <c r="AE242" s="104" t="e">
        <f t="shared" si="68"/>
        <v>#REF!</v>
      </c>
      <c r="AF242" s="104" t="e">
        <f t="shared" si="68"/>
        <v>#REF!</v>
      </c>
      <c r="AH242" s="103" t="e">
        <f t="shared" si="69"/>
        <v>#REF!</v>
      </c>
      <c r="AI242" s="103" t="e">
        <f t="shared" si="70"/>
        <v>#REF!</v>
      </c>
      <c r="AJ242" s="104" t="e">
        <f t="shared" si="71"/>
        <v>#REF!</v>
      </c>
      <c r="AK242" s="104" t="e">
        <f t="shared" si="71"/>
        <v>#REF!</v>
      </c>
    </row>
    <row r="243" spans="1:37" ht="15" customHeight="1">
      <c r="A243" s="97"/>
      <c r="B243" s="106"/>
      <c r="C243" s="99"/>
      <c r="D243" s="100"/>
      <c r="E243" s="102"/>
      <c r="F243" s="102"/>
      <c r="G243" s="18" t="str">
        <f t="shared" si="46"/>
        <v/>
      </c>
      <c r="H243" s="23" t="str">
        <f t="shared" si="47"/>
        <v/>
      </c>
      <c r="I243" s="27"/>
      <c r="J243" s="3"/>
      <c r="K243" s="3"/>
      <c r="L243" s="3"/>
      <c r="M243" s="3"/>
      <c r="N243" s="3"/>
      <c r="O243" s="3"/>
      <c r="P243" s="3"/>
      <c r="Q243" s="3"/>
      <c r="S243" s="103">
        <f t="shared" si="60"/>
        <v>0</v>
      </c>
      <c r="T243" s="103">
        <f t="shared" si="61"/>
        <v>0</v>
      </c>
      <c r="U243" s="104">
        <f t="shared" si="62"/>
        <v>0</v>
      </c>
      <c r="V243" s="104">
        <f t="shared" si="62"/>
        <v>0</v>
      </c>
      <c r="X243" s="103" t="e">
        <f t="shared" si="63"/>
        <v>#REF!</v>
      </c>
      <c r="Y243" s="103" t="e">
        <f t="shared" si="64"/>
        <v>#REF!</v>
      </c>
      <c r="Z243" s="104" t="e">
        <f t="shared" si="65"/>
        <v>#REF!</v>
      </c>
      <c r="AA243" s="104" t="e">
        <f t="shared" si="65"/>
        <v>#REF!</v>
      </c>
      <c r="AC243" s="103" t="e">
        <f t="shared" si="66"/>
        <v>#REF!</v>
      </c>
      <c r="AD243" s="103" t="e">
        <f t="shared" si="67"/>
        <v>#REF!</v>
      </c>
      <c r="AE243" s="104" t="e">
        <f t="shared" si="68"/>
        <v>#REF!</v>
      </c>
      <c r="AF243" s="104" t="e">
        <f t="shared" si="68"/>
        <v>#REF!</v>
      </c>
      <c r="AH243" s="103" t="e">
        <f t="shared" si="69"/>
        <v>#REF!</v>
      </c>
      <c r="AI243" s="103" t="e">
        <f t="shared" si="70"/>
        <v>#REF!</v>
      </c>
      <c r="AJ243" s="104" t="e">
        <f t="shared" si="71"/>
        <v>#REF!</v>
      </c>
      <c r="AK243" s="104" t="e">
        <f t="shared" si="71"/>
        <v>#REF!</v>
      </c>
    </row>
    <row r="244" spans="1:37" ht="15" customHeight="1">
      <c r="A244" s="97"/>
      <c r="B244" s="106"/>
      <c r="C244" s="99"/>
      <c r="D244" s="100"/>
      <c r="E244" s="102"/>
      <c r="F244" s="102"/>
      <c r="G244" s="18" t="str">
        <f t="shared" si="46"/>
        <v/>
      </c>
      <c r="H244" s="23" t="str">
        <f t="shared" si="47"/>
        <v/>
      </c>
      <c r="I244" s="27"/>
      <c r="J244" s="3"/>
      <c r="K244" s="3"/>
      <c r="L244" s="3"/>
      <c r="M244" s="3"/>
      <c r="N244" s="3"/>
      <c r="O244" s="3"/>
      <c r="P244" s="3"/>
      <c r="Q244" s="3"/>
      <c r="S244" s="103">
        <f t="shared" si="60"/>
        <v>0</v>
      </c>
      <c r="T244" s="103">
        <f t="shared" si="61"/>
        <v>0</v>
      </c>
      <c r="U244" s="104">
        <f t="shared" si="62"/>
        <v>0</v>
      </c>
      <c r="V244" s="104">
        <f t="shared" si="62"/>
        <v>0</v>
      </c>
      <c r="X244" s="103" t="e">
        <f t="shared" si="63"/>
        <v>#REF!</v>
      </c>
      <c r="Y244" s="103" t="e">
        <f t="shared" si="64"/>
        <v>#REF!</v>
      </c>
      <c r="Z244" s="104" t="e">
        <f t="shared" si="65"/>
        <v>#REF!</v>
      </c>
      <c r="AA244" s="104" t="e">
        <f t="shared" si="65"/>
        <v>#REF!</v>
      </c>
      <c r="AC244" s="103" t="e">
        <f t="shared" si="66"/>
        <v>#REF!</v>
      </c>
      <c r="AD244" s="103" t="e">
        <f t="shared" si="67"/>
        <v>#REF!</v>
      </c>
      <c r="AE244" s="104" t="e">
        <f t="shared" si="68"/>
        <v>#REF!</v>
      </c>
      <c r="AF244" s="104" t="e">
        <f t="shared" si="68"/>
        <v>#REF!</v>
      </c>
      <c r="AH244" s="103" t="e">
        <f t="shared" si="69"/>
        <v>#REF!</v>
      </c>
      <c r="AI244" s="103" t="e">
        <f t="shared" si="70"/>
        <v>#REF!</v>
      </c>
      <c r="AJ244" s="104" t="e">
        <f t="shared" si="71"/>
        <v>#REF!</v>
      </c>
      <c r="AK244" s="104" t="e">
        <f t="shared" si="71"/>
        <v>#REF!</v>
      </c>
    </row>
    <row r="245" spans="1:37" ht="15" customHeight="1">
      <c r="A245" s="97"/>
      <c r="B245" s="106"/>
      <c r="C245" s="99"/>
      <c r="D245" s="100"/>
      <c r="E245" s="102"/>
      <c r="F245" s="102"/>
      <c r="G245" s="18" t="str">
        <f t="shared" si="46"/>
        <v/>
      </c>
      <c r="H245" s="23" t="str">
        <f t="shared" si="47"/>
        <v/>
      </c>
      <c r="I245" s="27"/>
      <c r="J245" s="3"/>
      <c r="K245" s="3"/>
      <c r="L245" s="3"/>
      <c r="M245" s="3"/>
      <c r="N245" s="3"/>
      <c r="O245" s="3"/>
      <c r="P245" s="3"/>
      <c r="Q245" s="3"/>
      <c r="S245" s="103">
        <f t="shared" si="60"/>
        <v>0</v>
      </c>
      <c r="T245" s="103">
        <f t="shared" si="61"/>
        <v>0</v>
      </c>
      <c r="U245" s="104">
        <f t="shared" si="62"/>
        <v>0</v>
      </c>
      <c r="V245" s="104">
        <f t="shared" si="62"/>
        <v>0</v>
      </c>
      <c r="X245" s="103" t="e">
        <f t="shared" si="63"/>
        <v>#REF!</v>
      </c>
      <c r="Y245" s="103" t="e">
        <f t="shared" si="64"/>
        <v>#REF!</v>
      </c>
      <c r="Z245" s="104" t="e">
        <f t="shared" si="65"/>
        <v>#REF!</v>
      </c>
      <c r="AA245" s="104" t="e">
        <f t="shared" si="65"/>
        <v>#REF!</v>
      </c>
      <c r="AC245" s="103" t="e">
        <f t="shared" si="66"/>
        <v>#REF!</v>
      </c>
      <c r="AD245" s="103" t="e">
        <f t="shared" si="67"/>
        <v>#REF!</v>
      </c>
      <c r="AE245" s="104" t="e">
        <f t="shared" si="68"/>
        <v>#REF!</v>
      </c>
      <c r="AF245" s="104" t="e">
        <f t="shared" si="68"/>
        <v>#REF!</v>
      </c>
      <c r="AH245" s="103" t="e">
        <f t="shared" si="69"/>
        <v>#REF!</v>
      </c>
      <c r="AI245" s="103" t="e">
        <f t="shared" si="70"/>
        <v>#REF!</v>
      </c>
      <c r="AJ245" s="104" t="e">
        <f t="shared" si="71"/>
        <v>#REF!</v>
      </c>
      <c r="AK245" s="104" t="e">
        <f t="shared" si="71"/>
        <v>#REF!</v>
      </c>
    </row>
    <row r="246" spans="1:37" ht="15" customHeight="1">
      <c r="A246" s="97"/>
      <c r="B246" s="106"/>
      <c r="C246" s="99"/>
      <c r="D246" s="100"/>
      <c r="E246" s="102"/>
      <c r="F246" s="102"/>
      <c r="G246" s="18" t="str">
        <f t="shared" si="46"/>
        <v/>
      </c>
      <c r="H246" s="23" t="str">
        <f t="shared" si="47"/>
        <v/>
      </c>
      <c r="I246" s="27"/>
      <c r="J246" s="3"/>
      <c r="K246" s="3"/>
      <c r="L246" s="3"/>
      <c r="M246" s="3"/>
      <c r="N246" s="3"/>
      <c r="O246" s="3"/>
      <c r="P246" s="3"/>
      <c r="Q246" s="3"/>
      <c r="S246" s="103">
        <f t="shared" si="60"/>
        <v>0</v>
      </c>
      <c r="T246" s="103">
        <f t="shared" si="61"/>
        <v>0</v>
      </c>
      <c r="U246" s="104">
        <f t="shared" si="62"/>
        <v>0</v>
      </c>
      <c r="V246" s="104">
        <f t="shared" si="62"/>
        <v>0</v>
      </c>
      <c r="X246" s="103" t="e">
        <f t="shared" si="63"/>
        <v>#REF!</v>
      </c>
      <c r="Y246" s="103" t="e">
        <f t="shared" si="64"/>
        <v>#REF!</v>
      </c>
      <c r="Z246" s="104" t="e">
        <f t="shared" si="65"/>
        <v>#REF!</v>
      </c>
      <c r="AA246" s="104" t="e">
        <f t="shared" si="65"/>
        <v>#REF!</v>
      </c>
      <c r="AC246" s="103" t="e">
        <f t="shared" si="66"/>
        <v>#REF!</v>
      </c>
      <c r="AD246" s="103" t="e">
        <f t="shared" si="67"/>
        <v>#REF!</v>
      </c>
      <c r="AE246" s="104" t="e">
        <f t="shared" si="68"/>
        <v>#REF!</v>
      </c>
      <c r="AF246" s="104" t="e">
        <f t="shared" si="68"/>
        <v>#REF!</v>
      </c>
      <c r="AH246" s="103" t="e">
        <f t="shared" si="69"/>
        <v>#REF!</v>
      </c>
      <c r="AI246" s="103" t="e">
        <f t="shared" si="70"/>
        <v>#REF!</v>
      </c>
      <c r="AJ246" s="104" t="e">
        <f t="shared" si="71"/>
        <v>#REF!</v>
      </c>
      <c r="AK246" s="104" t="e">
        <f t="shared" si="71"/>
        <v>#REF!</v>
      </c>
    </row>
    <row r="247" spans="1:37" ht="15" customHeight="1">
      <c r="A247" s="97"/>
      <c r="B247" s="106"/>
      <c r="C247" s="99"/>
      <c r="D247" s="100"/>
      <c r="E247" s="102"/>
      <c r="F247" s="102"/>
      <c r="G247" s="18" t="str">
        <f t="shared" si="46"/>
        <v/>
      </c>
      <c r="H247" s="23" t="str">
        <f t="shared" si="47"/>
        <v/>
      </c>
      <c r="I247" s="27"/>
      <c r="J247" s="3"/>
      <c r="K247" s="3"/>
      <c r="L247" s="3"/>
      <c r="M247" s="3"/>
      <c r="N247" s="3"/>
      <c r="O247" s="3"/>
      <c r="P247" s="3"/>
      <c r="Q247" s="3"/>
      <c r="S247" s="103">
        <f t="shared" si="60"/>
        <v>0</v>
      </c>
      <c r="T247" s="103">
        <f t="shared" si="61"/>
        <v>0</v>
      </c>
      <c r="U247" s="104">
        <f t="shared" si="62"/>
        <v>0</v>
      </c>
      <c r="V247" s="104">
        <f t="shared" si="62"/>
        <v>0</v>
      </c>
      <c r="X247" s="103" t="e">
        <f t="shared" si="63"/>
        <v>#REF!</v>
      </c>
      <c r="Y247" s="103" t="e">
        <f t="shared" si="64"/>
        <v>#REF!</v>
      </c>
      <c r="Z247" s="104" t="e">
        <f t="shared" si="65"/>
        <v>#REF!</v>
      </c>
      <c r="AA247" s="104" t="e">
        <f t="shared" si="65"/>
        <v>#REF!</v>
      </c>
      <c r="AC247" s="103" t="e">
        <f t="shared" si="66"/>
        <v>#REF!</v>
      </c>
      <c r="AD247" s="103" t="e">
        <f t="shared" si="67"/>
        <v>#REF!</v>
      </c>
      <c r="AE247" s="104" t="e">
        <f t="shared" si="68"/>
        <v>#REF!</v>
      </c>
      <c r="AF247" s="104" t="e">
        <f t="shared" si="68"/>
        <v>#REF!</v>
      </c>
      <c r="AH247" s="103" t="e">
        <f t="shared" si="69"/>
        <v>#REF!</v>
      </c>
      <c r="AI247" s="103" t="e">
        <f t="shared" si="70"/>
        <v>#REF!</v>
      </c>
      <c r="AJ247" s="104" t="e">
        <f t="shared" si="71"/>
        <v>#REF!</v>
      </c>
      <c r="AK247" s="104" t="e">
        <f t="shared" si="71"/>
        <v>#REF!</v>
      </c>
    </row>
    <row r="248" spans="1:37" ht="15" customHeight="1">
      <c r="A248" s="97"/>
      <c r="B248" s="108"/>
      <c r="C248" s="99"/>
      <c r="D248" s="100"/>
      <c r="E248" s="102"/>
      <c r="F248" s="102"/>
      <c r="G248" s="18" t="str">
        <f t="shared" si="46"/>
        <v/>
      </c>
      <c r="H248" s="23" t="str">
        <f t="shared" si="47"/>
        <v/>
      </c>
      <c r="I248" s="27"/>
      <c r="J248" s="3"/>
      <c r="K248" s="3"/>
      <c r="L248" s="3"/>
      <c r="M248" s="3"/>
      <c r="N248" s="3"/>
      <c r="O248" s="3"/>
      <c r="P248" s="3"/>
      <c r="Q248" s="3"/>
      <c r="S248" s="103">
        <f t="shared" si="60"/>
        <v>0</v>
      </c>
      <c r="T248" s="103">
        <f t="shared" si="61"/>
        <v>0</v>
      </c>
      <c r="U248" s="104">
        <f t="shared" si="62"/>
        <v>0</v>
      </c>
      <c r="V248" s="104">
        <f t="shared" si="62"/>
        <v>0</v>
      </c>
      <c r="X248" s="103" t="e">
        <f t="shared" si="63"/>
        <v>#REF!</v>
      </c>
      <c r="Y248" s="103" t="e">
        <f t="shared" si="64"/>
        <v>#REF!</v>
      </c>
      <c r="Z248" s="104" t="e">
        <f t="shared" si="65"/>
        <v>#REF!</v>
      </c>
      <c r="AA248" s="104" t="e">
        <f t="shared" si="65"/>
        <v>#REF!</v>
      </c>
      <c r="AC248" s="103" t="e">
        <f t="shared" si="66"/>
        <v>#REF!</v>
      </c>
      <c r="AD248" s="103" t="e">
        <f t="shared" si="67"/>
        <v>#REF!</v>
      </c>
      <c r="AE248" s="104" t="e">
        <f t="shared" si="68"/>
        <v>#REF!</v>
      </c>
      <c r="AF248" s="104" t="e">
        <f t="shared" si="68"/>
        <v>#REF!</v>
      </c>
      <c r="AH248" s="103" t="e">
        <f t="shared" si="69"/>
        <v>#REF!</v>
      </c>
      <c r="AI248" s="103" t="e">
        <f t="shared" si="70"/>
        <v>#REF!</v>
      </c>
      <c r="AJ248" s="104" t="e">
        <f t="shared" si="71"/>
        <v>#REF!</v>
      </c>
      <c r="AK248" s="104" t="e">
        <f t="shared" si="71"/>
        <v>#REF!</v>
      </c>
    </row>
    <row r="249" spans="1:37" ht="15" customHeight="1">
      <c r="A249" s="97"/>
      <c r="B249" s="108"/>
      <c r="C249" s="99"/>
      <c r="D249" s="100"/>
      <c r="E249" s="102"/>
      <c r="F249" s="102"/>
      <c r="G249" s="18" t="str">
        <f t="shared" si="46"/>
        <v/>
      </c>
      <c r="H249" s="23" t="str">
        <f t="shared" si="47"/>
        <v/>
      </c>
      <c r="I249" s="27"/>
      <c r="J249" s="3"/>
      <c r="K249" s="3"/>
      <c r="L249" s="3"/>
      <c r="M249" s="3"/>
      <c r="N249" s="3"/>
      <c r="O249" s="3"/>
      <c r="P249" s="3"/>
      <c r="Q249" s="3"/>
      <c r="S249" s="103">
        <f t="shared" si="60"/>
        <v>0</v>
      </c>
      <c r="T249" s="103">
        <f t="shared" si="61"/>
        <v>0</v>
      </c>
      <c r="U249" s="104">
        <f t="shared" si="62"/>
        <v>0</v>
      </c>
      <c r="V249" s="104">
        <f t="shared" si="62"/>
        <v>0</v>
      </c>
      <c r="X249" s="103" t="e">
        <f t="shared" si="63"/>
        <v>#REF!</v>
      </c>
      <c r="Y249" s="103" t="e">
        <f t="shared" si="64"/>
        <v>#REF!</v>
      </c>
      <c r="Z249" s="104" t="e">
        <f t="shared" si="65"/>
        <v>#REF!</v>
      </c>
      <c r="AA249" s="104" t="e">
        <f t="shared" si="65"/>
        <v>#REF!</v>
      </c>
      <c r="AC249" s="103" t="e">
        <f t="shared" si="66"/>
        <v>#REF!</v>
      </c>
      <c r="AD249" s="103" t="e">
        <f t="shared" si="67"/>
        <v>#REF!</v>
      </c>
      <c r="AE249" s="104" t="e">
        <f t="shared" si="68"/>
        <v>#REF!</v>
      </c>
      <c r="AF249" s="104" t="e">
        <f t="shared" si="68"/>
        <v>#REF!</v>
      </c>
      <c r="AH249" s="103" t="e">
        <f t="shared" si="69"/>
        <v>#REF!</v>
      </c>
      <c r="AI249" s="103" t="e">
        <f t="shared" si="70"/>
        <v>#REF!</v>
      </c>
      <c r="AJ249" s="104" t="e">
        <f t="shared" si="71"/>
        <v>#REF!</v>
      </c>
      <c r="AK249" s="104" t="e">
        <f t="shared" si="71"/>
        <v>#REF!</v>
      </c>
    </row>
    <row r="250" spans="1:37" ht="15" customHeight="1">
      <c r="A250" s="97"/>
      <c r="B250" s="108"/>
      <c r="C250" s="99"/>
      <c r="D250" s="100"/>
      <c r="E250" s="102"/>
      <c r="F250" s="102"/>
      <c r="G250" s="18" t="str">
        <f t="shared" si="46"/>
        <v/>
      </c>
      <c r="H250" s="23" t="str">
        <f t="shared" si="47"/>
        <v/>
      </c>
      <c r="I250" s="27"/>
      <c r="J250" s="3"/>
      <c r="K250" s="3"/>
      <c r="L250" s="3"/>
      <c r="M250" s="3"/>
      <c r="N250" s="3"/>
      <c r="O250" s="3"/>
      <c r="P250" s="3"/>
      <c r="Q250" s="3"/>
      <c r="S250" s="103">
        <f t="shared" si="60"/>
        <v>0</v>
      </c>
      <c r="T250" s="103">
        <f t="shared" si="61"/>
        <v>0</v>
      </c>
      <c r="U250" s="104">
        <f t="shared" si="62"/>
        <v>0</v>
      </c>
      <c r="V250" s="104">
        <f t="shared" si="62"/>
        <v>0</v>
      </c>
      <c r="X250" s="103" t="e">
        <f t="shared" si="63"/>
        <v>#REF!</v>
      </c>
      <c r="Y250" s="103" t="e">
        <f t="shared" si="64"/>
        <v>#REF!</v>
      </c>
      <c r="Z250" s="104" t="e">
        <f t="shared" si="65"/>
        <v>#REF!</v>
      </c>
      <c r="AA250" s="104" t="e">
        <f t="shared" si="65"/>
        <v>#REF!</v>
      </c>
      <c r="AC250" s="103" t="e">
        <f t="shared" si="66"/>
        <v>#REF!</v>
      </c>
      <c r="AD250" s="103" t="e">
        <f t="shared" si="67"/>
        <v>#REF!</v>
      </c>
      <c r="AE250" s="104" t="e">
        <f t="shared" si="68"/>
        <v>#REF!</v>
      </c>
      <c r="AF250" s="104" t="e">
        <f t="shared" si="68"/>
        <v>#REF!</v>
      </c>
      <c r="AH250" s="103" t="e">
        <f t="shared" si="69"/>
        <v>#REF!</v>
      </c>
      <c r="AI250" s="103" t="e">
        <f t="shared" si="70"/>
        <v>#REF!</v>
      </c>
      <c r="AJ250" s="104" t="e">
        <f t="shared" si="71"/>
        <v>#REF!</v>
      </c>
      <c r="AK250" s="104" t="e">
        <f t="shared" si="71"/>
        <v>#REF!</v>
      </c>
    </row>
    <row r="251" spans="1:37" ht="15" customHeight="1">
      <c r="A251" s="97"/>
      <c r="B251" s="108"/>
      <c r="C251" s="99"/>
      <c r="D251" s="100"/>
      <c r="E251" s="102"/>
      <c r="F251" s="102"/>
      <c r="G251" s="18" t="str">
        <f t="shared" si="46"/>
        <v/>
      </c>
      <c r="H251" s="23" t="str">
        <f t="shared" si="47"/>
        <v/>
      </c>
      <c r="I251" s="27"/>
      <c r="J251" s="3"/>
      <c r="K251" s="3"/>
      <c r="L251" s="3"/>
      <c r="M251" s="3"/>
      <c r="N251" s="3"/>
      <c r="O251" s="3"/>
      <c r="P251" s="3"/>
      <c r="Q251" s="3"/>
      <c r="S251" s="103">
        <f t="shared" si="60"/>
        <v>0</v>
      </c>
      <c r="T251" s="103">
        <f t="shared" si="61"/>
        <v>0</v>
      </c>
      <c r="U251" s="104">
        <f t="shared" si="62"/>
        <v>0</v>
      </c>
      <c r="V251" s="104">
        <f t="shared" si="62"/>
        <v>0</v>
      </c>
      <c r="X251" s="103" t="e">
        <f t="shared" si="63"/>
        <v>#REF!</v>
      </c>
      <c r="Y251" s="103" t="e">
        <f t="shared" si="64"/>
        <v>#REF!</v>
      </c>
      <c r="Z251" s="104" t="e">
        <f t="shared" si="65"/>
        <v>#REF!</v>
      </c>
      <c r="AA251" s="104" t="e">
        <f t="shared" si="65"/>
        <v>#REF!</v>
      </c>
      <c r="AC251" s="103" t="e">
        <f t="shared" si="66"/>
        <v>#REF!</v>
      </c>
      <c r="AD251" s="103" t="e">
        <f t="shared" si="67"/>
        <v>#REF!</v>
      </c>
      <c r="AE251" s="104" t="e">
        <f t="shared" si="68"/>
        <v>#REF!</v>
      </c>
      <c r="AF251" s="104" t="e">
        <f t="shared" si="68"/>
        <v>#REF!</v>
      </c>
      <c r="AH251" s="103" t="e">
        <f t="shared" si="69"/>
        <v>#REF!</v>
      </c>
      <c r="AI251" s="103" t="e">
        <f t="shared" si="70"/>
        <v>#REF!</v>
      </c>
      <c r="AJ251" s="104" t="e">
        <f t="shared" si="71"/>
        <v>#REF!</v>
      </c>
      <c r="AK251" s="104" t="e">
        <f t="shared" si="71"/>
        <v>#REF!</v>
      </c>
    </row>
    <row r="252" spans="1:37" ht="15" customHeight="1">
      <c r="A252" s="97"/>
      <c r="B252" s="108"/>
      <c r="C252" s="99"/>
      <c r="D252" s="100"/>
      <c r="E252" s="102"/>
      <c r="F252" s="102"/>
      <c r="G252" s="18" t="str">
        <f t="shared" si="46"/>
        <v/>
      </c>
      <c r="H252" s="23" t="str">
        <f t="shared" si="47"/>
        <v/>
      </c>
      <c r="I252" s="27"/>
      <c r="J252" s="3"/>
      <c r="K252" s="3"/>
      <c r="L252" s="3"/>
      <c r="M252" s="3"/>
      <c r="N252" s="3"/>
      <c r="O252" s="3"/>
      <c r="P252" s="3"/>
      <c r="Q252" s="3"/>
      <c r="S252" s="103">
        <f t="shared" si="60"/>
        <v>0</v>
      </c>
      <c r="T252" s="103">
        <f t="shared" si="61"/>
        <v>0</v>
      </c>
      <c r="U252" s="104">
        <f t="shared" si="62"/>
        <v>0</v>
      </c>
      <c r="V252" s="104">
        <f t="shared" si="62"/>
        <v>0</v>
      </c>
      <c r="X252" s="103" t="e">
        <f t="shared" si="63"/>
        <v>#REF!</v>
      </c>
      <c r="Y252" s="103" t="e">
        <f t="shared" si="64"/>
        <v>#REF!</v>
      </c>
      <c r="Z252" s="104" t="e">
        <f t="shared" si="65"/>
        <v>#REF!</v>
      </c>
      <c r="AA252" s="104" t="e">
        <f t="shared" si="65"/>
        <v>#REF!</v>
      </c>
      <c r="AC252" s="103" t="e">
        <f t="shared" si="66"/>
        <v>#REF!</v>
      </c>
      <c r="AD252" s="103" t="e">
        <f t="shared" si="67"/>
        <v>#REF!</v>
      </c>
      <c r="AE252" s="104" t="e">
        <f t="shared" si="68"/>
        <v>#REF!</v>
      </c>
      <c r="AF252" s="104" t="e">
        <f t="shared" si="68"/>
        <v>#REF!</v>
      </c>
      <c r="AH252" s="103" t="e">
        <f t="shared" si="69"/>
        <v>#REF!</v>
      </c>
      <c r="AI252" s="103" t="e">
        <f t="shared" si="70"/>
        <v>#REF!</v>
      </c>
      <c r="AJ252" s="104" t="e">
        <f t="shared" si="71"/>
        <v>#REF!</v>
      </c>
      <c r="AK252" s="104" t="e">
        <f t="shared" si="71"/>
        <v>#REF!</v>
      </c>
    </row>
    <row r="253" spans="1:37" ht="15" customHeight="1">
      <c r="A253" s="97"/>
      <c r="B253" s="108"/>
      <c r="C253" s="99"/>
      <c r="D253" s="100"/>
      <c r="E253" s="102"/>
      <c r="F253" s="102"/>
      <c r="G253" s="18" t="str">
        <f t="shared" si="46"/>
        <v/>
      </c>
      <c r="H253" s="23" t="str">
        <f t="shared" si="47"/>
        <v/>
      </c>
      <c r="I253" s="27"/>
      <c r="J253" s="3"/>
      <c r="K253" s="3"/>
      <c r="L253" s="3"/>
      <c r="M253" s="3"/>
      <c r="N253" s="3"/>
      <c r="O253" s="3"/>
      <c r="P253" s="3"/>
      <c r="Q253" s="3"/>
      <c r="S253" s="103">
        <f t="shared" si="60"/>
        <v>0</v>
      </c>
      <c r="T253" s="103">
        <f t="shared" si="61"/>
        <v>0</v>
      </c>
      <c r="U253" s="104">
        <f t="shared" si="62"/>
        <v>0</v>
      </c>
      <c r="V253" s="104">
        <f t="shared" si="62"/>
        <v>0</v>
      </c>
      <c r="X253" s="103" t="e">
        <f t="shared" si="63"/>
        <v>#REF!</v>
      </c>
      <c r="Y253" s="103" t="e">
        <f t="shared" si="64"/>
        <v>#REF!</v>
      </c>
      <c r="Z253" s="104" t="e">
        <f t="shared" si="65"/>
        <v>#REF!</v>
      </c>
      <c r="AA253" s="104" t="e">
        <f t="shared" si="65"/>
        <v>#REF!</v>
      </c>
      <c r="AC253" s="103" t="e">
        <f t="shared" si="66"/>
        <v>#REF!</v>
      </c>
      <c r="AD253" s="103" t="e">
        <f t="shared" si="67"/>
        <v>#REF!</v>
      </c>
      <c r="AE253" s="104" t="e">
        <f t="shared" si="68"/>
        <v>#REF!</v>
      </c>
      <c r="AF253" s="104" t="e">
        <f t="shared" si="68"/>
        <v>#REF!</v>
      </c>
      <c r="AH253" s="103" t="e">
        <f t="shared" si="69"/>
        <v>#REF!</v>
      </c>
      <c r="AI253" s="103" t="e">
        <f t="shared" si="70"/>
        <v>#REF!</v>
      </c>
      <c r="AJ253" s="104" t="e">
        <f t="shared" si="71"/>
        <v>#REF!</v>
      </c>
      <c r="AK253" s="104" t="e">
        <f t="shared" si="71"/>
        <v>#REF!</v>
      </c>
    </row>
    <row r="254" spans="1:37" ht="15" customHeight="1">
      <c r="A254" s="97"/>
      <c r="B254" s="106"/>
      <c r="C254" s="99"/>
      <c r="D254" s="100"/>
      <c r="E254" s="102"/>
      <c r="F254" s="102"/>
      <c r="G254" s="18" t="str">
        <f t="shared" si="46"/>
        <v/>
      </c>
      <c r="H254" s="23" t="str">
        <f t="shared" si="47"/>
        <v/>
      </c>
      <c r="I254" s="27"/>
      <c r="J254" s="3"/>
      <c r="K254" s="3"/>
      <c r="L254" s="3"/>
      <c r="M254" s="3"/>
      <c r="N254" s="3"/>
      <c r="O254" s="3"/>
      <c r="P254" s="3"/>
      <c r="Q254" s="3"/>
      <c r="S254" s="103">
        <f t="shared" si="60"/>
        <v>0</v>
      </c>
      <c r="T254" s="103">
        <f t="shared" si="61"/>
        <v>0</v>
      </c>
      <c r="U254" s="104">
        <f t="shared" si="62"/>
        <v>0</v>
      </c>
      <c r="V254" s="104">
        <f t="shared" si="62"/>
        <v>0</v>
      </c>
      <c r="X254" s="103" t="e">
        <f t="shared" si="63"/>
        <v>#REF!</v>
      </c>
      <c r="Y254" s="103" t="e">
        <f t="shared" si="64"/>
        <v>#REF!</v>
      </c>
      <c r="Z254" s="104" t="e">
        <f t="shared" si="65"/>
        <v>#REF!</v>
      </c>
      <c r="AA254" s="104" t="e">
        <f t="shared" si="65"/>
        <v>#REF!</v>
      </c>
      <c r="AC254" s="103" t="e">
        <f t="shared" si="66"/>
        <v>#REF!</v>
      </c>
      <c r="AD254" s="103" t="e">
        <f t="shared" si="67"/>
        <v>#REF!</v>
      </c>
      <c r="AE254" s="104" t="e">
        <f t="shared" si="68"/>
        <v>#REF!</v>
      </c>
      <c r="AF254" s="104" t="e">
        <f t="shared" si="68"/>
        <v>#REF!</v>
      </c>
      <c r="AH254" s="103" t="e">
        <f t="shared" si="69"/>
        <v>#REF!</v>
      </c>
      <c r="AI254" s="103" t="e">
        <f t="shared" si="70"/>
        <v>#REF!</v>
      </c>
      <c r="AJ254" s="104" t="e">
        <f t="shared" si="71"/>
        <v>#REF!</v>
      </c>
      <c r="AK254" s="104" t="e">
        <f t="shared" si="71"/>
        <v>#REF!</v>
      </c>
    </row>
    <row r="255" spans="1:37" ht="15" customHeight="1">
      <c r="A255" s="97"/>
      <c r="B255" s="106"/>
      <c r="C255" s="99"/>
      <c r="D255" s="100"/>
      <c r="E255" s="102"/>
      <c r="F255" s="102"/>
      <c r="G255" s="18" t="str">
        <f t="shared" si="46"/>
        <v/>
      </c>
      <c r="H255" s="23" t="str">
        <f t="shared" si="47"/>
        <v/>
      </c>
      <c r="I255" s="27"/>
      <c r="J255" s="3"/>
      <c r="K255" s="3"/>
      <c r="L255" s="3"/>
      <c r="M255" s="3"/>
      <c r="N255" s="3"/>
      <c r="O255" s="3"/>
      <c r="P255" s="3"/>
      <c r="Q255" s="3"/>
      <c r="S255" s="103">
        <f t="shared" si="60"/>
        <v>0</v>
      </c>
      <c r="T255" s="103">
        <f t="shared" si="61"/>
        <v>0</v>
      </c>
      <c r="U255" s="104">
        <f t="shared" si="62"/>
        <v>0</v>
      </c>
      <c r="V255" s="104">
        <f t="shared" si="62"/>
        <v>0</v>
      </c>
      <c r="X255" s="103" t="e">
        <f t="shared" si="63"/>
        <v>#REF!</v>
      </c>
      <c r="Y255" s="103" t="e">
        <f t="shared" si="64"/>
        <v>#REF!</v>
      </c>
      <c r="Z255" s="104" t="e">
        <f t="shared" si="65"/>
        <v>#REF!</v>
      </c>
      <c r="AA255" s="104" t="e">
        <f t="shared" si="65"/>
        <v>#REF!</v>
      </c>
      <c r="AC255" s="103" t="e">
        <f t="shared" si="66"/>
        <v>#REF!</v>
      </c>
      <c r="AD255" s="103" t="e">
        <f t="shared" si="67"/>
        <v>#REF!</v>
      </c>
      <c r="AE255" s="104" t="e">
        <f t="shared" si="68"/>
        <v>#REF!</v>
      </c>
      <c r="AF255" s="104" t="e">
        <f t="shared" si="68"/>
        <v>#REF!</v>
      </c>
      <c r="AH255" s="103" t="e">
        <f t="shared" si="69"/>
        <v>#REF!</v>
      </c>
      <c r="AI255" s="103" t="e">
        <f t="shared" si="70"/>
        <v>#REF!</v>
      </c>
      <c r="AJ255" s="104" t="e">
        <f t="shared" si="71"/>
        <v>#REF!</v>
      </c>
      <c r="AK255" s="104" t="e">
        <f t="shared" si="71"/>
        <v>#REF!</v>
      </c>
    </row>
    <row r="256" spans="1:37" ht="15" customHeight="1">
      <c r="A256" s="97"/>
      <c r="B256" s="106"/>
      <c r="C256" s="99"/>
      <c r="D256" s="100"/>
      <c r="E256" s="102"/>
      <c r="F256" s="102"/>
      <c r="G256" s="18" t="str">
        <f t="shared" si="46"/>
        <v/>
      </c>
      <c r="H256" s="23" t="str">
        <f t="shared" si="47"/>
        <v/>
      </c>
      <c r="I256" s="27"/>
      <c r="J256" s="3"/>
      <c r="K256" s="3"/>
      <c r="L256" s="3"/>
      <c r="M256" s="3"/>
      <c r="N256" s="3"/>
      <c r="O256" s="3"/>
      <c r="P256" s="3"/>
      <c r="Q256" s="3"/>
      <c r="S256" s="103">
        <f t="shared" si="60"/>
        <v>0</v>
      </c>
      <c r="T256" s="103">
        <f t="shared" si="61"/>
        <v>0</v>
      </c>
      <c r="U256" s="104">
        <f t="shared" si="62"/>
        <v>0</v>
      </c>
      <c r="V256" s="104">
        <f t="shared" si="62"/>
        <v>0</v>
      </c>
      <c r="X256" s="103" t="e">
        <f t="shared" si="63"/>
        <v>#REF!</v>
      </c>
      <c r="Y256" s="103" t="e">
        <f t="shared" si="64"/>
        <v>#REF!</v>
      </c>
      <c r="Z256" s="104" t="e">
        <f t="shared" si="65"/>
        <v>#REF!</v>
      </c>
      <c r="AA256" s="104" t="e">
        <f t="shared" si="65"/>
        <v>#REF!</v>
      </c>
      <c r="AC256" s="103" t="e">
        <f t="shared" si="66"/>
        <v>#REF!</v>
      </c>
      <c r="AD256" s="103" t="e">
        <f t="shared" si="67"/>
        <v>#REF!</v>
      </c>
      <c r="AE256" s="104" t="e">
        <f t="shared" si="68"/>
        <v>#REF!</v>
      </c>
      <c r="AF256" s="104" t="e">
        <f t="shared" si="68"/>
        <v>#REF!</v>
      </c>
      <c r="AH256" s="103" t="e">
        <f t="shared" si="69"/>
        <v>#REF!</v>
      </c>
      <c r="AI256" s="103" t="e">
        <f t="shared" si="70"/>
        <v>#REF!</v>
      </c>
      <c r="AJ256" s="104" t="e">
        <f t="shared" si="71"/>
        <v>#REF!</v>
      </c>
      <c r="AK256" s="104" t="e">
        <f t="shared" si="71"/>
        <v>#REF!</v>
      </c>
    </row>
    <row r="257" spans="1:37" ht="15" customHeight="1">
      <c r="A257" s="97"/>
      <c r="B257" s="106"/>
      <c r="C257" s="99"/>
      <c r="D257" s="100"/>
      <c r="E257" s="102"/>
      <c r="F257" s="102"/>
      <c r="G257" s="18" t="str">
        <f t="shared" si="46"/>
        <v/>
      </c>
      <c r="H257" s="23" t="str">
        <f t="shared" si="47"/>
        <v/>
      </c>
      <c r="I257" s="27"/>
      <c r="J257" s="3"/>
      <c r="K257" s="3"/>
      <c r="L257" s="3"/>
      <c r="M257" s="3"/>
      <c r="N257" s="3"/>
      <c r="O257" s="3"/>
      <c r="P257" s="3"/>
      <c r="Q257" s="3"/>
      <c r="S257" s="103">
        <f t="shared" si="60"/>
        <v>0</v>
      </c>
      <c r="T257" s="103">
        <f t="shared" si="61"/>
        <v>0</v>
      </c>
      <c r="U257" s="104">
        <f t="shared" si="62"/>
        <v>0</v>
      </c>
      <c r="V257" s="104">
        <f t="shared" si="62"/>
        <v>0</v>
      </c>
      <c r="X257" s="103" t="e">
        <f t="shared" si="63"/>
        <v>#REF!</v>
      </c>
      <c r="Y257" s="103" t="e">
        <f t="shared" si="64"/>
        <v>#REF!</v>
      </c>
      <c r="Z257" s="104" t="e">
        <f t="shared" si="65"/>
        <v>#REF!</v>
      </c>
      <c r="AA257" s="104" t="e">
        <f t="shared" si="65"/>
        <v>#REF!</v>
      </c>
      <c r="AC257" s="103" t="e">
        <f t="shared" si="66"/>
        <v>#REF!</v>
      </c>
      <c r="AD257" s="103" t="e">
        <f t="shared" si="67"/>
        <v>#REF!</v>
      </c>
      <c r="AE257" s="104" t="e">
        <f t="shared" si="68"/>
        <v>#REF!</v>
      </c>
      <c r="AF257" s="104" t="e">
        <f t="shared" si="68"/>
        <v>#REF!</v>
      </c>
      <c r="AH257" s="103" t="e">
        <f t="shared" si="69"/>
        <v>#REF!</v>
      </c>
      <c r="AI257" s="103" t="e">
        <f t="shared" si="70"/>
        <v>#REF!</v>
      </c>
      <c r="AJ257" s="104" t="e">
        <f t="shared" si="71"/>
        <v>#REF!</v>
      </c>
      <c r="AK257" s="104" t="e">
        <f t="shared" si="71"/>
        <v>#REF!</v>
      </c>
    </row>
    <row r="258" spans="1:37" ht="15" customHeight="1">
      <c r="A258" s="97"/>
      <c r="B258" s="106"/>
      <c r="C258" s="99"/>
      <c r="D258" s="100"/>
      <c r="E258" s="102"/>
      <c r="F258" s="102"/>
      <c r="G258" s="18" t="str">
        <f t="shared" si="46"/>
        <v/>
      </c>
      <c r="H258" s="23" t="str">
        <f t="shared" si="47"/>
        <v/>
      </c>
      <c r="I258" s="27"/>
      <c r="J258" s="3"/>
      <c r="K258" s="3"/>
      <c r="L258" s="3"/>
      <c r="M258" s="3"/>
      <c r="N258" s="3"/>
      <c r="O258" s="3"/>
      <c r="P258" s="3"/>
      <c r="Q258" s="3"/>
      <c r="S258" s="103">
        <f t="shared" si="60"/>
        <v>0</v>
      </c>
      <c r="T258" s="103">
        <f t="shared" si="61"/>
        <v>0</v>
      </c>
      <c r="U258" s="104">
        <f t="shared" si="62"/>
        <v>0</v>
      </c>
      <c r="V258" s="104">
        <f t="shared" si="62"/>
        <v>0</v>
      </c>
      <c r="X258" s="103" t="e">
        <f t="shared" si="63"/>
        <v>#REF!</v>
      </c>
      <c r="Y258" s="103" t="e">
        <f t="shared" si="64"/>
        <v>#REF!</v>
      </c>
      <c r="Z258" s="104" t="e">
        <f t="shared" si="65"/>
        <v>#REF!</v>
      </c>
      <c r="AA258" s="104" t="e">
        <f t="shared" si="65"/>
        <v>#REF!</v>
      </c>
      <c r="AC258" s="103" t="e">
        <f t="shared" si="66"/>
        <v>#REF!</v>
      </c>
      <c r="AD258" s="103" t="e">
        <f t="shared" si="67"/>
        <v>#REF!</v>
      </c>
      <c r="AE258" s="104" t="e">
        <f t="shared" si="68"/>
        <v>#REF!</v>
      </c>
      <c r="AF258" s="104" t="e">
        <f t="shared" si="68"/>
        <v>#REF!</v>
      </c>
      <c r="AH258" s="103" t="e">
        <f t="shared" si="69"/>
        <v>#REF!</v>
      </c>
      <c r="AI258" s="103" t="e">
        <f t="shared" si="70"/>
        <v>#REF!</v>
      </c>
      <c r="AJ258" s="104" t="e">
        <f t="shared" si="71"/>
        <v>#REF!</v>
      </c>
      <c r="AK258" s="104" t="e">
        <f t="shared" si="71"/>
        <v>#REF!</v>
      </c>
    </row>
    <row r="259" spans="1:37" ht="15" customHeight="1">
      <c r="A259" s="97"/>
      <c r="B259" s="106"/>
      <c r="C259" s="99"/>
      <c r="D259" s="100"/>
      <c r="E259" s="102"/>
      <c r="F259" s="102"/>
      <c r="G259" s="18" t="str">
        <f t="shared" si="46"/>
        <v/>
      </c>
      <c r="H259" s="23" t="str">
        <f t="shared" si="47"/>
        <v/>
      </c>
      <c r="I259" s="27"/>
      <c r="J259" s="3"/>
      <c r="K259" s="3"/>
      <c r="L259" s="3"/>
      <c r="M259" s="3"/>
      <c r="N259" s="3"/>
      <c r="O259" s="3"/>
      <c r="P259" s="3"/>
      <c r="Q259" s="3"/>
      <c r="S259" s="103">
        <f t="shared" si="60"/>
        <v>0</v>
      </c>
      <c r="T259" s="103">
        <f t="shared" si="61"/>
        <v>0</v>
      </c>
      <c r="U259" s="104">
        <f t="shared" si="62"/>
        <v>0</v>
      </c>
      <c r="V259" s="104">
        <f t="shared" si="62"/>
        <v>0</v>
      </c>
      <c r="X259" s="103" t="e">
        <f t="shared" si="63"/>
        <v>#REF!</v>
      </c>
      <c r="Y259" s="103" t="e">
        <f t="shared" si="64"/>
        <v>#REF!</v>
      </c>
      <c r="Z259" s="104" t="e">
        <f t="shared" si="65"/>
        <v>#REF!</v>
      </c>
      <c r="AA259" s="104" t="e">
        <f t="shared" si="65"/>
        <v>#REF!</v>
      </c>
      <c r="AC259" s="103" t="e">
        <f t="shared" si="66"/>
        <v>#REF!</v>
      </c>
      <c r="AD259" s="103" t="e">
        <f t="shared" si="67"/>
        <v>#REF!</v>
      </c>
      <c r="AE259" s="104" t="e">
        <f t="shared" si="68"/>
        <v>#REF!</v>
      </c>
      <c r="AF259" s="104" t="e">
        <f t="shared" si="68"/>
        <v>#REF!</v>
      </c>
      <c r="AH259" s="103" t="e">
        <f t="shared" si="69"/>
        <v>#REF!</v>
      </c>
      <c r="AI259" s="103" t="e">
        <f t="shared" si="70"/>
        <v>#REF!</v>
      </c>
      <c r="AJ259" s="104" t="e">
        <f t="shared" si="71"/>
        <v>#REF!</v>
      </c>
      <c r="AK259" s="104" t="e">
        <f t="shared" si="71"/>
        <v>#REF!</v>
      </c>
    </row>
    <row r="260" spans="1:37" ht="15" customHeight="1">
      <c r="A260" s="97"/>
      <c r="B260" s="106"/>
      <c r="C260" s="99"/>
      <c r="D260" s="100"/>
      <c r="E260" s="102"/>
      <c r="F260" s="102"/>
      <c r="G260" s="18" t="str">
        <f t="shared" si="46"/>
        <v/>
      </c>
      <c r="H260" s="23" t="str">
        <f t="shared" si="47"/>
        <v/>
      </c>
      <c r="I260" s="27"/>
      <c r="J260" s="3"/>
      <c r="K260" s="3"/>
      <c r="L260" s="3"/>
      <c r="M260" s="3"/>
      <c r="N260" s="3"/>
      <c r="O260" s="3"/>
      <c r="P260" s="3"/>
      <c r="Q260" s="3"/>
      <c r="S260" s="103">
        <f t="shared" si="60"/>
        <v>0</v>
      </c>
      <c r="T260" s="103">
        <f t="shared" si="61"/>
        <v>0</v>
      </c>
      <c r="U260" s="104">
        <f t="shared" si="62"/>
        <v>0</v>
      </c>
      <c r="V260" s="104">
        <f t="shared" si="62"/>
        <v>0</v>
      </c>
      <c r="X260" s="103" t="e">
        <f t="shared" si="63"/>
        <v>#REF!</v>
      </c>
      <c r="Y260" s="103" t="e">
        <f t="shared" si="64"/>
        <v>#REF!</v>
      </c>
      <c r="Z260" s="104" t="e">
        <f t="shared" si="65"/>
        <v>#REF!</v>
      </c>
      <c r="AA260" s="104" t="e">
        <f t="shared" si="65"/>
        <v>#REF!</v>
      </c>
      <c r="AC260" s="103" t="e">
        <f t="shared" si="66"/>
        <v>#REF!</v>
      </c>
      <c r="AD260" s="103" t="e">
        <f t="shared" si="67"/>
        <v>#REF!</v>
      </c>
      <c r="AE260" s="104" t="e">
        <f t="shared" si="68"/>
        <v>#REF!</v>
      </c>
      <c r="AF260" s="104" t="e">
        <f t="shared" si="68"/>
        <v>#REF!</v>
      </c>
      <c r="AH260" s="103" t="e">
        <f t="shared" si="69"/>
        <v>#REF!</v>
      </c>
      <c r="AI260" s="103" t="e">
        <f t="shared" si="70"/>
        <v>#REF!</v>
      </c>
      <c r="AJ260" s="104" t="e">
        <f t="shared" si="71"/>
        <v>#REF!</v>
      </c>
      <c r="AK260" s="104" t="e">
        <f t="shared" si="71"/>
        <v>#REF!</v>
      </c>
    </row>
    <row r="261" spans="1:37" ht="15" customHeight="1">
      <c r="A261" s="97"/>
      <c r="B261" s="106"/>
      <c r="C261" s="99"/>
      <c r="D261" s="100"/>
      <c r="E261" s="102"/>
      <c r="F261" s="102"/>
      <c r="G261" s="18" t="str">
        <f t="shared" si="46"/>
        <v/>
      </c>
      <c r="H261" s="23" t="str">
        <f t="shared" si="47"/>
        <v/>
      </c>
      <c r="I261" s="27"/>
      <c r="J261" s="3"/>
      <c r="K261" s="3"/>
      <c r="L261" s="3"/>
      <c r="M261" s="3"/>
      <c r="N261" s="3"/>
      <c r="O261" s="3"/>
      <c r="P261" s="3"/>
      <c r="Q261" s="3"/>
      <c r="S261" s="103">
        <f t="shared" si="60"/>
        <v>0</v>
      </c>
      <c r="T261" s="103">
        <f t="shared" si="61"/>
        <v>0</v>
      </c>
      <c r="U261" s="104">
        <f t="shared" si="62"/>
        <v>0</v>
      </c>
      <c r="V261" s="104">
        <f t="shared" si="62"/>
        <v>0</v>
      </c>
      <c r="X261" s="103" t="e">
        <f t="shared" si="63"/>
        <v>#REF!</v>
      </c>
      <c r="Y261" s="103" t="e">
        <f t="shared" si="64"/>
        <v>#REF!</v>
      </c>
      <c r="Z261" s="104" t="e">
        <f t="shared" si="65"/>
        <v>#REF!</v>
      </c>
      <c r="AA261" s="104" t="e">
        <f t="shared" si="65"/>
        <v>#REF!</v>
      </c>
      <c r="AC261" s="103" t="e">
        <f t="shared" si="66"/>
        <v>#REF!</v>
      </c>
      <c r="AD261" s="103" t="e">
        <f t="shared" si="67"/>
        <v>#REF!</v>
      </c>
      <c r="AE261" s="104" t="e">
        <f t="shared" si="68"/>
        <v>#REF!</v>
      </c>
      <c r="AF261" s="104" t="e">
        <f t="shared" si="68"/>
        <v>#REF!</v>
      </c>
      <c r="AH261" s="103" t="e">
        <f t="shared" si="69"/>
        <v>#REF!</v>
      </c>
      <c r="AI261" s="103" t="e">
        <f t="shared" si="70"/>
        <v>#REF!</v>
      </c>
      <c r="AJ261" s="104" t="e">
        <f t="shared" si="71"/>
        <v>#REF!</v>
      </c>
      <c r="AK261" s="104" t="e">
        <f t="shared" si="71"/>
        <v>#REF!</v>
      </c>
    </row>
    <row r="262" spans="1:37" ht="15" customHeight="1">
      <c r="A262" s="97"/>
      <c r="B262" s="106"/>
      <c r="C262" s="99"/>
      <c r="D262" s="100"/>
      <c r="E262" s="102"/>
      <c r="F262" s="102"/>
      <c r="G262" s="18" t="str">
        <f t="shared" si="46"/>
        <v/>
      </c>
      <c r="H262" s="23" t="str">
        <f t="shared" si="47"/>
        <v/>
      </c>
      <c r="I262" s="27"/>
      <c r="J262" s="3"/>
      <c r="K262" s="3"/>
      <c r="L262" s="3"/>
      <c r="M262" s="3"/>
      <c r="N262" s="3"/>
      <c r="O262" s="3"/>
      <c r="P262" s="3"/>
      <c r="Q262" s="3"/>
      <c r="S262" s="103">
        <f t="shared" si="60"/>
        <v>0</v>
      </c>
      <c r="T262" s="103">
        <f t="shared" si="61"/>
        <v>0</v>
      </c>
      <c r="U262" s="104">
        <f t="shared" si="62"/>
        <v>0</v>
      </c>
      <c r="V262" s="104">
        <f t="shared" si="62"/>
        <v>0</v>
      </c>
      <c r="X262" s="103" t="e">
        <f t="shared" si="63"/>
        <v>#REF!</v>
      </c>
      <c r="Y262" s="103" t="e">
        <f t="shared" si="64"/>
        <v>#REF!</v>
      </c>
      <c r="Z262" s="104" t="e">
        <f t="shared" si="65"/>
        <v>#REF!</v>
      </c>
      <c r="AA262" s="104" t="e">
        <f t="shared" si="65"/>
        <v>#REF!</v>
      </c>
      <c r="AC262" s="103" t="e">
        <f t="shared" si="66"/>
        <v>#REF!</v>
      </c>
      <c r="AD262" s="103" t="e">
        <f t="shared" si="67"/>
        <v>#REF!</v>
      </c>
      <c r="AE262" s="104" t="e">
        <f t="shared" si="68"/>
        <v>#REF!</v>
      </c>
      <c r="AF262" s="104" t="e">
        <f t="shared" si="68"/>
        <v>#REF!</v>
      </c>
      <c r="AH262" s="103" t="e">
        <f t="shared" si="69"/>
        <v>#REF!</v>
      </c>
      <c r="AI262" s="103" t="e">
        <f t="shared" si="70"/>
        <v>#REF!</v>
      </c>
      <c r="AJ262" s="104" t="e">
        <f t="shared" si="71"/>
        <v>#REF!</v>
      </c>
      <c r="AK262" s="104" t="e">
        <f t="shared" si="71"/>
        <v>#REF!</v>
      </c>
    </row>
    <row r="263" spans="1:37" ht="15" customHeight="1">
      <c r="A263" s="97"/>
      <c r="B263" s="106"/>
      <c r="C263" s="99"/>
      <c r="D263" s="100"/>
      <c r="E263" s="102"/>
      <c r="F263" s="102"/>
      <c r="G263" s="18" t="str">
        <f t="shared" si="46"/>
        <v/>
      </c>
      <c r="H263" s="23" t="str">
        <f t="shared" si="47"/>
        <v/>
      </c>
      <c r="I263" s="27"/>
      <c r="J263" s="3"/>
      <c r="K263" s="3"/>
      <c r="L263" s="3"/>
      <c r="M263" s="3"/>
      <c r="N263" s="3"/>
      <c r="O263" s="3"/>
      <c r="P263" s="3"/>
      <c r="Q263" s="3"/>
      <c r="S263" s="103">
        <f t="shared" si="60"/>
        <v>0</v>
      </c>
      <c r="T263" s="103">
        <f t="shared" si="61"/>
        <v>0</v>
      </c>
      <c r="U263" s="104">
        <f t="shared" si="62"/>
        <v>0</v>
      </c>
      <c r="V263" s="104">
        <f t="shared" si="62"/>
        <v>0</v>
      </c>
      <c r="X263" s="103" t="e">
        <f t="shared" si="63"/>
        <v>#REF!</v>
      </c>
      <c r="Y263" s="103" t="e">
        <f t="shared" si="64"/>
        <v>#REF!</v>
      </c>
      <c r="Z263" s="104" t="e">
        <f t="shared" si="65"/>
        <v>#REF!</v>
      </c>
      <c r="AA263" s="104" t="e">
        <f t="shared" si="65"/>
        <v>#REF!</v>
      </c>
      <c r="AC263" s="103" t="e">
        <f t="shared" si="66"/>
        <v>#REF!</v>
      </c>
      <c r="AD263" s="103" t="e">
        <f t="shared" si="67"/>
        <v>#REF!</v>
      </c>
      <c r="AE263" s="104" t="e">
        <f t="shared" si="68"/>
        <v>#REF!</v>
      </c>
      <c r="AF263" s="104" t="e">
        <f t="shared" si="68"/>
        <v>#REF!</v>
      </c>
      <c r="AH263" s="103" t="e">
        <f t="shared" si="69"/>
        <v>#REF!</v>
      </c>
      <c r="AI263" s="103" t="e">
        <f t="shared" si="70"/>
        <v>#REF!</v>
      </c>
      <c r="AJ263" s="104" t="e">
        <f t="shared" si="71"/>
        <v>#REF!</v>
      </c>
      <c r="AK263" s="104" t="e">
        <f t="shared" si="71"/>
        <v>#REF!</v>
      </c>
    </row>
    <row r="264" spans="1:37" ht="15" customHeight="1">
      <c r="A264" s="107"/>
      <c r="B264" s="108"/>
      <c r="C264" s="99"/>
      <c r="D264" s="100"/>
      <c r="E264" s="102"/>
      <c r="F264" s="102"/>
      <c r="G264" s="18" t="str">
        <f t="shared" si="46"/>
        <v/>
      </c>
      <c r="H264" s="23" t="str">
        <f t="shared" si="47"/>
        <v/>
      </c>
      <c r="I264" s="27"/>
      <c r="J264" s="3"/>
      <c r="K264" s="3"/>
      <c r="L264" s="3"/>
      <c r="M264" s="3"/>
      <c r="N264" s="3"/>
      <c r="O264" s="3"/>
      <c r="P264" s="3"/>
      <c r="Q264" s="3"/>
      <c r="S264" s="103">
        <f t="shared" si="60"/>
        <v>0</v>
      </c>
      <c r="T264" s="103">
        <f t="shared" si="61"/>
        <v>0</v>
      </c>
      <c r="U264" s="104">
        <f t="shared" si="62"/>
        <v>0</v>
      </c>
      <c r="V264" s="104">
        <f t="shared" si="62"/>
        <v>0</v>
      </c>
      <c r="X264" s="103" t="e">
        <f t="shared" si="63"/>
        <v>#REF!</v>
      </c>
      <c r="Y264" s="103" t="e">
        <f t="shared" si="64"/>
        <v>#REF!</v>
      </c>
      <c r="Z264" s="104" t="e">
        <f t="shared" si="65"/>
        <v>#REF!</v>
      </c>
      <c r="AA264" s="104" t="e">
        <f t="shared" si="65"/>
        <v>#REF!</v>
      </c>
      <c r="AC264" s="103" t="e">
        <f t="shared" si="66"/>
        <v>#REF!</v>
      </c>
      <c r="AD264" s="103" t="e">
        <f t="shared" si="67"/>
        <v>#REF!</v>
      </c>
      <c r="AE264" s="104" t="e">
        <f t="shared" si="68"/>
        <v>#REF!</v>
      </c>
      <c r="AF264" s="104" t="e">
        <f t="shared" si="68"/>
        <v>#REF!</v>
      </c>
      <c r="AH264" s="103" t="e">
        <f t="shared" si="69"/>
        <v>#REF!</v>
      </c>
      <c r="AI264" s="103" t="e">
        <f t="shared" si="70"/>
        <v>#REF!</v>
      </c>
      <c r="AJ264" s="104" t="e">
        <f t="shared" si="71"/>
        <v>#REF!</v>
      </c>
      <c r="AK264" s="104" t="e">
        <f t="shared" si="71"/>
        <v>#REF!</v>
      </c>
    </row>
    <row r="265" spans="1:37" ht="15" customHeight="1">
      <c r="A265" s="107"/>
      <c r="B265" s="108"/>
      <c r="C265" s="99"/>
      <c r="D265" s="100"/>
      <c r="E265" s="102"/>
      <c r="F265" s="102"/>
      <c r="G265" s="18" t="str">
        <f t="shared" si="46"/>
        <v/>
      </c>
      <c r="H265" s="23" t="str">
        <f t="shared" si="47"/>
        <v/>
      </c>
      <c r="I265" s="27"/>
      <c r="J265" s="3"/>
      <c r="K265" s="3"/>
      <c r="L265" s="3"/>
      <c r="M265" s="3"/>
      <c r="N265" s="3"/>
      <c r="O265" s="3"/>
      <c r="P265" s="3"/>
      <c r="Q265" s="3"/>
      <c r="S265" s="103">
        <f t="shared" si="60"/>
        <v>0</v>
      </c>
      <c r="T265" s="103">
        <f t="shared" si="61"/>
        <v>0</v>
      </c>
      <c r="U265" s="104">
        <f t="shared" si="62"/>
        <v>0</v>
      </c>
      <c r="V265" s="104">
        <f t="shared" si="62"/>
        <v>0</v>
      </c>
      <c r="X265" s="103" t="e">
        <f t="shared" si="63"/>
        <v>#REF!</v>
      </c>
      <c r="Y265" s="103" t="e">
        <f t="shared" si="64"/>
        <v>#REF!</v>
      </c>
      <c r="Z265" s="104" t="e">
        <f t="shared" si="65"/>
        <v>#REF!</v>
      </c>
      <c r="AA265" s="104" t="e">
        <f t="shared" si="65"/>
        <v>#REF!</v>
      </c>
      <c r="AC265" s="103" t="e">
        <f t="shared" si="66"/>
        <v>#REF!</v>
      </c>
      <c r="AD265" s="103" t="e">
        <f t="shared" si="67"/>
        <v>#REF!</v>
      </c>
      <c r="AE265" s="104" t="e">
        <f t="shared" si="68"/>
        <v>#REF!</v>
      </c>
      <c r="AF265" s="104" t="e">
        <f t="shared" si="68"/>
        <v>#REF!</v>
      </c>
      <c r="AH265" s="103" t="e">
        <f t="shared" si="69"/>
        <v>#REF!</v>
      </c>
      <c r="AI265" s="103" t="e">
        <f t="shared" si="70"/>
        <v>#REF!</v>
      </c>
      <c r="AJ265" s="104" t="e">
        <f t="shared" si="71"/>
        <v>#REF!</v>
      </c>
      <c r="AK265" s="104" t="e">
        <f t="shared" si="71"/>
        <v>#REF!</v>
      </c>
    </row>
    <row r="266" spans="1:37" ht="15" customHeight="1">
      <c r="A266" s="97"/>
      <c r="B266" s="105"/>
      <c r="C266" s="99"/>
      <c r="D266" s="100"/>
      <c r="E266" s="102"/>
      <c r="F266" s="102"/>
      <c r="G266" s="18" t="str">
        <f t="shared" si="46"/>
        <v/>
      </c>
      <c r="H266" s="23" t="str">
        <f t="shared" si="47"/>
        <v/>
      </c>
      <c r="I266" s="26"/>
      <c r="J266" s="3"/>
      <c r="K266" s="3"/>
      <c r="L266" s="3"/>
      <c r="M266" s="3"/>
      <c r="N266" s="3"/>
      <c r="O266" s="3"/>
      <c r="P266" s="3"/>
      <c r="Q266" s="3"/>
      <c r="S266" s="103">
        <f t="shared" si="60"/>
        <v>0</v>
      </c>
      <c r="T266" s="103">
        <f t="shared" si="61"/>
        <v>0</v>
      </c>
      <c r="U266" s="104">
        <f t="shared" si="62"/>
        <v>0</v>
      </c>
      <c r="V266" s="104">
        <f t="shared" si="62"/>
        <v>0</v>
      </c>
      <c r="X266" s="103" t="e">
        <f t="shared" si="63"/>
        <v>#REF!</v>
      </c>
      <c r="Y266" s="103" t="e">
        <f t="shared" si="64"/>
        <v>#REF!</v>
      </c>
      <c r="Z266" s="104" t="e">
        <f t="shared" si="65"/>
        <v>#REF!</v>
      </c>
      <c r="AA266" s="104" t="e">
        <f t="shared" si="65"/>
        <v>#REF!</v>
      </c>
      <c r="AC266" s="103" t="e">
        <f t="shared" si="66"/>
        <v>#REF!</v>
      </c>
      <c r="AD266" s="103" t="e">
        <f t="shared" si="67"/>
        <v>#REF!</v>
      </c>
      <c r="AE266" s="104" t="e">
        <f t="shared" si="68"/>
        <v>#REF!</v>
      </c>
      <c r="AF266" s="104" t="e">
        <f t="shared" si="68"/>
        <v>#REF!</v>
      </c>
      <c r="AH266" s="103" t="e">
        <f t="shared" si="69"/>
        <v>#REF!</v>
      </c>
      <c r="AI266" s="103" t="e">
        <f t="shared" si="70"/>
        <v>#REF!</v>
      </c>
      <c r="AJ266" s="104" t="e">
        <f t="shared" si="71"/>
        <v>#REF!</v>
      </c>
      <c r="AK266" s="104" t="e">
        <f t="shared" si="71"/>
        <v>#REF!</v>
      </c>
    </row>
    <row r="267" spans="1:37" ht="15" customHeight="1">
      <c r="A267" s="97"/>
      <c r="B267" s="106"/>
      <c r="C267" s="99"/>
      <c r="D267" s="100"/>
      <c r="E267" s="102"/>
      <c r="F267" s="102"/>
      <c r="G267" s="18" t="str">
        <f t="shared" si="46"/>
        <v/>
      </c>
      <c r="H267" s="23" t="str">
        <f t="shared" si="47"/>
        <v/>
      </c>
      <c r="I267" s="27"/>
      <c r="J267" s="3"/>
      <c r="K267" s="3"/>
      <c r="L267" s="3"/>
      <c r="M267" s="3"/>
      <c r="N267" s="3"/>
      <c r="O267" s="3"/>
      <c r="P267" s="3"/>
      <c r="Q267" s="3"/>
      <c r="S267" s="103">
        <f t="shared" si="60"/>
        <v>0</v>
      </c>
      <c r="T267" s="103">
        <f t="shared" si="61"/>
        <v>0</v>
      </c>
      <c r="U267" s="104">
        <f t="shared" si="62"/>
        <v>0</v>
      </c>
      <c r="V267" s="104">
        <f t="shared" si="62"/>
        <v>0</v>
      </c>
      <c r="X267" s="103" t="e">
        <f t="shared" si="63"/>
        <v>#REF!</v>
      </c>
      <c r="Y267" s="103" t="e">
        <f t="shared" si="64"/>
        <v>#REF!</v>
      </c>
      <c r="Z267" s="104" t="e">
        <f t="shared" si="65"/>
        <v>#REF!</v>
      </c>
      <c r="AA267" s="104" t="e">
        <f t="shared" si="65"/>
        <v>#REF!</v>
      </c>
      <c r="AC267" s="103" t="e">
        <f t="shared" si="66"/>
        <v>#REF!</v>
      </c>
      <c r="AD267" s="103" t="e">
        <f t="shared" si="67"/>
        <v>#REF!</v>
      </c>
      <c r="AE267" s="104" t="e">
        <f t="shared" si="68"/>
        <v>#REF!</v>
      </c>
      <c r="AF267" s="104" t="e">
        <f t="shared" si="68"/>
        <v>#REF!</v>
      </c>
      <c r="AH267" s="103" t="e">
        <f t="shared" si="69"/>
        <v>#REF!</v>
      </c>
      <c r="AI267" s="103" t="e">
        <f t="shared" si="70"/>
        <v>#REF!</v>
      </c>
      <c r="AJ267" s="104" t="e">
        <f t="shared" si="71"/>
        <v>#REF!</v>
      </c>
      <c r="AK267" s="104" t="e">
        <f t="shared" si="71"/>
        <v>#REF!</v>
      </c>
    </row>
    <row r="268" spans="1:37" ht="15" customHeight="1">
      <c r="A268" s="97"/>
      <c r="B268" s="105"/>
      <c r="C268" s="99"/>
      <c r="D268" s="100"/>
      <c r="E268" s="102"/>
      <c r="F268" s="102"/>
      <c r="G268" s="18" t="str">
        <f t="shared" si="46"/>
        <v/>
      </c>
      <c r="H268" s="23" t="str">
        <f t="shared" si="47"/>
        <v/>
      </c>
      <c r="I268" s="27"/>
      <c r="J268" s="3"/>
      <c r="K268" s="3"/>
      <c r="L268" s="3"/>
      <c r="M268" s="3"/>
      <c r="N268" s="3"/>
      <c r="O268" s="3"/>
      <c r="P268" s="3"/>
      <c r="Q268" s="3"/>
      <c r="S268" s="103">
        <f t="shared" si="60"/>
        <v>0</v>
      </c>
      <c r="T268" s="103">
        <f t="shared" si="61"/>
        <v>0</v>
      </c>
      <c r="U268" s="104">
        <f t="shared" si="62"/>
        <v>0</v>
      </c>
      <c r="V268" s="104">
        <f t="shared" si="62"/>
        <v>0</v>
      </c>
      <c r="X268" s="103" t="e">
        <f t="shared" si="63"/>
        <v>#REF!</v>
      </c>
      <c r="Y268" s="103" t="e">
        <f t="shared" si="64"/>
        <v>#REF!</v>
      </c>
      <c r="Z268" s="104" t="e">
        <f t="shared" si="65"/>
        <v>#REF!</v>
      </c>
      <c r="AA268" s="104" t="e">
        <f t="shared" si="65"/>
        <v>#REF!</v>
      </c>
      <c r="AC268" s="103" t="e">
        <f t="shared" si="66"/>
        <v>#REF!</v>
      </c>
      <c r="AD268" s="103" t="e">
        <f t="shared" si="67"/>
        <v>#REF!</v>
      </c>
      <c r="AE268" s="104" t="e">
        <f t="shared" si="68"/>
        <v>#REF!</v>
      </c>
      <c r="AF268" s="104" t="e">
        <f t="shared" si="68"/>
        <v>#REF!</v>
      </c>
      <c r="AH268" s="103" t="e">
        <f t="shared" si="69"/>
        <v>#REF!</v>
      </c>
      <c r="AI268" s="103" t="e">
        <f t="shared" si="70"/>
        <v>#REF!</v>
      </c>
      <c r="AJ268" s="104" t="e">
        <f t="shared" si="71"/>
        <v>#REF!</v>
      </c>
      <c r="AK268" s="104" t="e">
        <f t="shared" si="71"/>
        <v>#REF!</v>
      </c>
    </row>
    <row r="269" spans="1:37" ht="15" customHeight="1">
      <c r="A269" s="97"/>
      <c r="B269" s="105"/>
      <c r="C269" s="99"/>
      <c r="D269" s="100"/>
      <c r="E269" s="102"/>
      <c r="F269" s="102"/>
      <c r="G269" s="18" t="str">
        <f t="shared" si="46"/>
        <v/>
      </c>
      <c r="H269" s="23" t="str">
        <f t="shared" si="47"/>
        <v/>
      </c>
      <c r="I269" s="27"/>
      <c r="J269" s="3"/>
      <c r="K269" s="3"/>
      <c r="L269" s="3"/>
      <c r="M269" s="3"/>
      <c r="N269" s="3"/>
      <c r="O269" s="3"/>
      <c r="P269" s="3"/>
      <c r="Q269" s="3"/>
      <c r="S269" s="103">
        <f t="shared" si="60"/>
        <v>0</v>
      </c>
      <c r="T269" s="103">
        <f t="shared" si="61"/>
        <v>0</v>
      </c>
      <c r="U269" s="104">
        <f t="shared" si="62"/>
        <v>0</v>
      </c>
      <c r="V269" s="104">
        <f t="shared" si="62"/>
        <v>0</v>
      </c>
      <c r="X269" s="103" t="e">
        <f t="shared" si="63"/>
        <v>#REF!</v>
      </c>
      <c r="Y269" s="103" t="e">
        <f t="shared" si="64"/>
        <v>#REF!</v>
      </c>
      <c r="Z269" s="104" t="e">
        <f t="shared" si="65"/>
        <v>#REF!</v>
      </c>
      <c r="AA269" s="104" t="e">
        <f t="shared" si="65"/>
        <v>#REF!</v>
      </c>
      <c r="AC269" s="103" t="e">
        <f t="shared" si="66"/>
        <v>#REF!</v>
      </c>
      <c r="AD269" s="103" t="e">
        <f t="shared" si="67"/>
        <v>#REF!</v>
      </c>
      <c r="AE269" s="104" t="e">
        <f t="shared" si="68"/>
        <v>#REF!</v>
      </c>
      <c r="AF269" s="104" t="e">
        <f t="shared" si="68"/>
        <v>#REF!</v>
      </c>
      <c r="AH269" s="103" t="e">
        <f t="shared" si="69"/>
        <v>#REF!</v>
      </c>
      <c r="AI269" s="103" t="e">
        <f t="shared" si="70"/>
        <v>#REF!</v>
      </c>
      <c r="AJ269" s="104" t="e">
        <f t="shared" si="71"/>
        <v>#REF!</v>
      </c>
      <c r="AK269" s="104" t="e">
        <f t="shared" si="71"/>
        <v>#REF!</v>
      </c>
    </row>
    <row r="270" spans="1:37" ht="15" customHeight="1">
      <c r="A270" s="97"/>
      <c r="B270" s="105"/>
      <c r="C270" s="99"/>
      <c r="D270" s="100"/>
      <c r="E270" s="102"/>
      <c r="F270" s="102"/>
      <c r="G270" s="18" t="str">
        <f t="shared" si="46"/>
        <v/>
      </c>
      <c r="H270" s="23" t="str">
        <f t="shared" si="47"/>
        <v/>
      </c>
      <c r="I270" s="27"/>
      <c r="J270" s="3"/>
      <c r="K270" s="3"/>
      <c r="L270" s="3"/>
      <c r="M270" s="3"/>
      <c r="N270" s="3"/>
      <c r="O270" s="3"/>
      <c r="P270" s="3"/>
      <c r="Q270" s="3"/>
      <c r="S270" s="103">
        <f t="shared" si="60"/>
        <v>0</v>
      </c>
      <c r="T270" s="103">
        <f t="shared" si="61"/>
        <v>0</v>
      </c>
      <c r="U270" s="104">
        <f t="shared" si="62"/>
        <v>0</v>
      </c>
      <c r="V270" s="104">
        <f t="shared" si="62"/>
        <v>0</v>
      </c>
      <c r="X270" s="103" t="e">
        <f t="shared" si="63"/>
        <v>#REF!</v>
      </c>
      <c r="Y270" s="103" t="e">
        <f t="shared" si="64"/>
        <v>#REF!</v>
      </c>
      <c r="Z270" s="104" t="e">
        <f t="shared" si="65"/>
        <v>#REF!</v>
      </c>
      <c r="AA270" s="104" t="e">
        <f t="shared" si="65"/>
        <v>#REF!</v>
      </c>
      <c r="AC270" s="103" t="e">
        <f t="shared" si="66"/>
        <v>#REF!</v>
      </c>
      <c r="AD270" s="103" t="e">
        <f t="shared" si="67"/>
        <v>#REF!</v>
      </c>
      <c r="AE270" s="104" t="e">
        <f t="shared" si="68"/>
        <v>#REF!</v>
      </c>
      <c r="AF270" s="104" t="e">
        <f t="shared" si="68"/>
        <v>#REF!</v>
      </c>
      <c r="AH270" s="103" t="e">
        <f t="shared" si="69"/>
        <v>#REF!</v>
      </c>
      <c r="AI270" s="103" t="e">
        <f t="shared" si="70"/>
        <v>#REF!</v>
      </c>
      <c r="AJ270" s="104" t="e">
        <f t="shared" si="71"/>
        <v>#REF!</v>
      </c>
      <c r="AK270" s="104" t="e">
        <f t="shared" si="71"/>
        <v>#REF!</v>
      </c>
    </row>
    <row r="271" spans="1:37" ht="15" customHeight="1">
      <c r="A271" s="97"/>
      <c r="B271" s="105"/>
      <c r="C271" s="99"/>
      <c r="D271" s="100"/>
      <c r="E271" s="102"/>
      <c r="F271" s="102"/>
      <c r="G271" s="18" t="str">
        <f t="shared" si="46"/>
        <v/>
      </c>
      <c r="H271" s="23" t="str">
        <f t="shared" si="47"/>
        <v/>
      </c>
      <c r="I271" s="27"/>
      <c r="J271" s="3"/>
      <c r="K271" s="3"/>
      <c r="L271" s="3"/>
      <c r="M271" s="3"/>
      <c r="N271" s="3"/>
      <c r="O271" s="3"/>
      <c r="P271" s="3"/>
      <c r="Q271" s="3"/>
      <c r="S271" s="103">
        <f t="shared" si="60"/>
        <v>0</v>
      </c>
      <c r="T271" s="103">
        <f t="shared" si="61"/>
        <v>0</v>
      </c>
      <c r="U271" s="104">
        <f t="shared" si="62"/>
        <v>0</v>
      </c>
      <c r="V271" s="104">
        <f t="shared" si="62"/>
        <v>0</v>
      </c>
      <c r="X271" s="103" t="e">
        <f t="shared" si="63"/>
        <v>#REF!</v>
      </c>
      <c r="Y271" s="103" t="e">
        <f t="shared" si="64"/>
        <v>#REF!</v>
      </c>
      <c r="Z271" s="104" t="e">
        <f t="shared" si="65"/>
        <v>#REF!</v>
      </c>
      <c r="AA271" s="104" t="e">
        <f t="shared" si="65"/>
        <v>#REF!</v>
      </c>
      <c r="AC271" s="103" t="e">
        <f t="shared" si="66"/>
        <v>#REF!</v>
      </c>
      <c r="AD271" s="103" t="e">
        <f t="shared" si="67"/>
        <v>#REF!</v>
      </c>
      <c r="AE271" s="104" t="e">
        <f t="shared" si="68"/>
        <v>#REF!</v>
      </c>
      <c r="AF271" s="104" t="e">
        <f t="shared" si="68"/>
        <v>#REF!</v>
      </c>
      <c r="AH271" s="103" t="e">
        <f t="shared" si="69"/>
        <v>#REF!</v>
      </c>
      <c r="AI271" s="103" t="e">
        <f t="shared" si="70"/>
        <v>#REF!</v>
      </c>
      <c r="AJ271" s="104" t="e">
        <f t="shared" si="71"/>
        <v>#REF!</v>
      </c>
      <c r="AK271" s="104" t="e">
        <f t="shared" si="71"/>
        <v>#REF!</v>
      </c>
    </row>
    <row r="272" spans="1:37" ht="15" customHeight="1">
      <c r="A272" s="97"/>
      <c r="B272" s="106"/>
      <c r="C272" s="99"/>
      <c r="D272" s="100"/>
      <c r="E272" s="102"/>
      <c r="F272" s="102"/>
      <c r="G272" s="18" t="str">
        <f t="shared" si="46"/>
        <v/>
      </c>
      <c r="H272" s="23" t="str">
        <f t="shared" si="47"/>
        <v/>
      </c>
      <c r="I272" s="27"/>
      <c r="J272" s="3"/>
      <c r="K272" s="3"/>
      <c r="L272" s="3"/>
      <c r="M272" s="3"/>
      <c r="N272" s="3"/>
      <c r="O272" s="3"/>
      <c r="P272" s="3"/>
      <c r="Q272" s="3"/>
      <c r="S272" s="103">
        <f t="shared" si="60"/>
        <v>0</v>
      </c>
      <c r="T272" s="103">
        <f t="shared" si="61"/>
        <v>0</v>
      </c>
      <c r="U272" s="104">
        <f t="shared" si="62"/>
        <v>0</v>
      </c>
      <c r="V272" s="104">
        <f t="shared" si="62"/>
        <v>0</v>
      </c>
      <c r="X272" s="103" t="e">
        <f t="shared" si="63"/>
        <v>#REF!</v>
      </c>
      <c r="Y272" s="103" t="e">
        <f t="shared" si="64"/>
        <v>#REF!</v>
      </c>
      <c r="Z272" s="104" t="e">
        <f t="shared" si="65"/>
        <v>#REF!</v>
      </c>
      <c r="AA272" s="104" t="e">
        <f t="shared" si="65"/>
        <v>#REF!</v>
      </c>
      <c r="AC272" s="103" t="e">
        <f t="shared" si="66"/>
        <v>#REF!</v>
      </c>
      <c r="AD272" s="103" t="e">
        <f t="shared" si="67"/>
        <v>#REF!</v>
      </c>
      <c r="AE272" s="104" t="e">
        <f t="shared" si="68"/>
        <v>#REF!</v>
      </c>
      <c r="AF272" s="104" t="e">
        <f t="shared" si="68"/>
        <v>#REF!</v>
      </c>
      <c r="AH272" s="103" t="e">
        <f t="shared" si="69"/>
        <v>#REF!</v>
      </c>
      <c r="AI272" s="103" t="e">
        <f t="shared" si="70"/>
        <v>#REF!</v>
      </c>
      <c r="AJ272" s="104" t="e">
        <f t="shared" si="71"/>
        <v>#REF!</v>
      </c>
      <c r="AK272" s="104" t="e">
        <f t="shared" si="71"/>
        <v>#REF!</v>
      </c>
    </row>
    <row r="273" spans="1:37" ht="15" customHeight="1">
      <c r="A273" s="107"/>
      <c r="B273" s="108"/>
      <c r="C273" s="99"/>
      <c r="D273" s="100"/>
      <c r="E273" s="102"/>
      <c r="F273" s="102"/>
      <c r="G273" s="18" t="str">
        <f t="shared" si="46"/>
        <v/>
      </c>
      <c r="H273" s="23" t="str">
        <f t="shared" si="47"/>
        <v/>
      </c>
      <c r="I273" s="27"/>
      <c r="J273" s="3"/>
      <c r="K273" s="3"/>
      <c r="L273" s="3"/>
      <c r="M273" s="3"/>
      <c r="N273" s="3"/>
      <c r="O273" s="3"/>
      <c r="P273" s="3"/>
      <c r="Q273" s="3"/>
      <c r="S273" s="103">
        <f t="shared" si="60"/>
        <v>0</v>
      </c>
      <c r="T273" s="103">
        <f t="shared" si="61"/>
        <v>0</v>
      </c>
      <c r="U273" s="104">
        <f t="shared" si="62"/>
        <v>0</v>
      </c>
      <c r="V273" s="104">
        <f t="shared" si="62"/>
        <v>0</v>
      </c>
      <c r="X273" s="103" t="e">
        <f t="shared" si="63"/>
        <v>#REF!</v>
      </c>
      <c r="Y273" s="103" t="e">
        <f t="shared" si="64"/>
        <v>#REF!</v>
      </c>
      <c r="Z273" s="104" t="e">
        <f t="shared" si="65"/>
        <v>#REF!</v>
      </c>
      <c r="AA273" s="104" t="e">
        <f t="shared" si="65"/>
        <v>#REF!</v>
      </c>
      <c r="AC273" s="103" t="e">
        <f t="shared" si="66"/>
        <v>#REF!</v>
      </c>
      <c r="AD273" s="103" t="e">
        <f t="shared" si="67"/>
        <v>#REF!</v>
      </c>
      <c r="AE273" s="104" t="e">
        <f t="shared" si="68"/>
        <v>#REF!</v>
      </c>
      <c r="AF273" s="104" t="e">
        <f t="shared" si="68"/>
        <v>#REF!</v>
      </c>
      <c r="AH273" s="103" t="e">
        <f t="shared" si="69"/>
        <v>#REF!</v>
      </c>
      <c r="AI273" s="103" t="e">
        <f t="shared" si="70"/>
        <v>#REF!</v>
      </c>
      <c r="AJ273" s="104" t="e">
        <f t="shared" si="71"/>
        <v>#REF!</v>
      </c>
      <c r="AK273" s="104" t="e">
        <f t="shared" si="71"/>
        <v>#REF!</v>
      </c>
    </row>
    <row r="274" spans="1:37" ht="15" customHeight="1">
      <c r="A274" s="107"/>
      <c r="B274" s="108"/>
      <c r="C274" s="99"/>
      <c r="D274" s="100"/>
      <c r="E274" s="102"/>
      <c r="F274" s="102"/>
      <c r="G274" s="18" t="str">
        <f t="shared" si="46"/>
        <v/>
      </c>
      <c r="H274" s="23" t="str">
        <f t="shared" si="47"/>
        <v/>
      </c>
      <c r="I274" s="27"/>
      <c r="J274" s="3"/>
      <c r="K274" s="3"/>
      <c r="L274" s="3"/>
      <c r="M274" s="3"/>
      <c r="N274" s="3"/>
      <c r="O274" s="3"/>
      <c r="P274" s="3"/>
      <c r="Q274" s="3"/>
      <c r="S274" s="103">
        <f t="shared" si="60"/>
        <v>0</v>
      </c>
      <c r="T274" s="103">
        <f t="shared" si="61"/>
        <v>0</v>
      </c>
      <c r="U274" s="104">
        <f t="shared" si="62"/>
        <v>0</v>
      </c>
      <c r="V274" s="104">
        <f t="shared" si="62"/>
        <v>0</v>
      </c>
      <c r="X274" s="103" t="e">
        <f t="shared" si="63"/>
        <v>#REF!</v>
      </c>
      <c r="Y274" s="103" t="e">
        <f t="shared" si="64"/>
        <v>#REF!</v>
      </c>
      <c r="Z274" s="104" t="e">
        <f t="shared" si="65"/>
        <v>#REF!</v>
      </c>
      <c r="AA274" s="104" t="e">
        <f t="shared" si="65"/>
        <v>#REF!</v>
      </c>
      <c r="AC274" s="103" t="e">
        <f t="shared" si="66"/>
        <v>#REF!</v>
      </c>
      <c r="AD274" s="103" t="e">
        <f t="shared" si="67"/>
        <v>#REF!</v>
      </c>
      <c r="AE274" s="104" t="e">
        <f t="shared" si="68"/>
        <v>#REF!</v>
      </c>
      <c r="AF274" s="104" t="e">
        <f t="shared" si="68"/>
        <v>#REF!</v>
      </c>
      <c r="AH274" s="103" t="e">
        <f t="shared" si="69"/>
        <v>#REF!</v>
      </c>
      <c r="AI274" s="103" t="e">
        <f t="shared" si="70"/>
        <v>#REF!</v>
      </c>
      <c r="AJ274" s="104" t="e">
        <f t="shared" si="71"/>
        <v>#REF!</v>
      </c>
      <c r="AK274" s="104" t="e">
        <f t="shared" si="71"/>
        <v>#REF!</v>
      </c>
    </row>
    <row r="275" spans="1:37" ht="15" customHeight="1">
      <c r="A275" s="107"/>
      <c r="B275" s="108"/>
      <c r="C275" s="99"/>
      <c r="D275" s="100"/>
      <c r="E275" s="102"/>
      <c r="F275" s="102"/>
      <c r="G275" s="18" t="str">
        <f t="shared" ref="G275:G332" si="72">IF(AND(D275="",E275=""),"",IF(D275="",E275,D275+E275))</f>
        <v/>
      </c>
      <c r="H275" s="23" t="str">
        <f t="shared" ref="H275:H332" si="73">IF(AND(D275="",F275=""),"",IF(D275="",F275,D275+F275))</f>
        <v/>
      </c>
      <c r="I275" s="27"/>
      <c r="J275" s="3"/>
      <c r="K275" s="3"/>
      <c r="L275" s="3"/>
      <c r="M275" s="3"/>
      <c r="N275" s="3"/>
      <c r="O275" s="3"/>
      <c r="P275" s="3"/>
      <c r="Q275" s="3"/>
      <c r="S275" s="103">
        <f t="shared" si="60"/>
        <v>0</v>
      </c>
      <c r="T275" s="103">
        <f t="shared" si="61"/>
        <v>0</v>
      </c>
      <c r="U275" s="104">
        <f t="shared" si="62"/>
        <v>0</v>
      </c>
      <c r="V275" s="104">
        <f t="shared" si="62"/>
        <v>0</v>
      </c>
      <c r="X275" s="103" t="e">
        <f t="shared" si="63"/>
        <v>#REF!</v>
      </c>
      <c r="Y275" s="103" t="e">
        <f t="shared" si="64"/>
        <v>#REF!</v>
      </c>
      <c r="Z275" s="104" t="e">
        <f t="shared" si="65"/>
        <v>#REF!</v>
      </c>
      <c r="AA275" s="104" t="e">
        <f t="shared" si="65"/>
        <v>#REF!</v>
      </c>
      <c r="AC275" s="103" t="e">
        <f t="shared" si="66"/>
        <v>#REF!</v>
      </c>
      <c r="AD275" s="103" t="e">
        <f t="shared" si="67"/>
        <v>#REF!</v>
      </c>
      <c r="AE275" s="104" t="e">
        <f t="shared" si="68"/>
        <v>#REF!</v>
      </c>
      <c r="AF275" s="104" t="e">
        <f t="shared" si="68"/>
        <v>#REF!</v>
      </c>
      <c r="AH275" s="103" t="e">
        <f t="shared" si="69"/>
        <v>#REF!</v>
      </c>
      <c r="AI275" s="103" t="e">
        <f t="shared" si="70"/>
        <v>#REF!</v>
      </c>
      <c r="AJ275" s="104" t="e">
        <f t="shared" si="71"/>
        <v>#REF!</v>
      </c>
      <c r="AK275" s="104" t="e">
        <f t="shared" si="71"/>
        <v>#REF!</v>
      </c>
    </row>
    <row r="276" spans="1:37" ht="15" customHeight="1">
      <c r="A276" s="107"/>
      <c r="B276" s="108"/>
      <c r="C276" s="99"/>
      <c r="D276" s="100"/>
      <c r="E276" s="102"/>
      <c r="F276" s="102"/>
      <c r="G276" s="18" t="str">
        <f t="shared" si="72"/>
        <v/>
      </c>
      <c r="H276" s="23" t="str">
        <f t="shared" si="73"/>
        <v/>
      </c>
      <c r="I276" s="27"/>
      <c r="J276" s="3"/>
      <c r="K276" s="3"/>
      <c r="L276" s="3"/>
      <c r="M276" s="3"/>
      <c r="N276" s="3"/>
      <c r="O276" s="3"/>
      <c r="P276" s="3"/>
      <c r="Q276" s="3"/>
      <c r="S276" s="103">
        <f t="shared" si="60"/>
        <v>0</v>
      </c>
      <c r="T276" s="103">
        <f t="shared" si="61"/>
        <v>0</v>
      </c>
      <c r="U276" s="104">
        <f t="shared" si="62"/>
        <v>0</v>
      </c>
      <c r="V276" s="104">
        <f t="shared" si="62"/>
        <v>0</v>
      </c>
      <c r="X276" s="103" t="e">
        <f t="shared" si="63"/>
        <v>#REF!</v>
      </c>
      <c r="Y276" s="103" t="e">
        <f t="shared" si="64"/>
        <v>#REF!</v>
      </c>
      <c r="Z276" s="104" t="e">
        <f t="shared" si="65"/>
        <v>#REF!</v>
      </c>
      <c r="AA276" s="104" t="e">
        <f t="shared" si="65"/>
        <v>#REF!</v>
      </c>
      <c r="AC276" s="103" t="e">
        <f t="shared" si="66"/>
        <v>#REF!</v>
      </c>
      <c r="AD276" s="103" t="e">
        <f t="shared" si="67"/>
        <v>#REF!</v>
      </c>
      <c r="AE276" s="104" t="e">
        <f t="shared" si="68"/>
        <v>#REF!</v>
      </c>
      <c r="AF276" s="104" t="e">
        <f t="shared" si="68"/>
        <v>#REF!</v>
      </c>
      <c r="AH276" s="103" t="e">
        <f t="shared" si="69"/>
        <v>#REF!</v>
      </c>
      <c r="AI276" s="103" t="e">
        <f t="shared" si="70"/>
        <v>#REF!</v>
      </c>
      <c r="AJ276" s="104" t="e">
        <f t="shared" si="71"/>
        <v>#REF!</v>
      </c>
      <c r="AK276" s="104" t="e">
        <f t="shared" si="71"/>
        <v>#REF!</v>
      </c>
    </row>
    <row r="277" spans="1:37" ht="15" customHeight="1">
      <c r="A277" s="107"/>
      <c r="B277" s="108"/>
      <c r="C277" s="99"/>
      <c r="D277" s="100"/>
      <c r="E277" s="102"/>
      <c r="F277" s="102"/>
      <c r="G277" s="18" t="str">
        <f t="shared" si="72"/>
        <v/>
      </c>
      <c r="H277" s="23" t="str">
        <f t="shared" si="73"/>
        <v/>
      </c>
      <c r="I277" s="27"/>
      <c r="J277" s="3"/>
      <c r="K277" s="3"/>
      <c r="L277" s="3"/>
      <c r="M277" s="3"/>
      <c r="N277" s="3"/>
      <c r="O277" s="3"/>
      <c r="P277" s="3"/>
      <c r="Q277" s="3"/>
      <c r="S277" s="103">
        <f t="shared" si="60"/>
        <v>0</v>
      </c>
      <c r="T277" s="103">
        <f t="shared" si="61"/>
        <v>0</v>
      </c>
      <c r="U277" s="104">
        <f t="shared" si="62"/>
        <v>0</v>
      </c>
      <c r="V277" s="104">
        <f t="shared" si="62"/>
        <v>0</v>
      </c>
      <c r="X277" s="103" t="e">
        <f t="shared" si="63"/>
        <v>#REF!</v>
      </c>
      <c r="Y277" s="103" t="e">
        <f t="shared" si="64"/>
        <v>#REF!</v>
      </c>
      <c r="Z277" s="104" t="e">
        <f t="shared" si="65"/>
        <v>#REF!</v>
      </c>
      <c r="AA277" s="104" t="e">
        <f t="shared" si="65"/>
        <v>#REF!</v>
      </c>
      <c r="AC277" s="103" t="e">
        <f t="shared" si="66"/>
        <v>#REF!</v>
      </c>
      <c r="AD277" s="103" t="e">
        <f t="shared" si="67"/>
        <v>#REF!</v>
      </c>
      <c r="AE277" s="104" t="e">
        <f t="shared" si="68"/>
        <v>#REF!</v>
      </c>
      <c r="AF277" s="104" t="e">
        <f t="shared" si="68"/>
        <v>#REF!</v>
      </c>
      <c r="AH277" s="103" t="e">
        <f t="shared" si="69"/>
        <v>#REF!</v>
      </c>
      <c r="AI277" s="103" t="e">
        <f t="shared" si="70"/>
        <v>#REF!</v>
      </c>
      <c r="AJ277" s="104" t="e">
        <f t="shared" si="71"/>
        <v>#REF!</v>
      </c>
      <c r="AK277" s="104" t="e">
        <f t="shared" si="71"/>
        <v>#REF!</v>
      </c>
    </row>
    <row r="278" spans="1:37" ht="15" customHeight="1">
      <c r="A278" s="107"/>
      <c r="B278" s="108"/>
      <c r="C278" s="99"/>
      <c r="D278" s="100"/>
      <c r="E278" s="102"/>
      <c r="F278" s="102"/>
      <c r="G278" s="18" t="str">
        <f t="shared" si="72"/>
        <v/>
      </c>
      <c r="H278" s="23" t="str">
        <f t="shared" si="73"/>
        <v/>
      </c>
      <c r="I278" s="27"/>
      <c r="J278" s="3"/>
      <c r="K278" s="3"/>
      <c r="L278" s="3"/>
      <c r="M278" s="3"/>
      <c r="N278" s="3"/>
      <c r="O278" s="3"/>
      <c r="P278" s="3"/>
      <c r="Q278" s="3"/>
      <c r="S278" s="103">
        <f t="shared" ref="S278:S341" si="74">IF($A278&lt;&gt;"(DC)", $E278*$R$7, $E278)</f>
        <v>0</v>
      </c>
      <c r="T278" s="103">
        <f t="shared" ref="T278:T341" si="75">IF($A278&lt;&gt;"(DC)", $F278*$R$7, $F278)</f>
        <v>0</v>
      </c>
      <c r="U278" s="104">
        <f t="shared" ref="U278:V341" si="76">IF(AND($D278="",S278=""),"",IF($D278="",S278,$D278+S278))</f>
        <v>0</v>
      </c>
      <c r="V278" s="104">
        <f t="shared" si="76"/>
        <v>0</v>
      </c>
      <c r="X278" s="103" t="e">
        <f t="shared" ref="X278:X341" si="77">IF($A278&lt;&gt;"(DC)", $E278*$W$7, $E278)</f>
        <v>#REF!</v>
      </c>
      <c r="Y278" s="103" t="e">
        <f t="shared" ref="Y278:Y341" si="78">IF($A278&lt;&gt;"(DC)", $F278*$W$7, $F278)</f>
        <v>#REF!</v>
      </c>
      <c r="Z278" s="104" t="e">
        <f t="shared" ref="Z278:AA341" si="79">IF(AND($D278="",X278=""),"",IF($D278="",X278,$D278+X278))</f>
        <v>#REF!</v>
      </c>
      <c r="AA278" s="104" t="e">
        <f t="shared" si="79"/>
        <v>#REF!</v>
      </c>
      <c r="AC278" s="103" t="e">
        <f t="shared" ref="AC278:AC341" si="80">IF($A278&lt;&gt;"(DC)", $E278*$W$7, $E278)</f>
        <v>#REF!</v>
      </c>
      <c r="AD278" s="103" t="e">
        <f t="shared" ref="AD278:AD341" si="81">IF($A278&lt;&gt;"(DC)", $F278*$W$7, $F278)</f>
        <v>#REF!</v>
      </c>
      <c r="AE278" s="104" t="e">
        <f t="shared" ref="AE278:AF341" si="82">IF(AND($D278="",AC278=""),"",IF($D278="",AC278,$D278+AC278))</f>
        <v>#REF!</v>
      </c>
      <c r="AF278" s="104" t="e">
        <f t="shared" si="82"/>
        <v>#REF!</v>
      </c>
      <c r="AH278" s="103" t="e">
        <f t="shared" ref="AH278:AH341" si="83">IF($A278&lt;&gt;"(DC)", $E278*$AG$7, $E278)</f>
        <v>#REF!</v>
      </c>
      <c r="AI278" s="103" t="e">
        <f t="shared" ref="AI278:AI341" si="84">IF($A278&lt;&gt;"(DC)", $F278*$AG$7, $F278)</f>
        <v>#REF!</v>
      </c>
      <c r="AJ278" s="104" t="e">
        <f t="shared" ref="AJ278:AK341" si="85">IF(AND($D278="",AH278=""),"",IF($D278="",AH278,$D278+AH278))</f>
        <v>#REF!</v>
      </c>
      <c r="AK278" s="104" t="e">
        <f t="shared" si="85"/>
        <v>#REF!</v>
      </c>
    </row>
    <row r="279" spans="1:37" ht="15" customHeight="1">
      <c r="A279" s="107"/>
      <c r="B279" s="108"/>
      <c r="C279" s="99"/>
      <c r="D279" s="100"/>
      <c r="E279" s="102"/>
      <c r="F279" s="102"/>
      <c r="G279" s="18" t="str">
        <f t="shared" si="72"/>
        <v/>
      </c>
      <c r="H279" s="23" t="str">
        <f t="shared" si="73"/>
        <v/>
      </c>
      <c r="I279" s="27"/>
      <c r="J279" s="3"/>
      <c r="K279" s="3"/>
      <c r="L279" s="3"/>
      <c r="M279" s="3"/>
      <c r="N279" s="3"/>
      <c r="O279" s="3"/>
      <c r="P279" s="3"/>
      <c r="Q279" s="3"/>
      <c r="S279" s="103">
        <f t="shared" si="74"/>
        <v>0</v>
      </c>
      <c r="T279" s="103">
        <f t="shared" si="75"/>
        <v>0</v>
      </c>
      <c r="U279" s="104">
        <f t="shared" si="76"/>
        <v>0</v>
      </c>
      <c r="V279" s="104">
        <f t="shared" si="76"/>
        <v>0</v>
      </c>
      <c r="X279" s="103" t="e">
        <f t="shared" si="77"/>
        <v>#REF!</v>
      </c>
      <c r="Y279" s="103" t="e">
        <f t="shared" si="78"/>
        <v>#REF!</v>
      </c>
      <c r="Z279" s="104" t="e">
        <f t="shared" si="79"/>
        <v>#REF!</v>
      </c>
      <c r="AA279" s="104" t="e">
        <f t="shared" si="79"/>
        <v>#REF!</v>
      </c>
      <c r="AC279" s="103" t="e">
        <f t="shared" si="80"/>
        <v>#REF!</v>
      </c>
      <c r="AD279" s="103" t="e">
        <f t="shared" si="81"/>
        <v>#REF!</v>
      </c>
      <c r="AE279" s="104" t="e">
        <f t="shared" si="82"/>
        <v>#REF!</v>
      </c>
      <c r="AF279" s="104" t="e">
        <f t="shared" si="82"/>
        <v>#REF!</v>
      </c>
      <c r="AH279" s="103" t="e">
        <f t="shared" si="83"/>
        <v>#REF!</v>
      </c>
      <c r="AI279" s="103" t="e">
        <f t="shared" si="84"/>
        <v>#REF!</v>
      </c>
      <c r="AJ279" s="104" t="e">
        <f t="shared" si="85"/>
        <v>#REF!</v>
      </c>
      <c r="AK279" s="104" t="e">
        <f t="shared" si="85"/>
        <v>#REF!</v>
      </c>
    </row>
    <row r="280" spans="1:37" ht="15" customHeight="1">
      <c r="A280" s="107"/>
      <c r="B280" s="108"/>
      <c r="C280" s="99"/>
      <c r="D280" s="100"/>
      <c r="E280" s="102"/>
      <c r="F280" s="102"/>
      <c r="G280" s="18" t="str">
        <f t="shared" si="72"/>
        <v/>
      </c>
      <c r="H280" s="23" t="str">
        <f t="shared" si="73"/>
        <v/>
      </c>
      <c r="I280" s="27"/>
      <c r="J280" s="3"/>
      <c r="K280" s="3"/>
      <c r="L280" s="3"/>
      <c r="M280" s="3"/>
      <c r="N280" s="3"/>
      <c r="O280" s="3"/>
      <c r="P280" s="3"/>
      <c r="Q280" s="3"/>
      <c r="S280" s="103">
        <f t="shared" si="74"/>
        <v>0</v>
      </c>
      <c r="T280" s="103">
        <f t="shared" si="75"/>
        <v>0</v>
      </c>
      <c r="U280" s="104">
        <f t="shared" si="76"/>
        <v>0</v>
      </c>
      <c r="V280" s="104">
        <f t="shared" si="76"/>
        <v>0</v>
      </c>
      <c r="X280" s="103" t="e">
        <f t="shared" si="77"/>
        <v>#REF!</v>
      </c>
      <c r="Y280" s="103" t="e">
        <f t="shared" si="78"/>
        <v>#REF!</v>
      </c>
      <c r="Z280" s="104" t="e">
        <f t="shared" si="79"/>
        <v>#REF!</v>
      </c>
      <c r="AA280" s="104" t="e">
        <f t="shared" si="79"/>
        <v>#REF!</v>
      </c>
      <c r="AC280" s="103" t="e">
        <f t="shared" si="80"/>
        <v>#REF!</v>
      </c>
      <c r="AD280" s="103" t="e">
        <f t="shared" si="81"/>
        <v>#REF!</v>
      </c>
      <c r="AE280" s="104" t="e">
        <f t="shared" si="82"/>
        <v>#REF!</v>
      </c>
      <c r="AF280" s="104" t="e">
        <f t="shared" si="82"/>
        <v>#REF!</v>
      </c>
      <c r="AH280" s="103" t="e">
        <f t="shared" si="83"/>
        <v>#REF!</v>
      </c>
      <c r="AI280" s="103" t="e">
        <f t="shared" si="84"/>
        <v>#REF!</v>
      </c>
      <c r="AJ280" s="104" t="e">
        <f t="shared" si="85"/>
        <v>#REF!</v>
      </c>
      <c r="AK280" s="104" t="e">
        <f t="shared" si="85"/>
        <v>#REF!</v>
      </c>
    </row>
    <row r="281" spans="1:37" ht="15" customHeight="1">
      <c r="A281" s="107"/>
      <c r="B281" s="108"/>
      <c r="C281" s="99"/>
      <c r="D281" s="100"/>
      <c r="E281" s="102"/>
      <c r="F281" s="102"/>
      <c r="G281" s="18" t="str">
        <f t="shared" si="72"/>
        <v/>
      </c>
      <c r="H281" s="23" t="str">
        <f t="shared" si="73"/>
        <v/>
      </c>
      <c r="I281" s="27"/>
      <c r="J281" s="3"/>
      <c r="K281" s="3"/>
      <c r="L281" s="3"/>
      <c r="M281" s="3"/>
      <c r="N281" s="3"/>
      <c r="O281" s="3"/>
      <c r="P281" s="3"/>
      <c r="Q281" s="3"/>
      <c r="S281" s="103">
        <f t="shared" si="74"/>
        <v>0</v>
      </c>
      <c r="T281" s="103">
        <f t="shared" si="75"/>
        <v>0</v>
      </c>
      <c r="U281" s="104">
        <f t="shared" si="76"/>
        <v>0</v>
      </c>
      <c r="V281" s="104">
        <f t="shared" si="76"/>
        <v>0</v>
      </c>
      <c r="X281" s="103" t="e">
        <f t="shared" si="77"/>
        <v>#REF!</v>
      </c>
      <c r="Y281" s="103" t="e">
        <f t="shared" si="78"/>
        <v>#REF!</v>
      </c>
      <c r="Z281" s="104" t="e">
        <f t="shared" si="79"/>
        <v>#REF!</v>
      </c>
      <c r="AA281" s="104" t="e">
        <f t="shared" si="79"/>
        <v>#REF!</v>
      </c>
      <c r="AC281" s="103" t="e">
        <f t="shared" si="80"/>
        <v>#REF!</v>
      </c>
      <c r="AD281" s="103" t="e">
        <f t="shared" si="81"/>
        <v>#REF!</v>
      </c>
      <c r="AE281" s="104" t="e">
        <f t="shared" si="82"/>
        <v>#REF!</v>
      </c>
      <c r="AF281" s="104" t="e">
        <f t="shared" si="82"/>
        <v>#REF!</v>
      </c>
      <c r="AH281" s="103" t="e">
        <f t="shared" si="83"/>
        <v>#REF!</v>
      </c>
      <c r="AI281" s="103" t="e">
        <f t="shared" si="84"/>
        <v>#REF!</v>
      </c>
      <c r="AJ281" s="104" t="e">
        <f t="shared" si="85"/>
        <v>#REF!</v>
      </c>
      <c r="AK281" s="104" t="e">
        <f t="shared" si="85"/>
        <v>#REF!</v>
      </c>
    </row>
    <row r="282" spans="1:37" ht="15" customHeight="1">
      <c r="A282" s="107"/>
      <c r="B282" s="108"/>
      <c r="C282" s="99"/>
      <c r="D282" s="100"/>
      <c r="E282" s="102"/>
      <c r="F282" s="102"/>
      <c r="G282" s="18" t="str">
        <f t="shared" si="72"/>
        <v/>
      </c>
      <c r="H282" s="23" t="str">
        <f t="shared" si="73"/>
        <v/>
      </c>
      <c r="I282" s="27"/>
      <c r="J282" s="3"/>
      <c r="K282" s="3"/>
      <c r="L282" s="3"/>
      <c r="M282" s="3"/>
      <c r="N282" s="3"/>
      <c r="O282" s="3"/>
      <c r="P282" s="3"/>
      <c r="Q282" s="3"/>
      <c r="S282" s="103">
        <f t="shared" si="74"/>
        <v>0</v>
      </c>
      <c r="T282" s="103">
        <f t="shared" si="75"/>
        <v>0</v>
      </c>
      <c r="U282" s="104">
        <f t="shared" si="76"/>
        <v>0</v>
      </c>
      <c r="V282" s="104">
        <f t="shared" si="76"/>
        <v>0</v>
      </c>
      <c r="X282" s="103" t="e">
        <f t="shared" si="77"/>
        <v>#REF!</v>
      </c>
      <c r="Y282" s="103" t="e">
        <f t="shared" si="78"/>
        <v>#REF!</v>
      </c>
      <c r="Z282" s="104" t="e">
        <f t="shared" si="79"/>
        <v>#REF!</v>
      </c>
      <c r="AA282" s="104" t="e">
        <f t="shared" si="79"/>
        <v>#REF!</v>
      </c>
      <c r="AC282" s="103" t="e">
        <f t="shared" si="80"/>
        <v>#REF!</v>
      </c>
      <c r="AD282" s="103" t="e">
        <f t="shared" si="81"/>
        <v>#REF!</v>
      </c>
      <c r="AE282" s="104" t="e">
        <f t="shared" si="82"/>
        <v>#REF!</v>
      </c>
      <c r="AF282" s="104" t="e">
        <f t="shared" si="82"/>
        <v>#REF!</v>
      </c>
      <c r="AH282" s="103" t="e">
        <f t="shared" si="83"/>
        <v>#REF!</v>
      </c>
      <c r="AI282" s="103" t="e">
        <f t="shared" si="84"/>
        <v>#REF!</v>
      </c>
      <c r="AJ282" s="104" t="e">
        <f t="shared" si="85"/>
        <v>#REF!</v>
      </c>
      <c r="AK282" s="104" t="e">
        <f t="shared" si="85"/>
        <v>#REF!</v>
      </c>
    </row>
    <row r="283" spans="1:37" ht="15" customHeight="1">
      <c r="A283" s="107"/>
      <c r="B283" s="108"/>
      <c r="C283" s="99"/>
      <c r="D283" s="100"/>
      <c r="E283" s="102"/>
      <c r="F283" s="102"/>
      <c r="G283" s="18" t="str">
        <f t="shared" si="72"/>
        <v/>
      </c>
      <c r="H283" s="23" t="str">
        <f t="shared" si="73"/>
        <v/>
      </c>
      <c r="I283" s="27"/>
      <c r="J283" s="3"/>
      <c r="K283" s="3"/>
      <c r="L283" s="3"/>
      <c r="M283" s="3"/>
      <c r="N283" s="3"/>
      <c r="O283" s="3"/>
      <c r="P283" s="3"/>
      <c r="Q283" s="3"/>
      <c r="S283" s="103">
        <f t="shared" si="74"/>
        <v>0</v>
      </c>
      <c r="T283" s="103">
        <f t="shared" si="75"/>
        <v>0</v>
      </c>
      <c r="U283" s="104">
        <f t="shared" si="76"/>
        <v>0</v>
      </c>
      <c r="V283" s="104">
        <f t="shared" si="76"/>
        <v>0</v>
      </c>
      <c r="X283" s="103" t="e">
        <f t="shared" si="77"/>
        <v>#REF!</v>
      </c>
      <c r="Y283" s="103" t="e">
        <f t="shared" si="78"/>
        <v>#REF!</v>
      </c>
      <c r="Z283" s="104" t="e">
        <f t="shared" si="79"/>
        <v>#REF!</v>
      </c>
      <c r="AA283" s="104" t="e">
        <f t="shared" si="79"/>
        <v>#REF!</v>
      </c>
      <c r="AC283" s="103" t="e">
        <f t="shared" si="80"/>
        <v>#REF!</v>
      </c>
      <c r="AD283" s="103" t="e">
        <f t="shared" si="81"/>
        <v>#REF!</v>
      </c>
      <c r="AE283" s="104" t="e">
        <f t="shared" si="82"/>
        <v>#REF!</v>
      </c>
      <c r="AF283" s="104" t="e">
        <f t="shared" si="82"/>
        <v>#REF!</v>
      </c>
      <c r="AH283" s="103" t="e">
        <f t="shared" si="83"/>
        <v>#REF!</v>
      </c>
      <c r="AI283" s="103" t="e">
        <f t="shared" si="84"/>
        <v>#REF!</v>
      </c>
      <c r="AJ283" s="104" t="e">
        <f t="shared" si="85"/>
        <v>#REF!</v>
      </c>
      <c r="AK283" s="104" t="e">
        <f t="shared" si="85"/>
        <v>#REF!</v>
      </c>
    </row>
    <row r="284" spans="1:37" ht="15" customHeight="1">
      <c r="A284" s="107"/>
      <c r="B284" s="108"/>
      <c r="C284" s="99"/>
      <c r="D284" s="100"/>
      <c r="E284" s="102"/>
      <c r="F284" s="102"/>
      <c r="G284" s="18" t="str">
        <f t="shared" si="72"/>
        <v/>
      </c>
      <c r="H284" s="23" t="str">
        <f t="shared" si="73"/>
        <v/>
      </c>
      <c r="I284" s="27"/>
      <c r="J284" s="3"/>
      <c r="K284" s="3"/>
      <c r="L284" s="3"/>
      <c r="M284" s="3"/>
      <c r="N284" s="3"/>
      <c r="O284" s="3"/>
      <c r="P284" s="3"/>
      <c r="Q284" s="3"/>
      <c r="S284" s="103">
        <f t="shared" si="74"/>
        <v>0</v>
      </c>
      <c r="T284" s="103">
        <f t="shared" si="75"/>
        <v>0</v>
      </c>
      <c r="U284" s="104">
        <f t="shared" si="76"/>
        <v>0</v>
      </c>
      <c r="V284" s="104">
        <f t="shared" si="76"/>
        <v>0</v>
      </c>
      <c r="X284" s="103" t="e">
        <f t="shared" si="77"/>
        <v>#REF!</v>
      </c>
      <c r="Y284" s="103" t="e">
        <f t="shared" si="78"/>
        <v>#REF!</v>
      </c>
      <c r="Z284" s="104" t="e">
        <f t="shared" si="79"/>
        <v>#REF!</v>
      </c>
      <c r="AA284" s="104" t="e">
        <f t="shared" si="79"/>
        <v>#REF!</v>
      </c>
      <c r="AC284" s="103" t="e">
        <f t="shared" si="80"/>
        <v>#REF!</v>
      </c>
      <c r="AD284" s="103" t="e">
        <f t="shared" si="81"/>
        <v>#REF!</v>
      </c>
      <c r="AE284" s="104" t="e">
        <f t="shared" si="82"/>
        <v>#REF!</v>
      </c>
      <c r="AF284" s="104" t="e">
        <f t="shared" si="82"/>
        <v>#REF!</v>
      </c>
      <c r="AH284" s="103" t="e">
        <f t="shared" si="83"/>
        <v>#REF!</v>
      </c>
      <c r="AI284" s="103" t="e">
        <f t="shared" si="84"/>
        <v>#REF!</v>
      </c>
      <c r="AJ284" s="104" t="e">
        <f t="shared" si="85"/>
        <v>#REF!</v>
      </c>
      <c r="AK284" s="104" t="e">
        <f t="shared" si="85"/>
        <v>#REF!</v>
      </c>
    </row>
    <row r="285" spans="1:37" ht="15" customHeight="1">
      <c r="A285" s="107"/>
      <c r="B285" s="108"/>
      <c r="C285" s="99"/>
      <c r="D285" s="100"/>
      <c r="E285" s="102"/>
      <c r="F285" s="102"/>
      <c r="G285" s="18" t="str">
        <f t="shared" si="72"/>
        <v/>
      </c>
      <c r="H285" s="23" t="str">
        <f t="shared" si="73"/>
        <v/>
      </c>
      <c r="I285" s="27"/>
      <c r="J285" s="3"/>
      <c r="K285" s="3"/>
      <c r="L285" s="3"/>
      <c r="M285" s="3"/>
      <c r="N285" s="3"/>
      <c r="O285" s="3"/>
      <c r="P285" s="3"/>
      <c r="Q285" s="3"/>
      <c r="S285" s="103">
        <f t="shared" si="74"/>
        <v>0</v>
      </c>
      <c r="T285" s="103">
        <f t="shared" si="75"/>
        <v>0</v>
      </c>
      <c r="U285" s="104">
        <f t="shared" si="76"/>
        <v>0</v>
      </c>
      <c r="V285" s="104">
        <f t="shared" si="76"/>
        <v>0</v>
      </c>
      <c r="X285" s="103" t="e">
        <f t="shared" si="77"/>
        <v>#REF!</v>
      </c>
      <c r="Y285" s="103" t="e">
        <f t="shared" si="78"/>
        <v>#REF!</v>
      </c>
      <c r="Z285" s="104" t="e">
        <f t="shared" si="79"/>
        <v>#REF!</v>
      </c>
      <c r="AA285" s="104" t="e">
        <f t="shared" si="79"/>
        <v>#REF!</v>
      </c>
      <c r="AC285" s="103" t="e">
        <f t="shared" si="80"/>
        <v>#REF!</v>
      </c>
      <c r="AD285" s="103" t="e">
        <f t="shared" si="81"/>
        <v>#REF!</v>
      </c>
      <c r="AE285" s="104" t="e">
        <f t="shared" si="82"/>
        <v>#REF!</v>
      </c>
      <c r="AF285" s="104" t="e">
        <f t="shared" si="82"/>
        <v>#REF!</v>
      </c>
      <c r="AH285" s="103" t="e">
        <f t="shared" si="83"/>
        <v>#REF!</v>
      </c>
      <c r="AI285" s="103" t="e">
        <f t="shared" si="84"/>
        <v>#REF!</v>
      </c>
      <c r="AJ285" s="104" t="e">
        <f t="shared" si="85"/>
        <v>#REF!</v>
      </c>
      <c r="AK285" s="104" t="e">
        <f t="shared" si="85"/>
        <v>#REF!</v>
      </c>
    </row>
    <row r="286" spans="1:37" ht="15" customHeight="1">
      <c r="A286" s="107"/>
      <c r="B286" s="108"/>
      <c r="C286" s="99"/>
      <c r="D286" s="100"/>
      <c r="E286" s="102"/>
      <c r="F286" s="102"/>
      <c r="G286" s="18" t="str">
        <f t="shared" si="72"/>
        <v/>
      </c>
      <c r="H286" s="23" t="str">
        <f t="shared" si="73"/>
        <v/>
      </c>
      <c r="I286" s="27"/>
      <c r="J286" s="3"/>
      <c r="K286" s="3"/>
      <c r="L286" s="3"/>
      <c r="M286" s="3"/>
      <c r="N286" s="3"/>
      <c r="O286" s="3"/>
      <c r="P286" s="3"/>
      <c r="Q286" s="3"/>
      <c r="S286" s="103">
        <f t="shared" si="74"/>
        <v>0</v>
      </c>
      <c r="T286" s="103">
        <f t="shared" si="75"/>
        <v>0</v>
      </c>
      <c r="U286" s="104">
        <f t="shared" si="76"/>
        <v>0</v>
      </c>
      <c r="V286" s="104">
        <f t="shared" si="76"/>
        <v>0</v>
      </c>
      <c r="X286" s="103" t="e">
        <f t="shared" si="77"/>
        <v>#REF!</v>
      </c>
      <c r="Y286" s="103" t="e">
        <f t="shared" si="78"/>
        <v>#REF!</v>
      </c>
      <c r="Z286" s="104" t="e">
        <f t="shared" si="79"/>
        <v>#REF!</v>
      </c>
      <c r="AA286" s="104" t="e">
        <f t="shared" si="79"/>
        <v>#REF!</v>
      </c>
      <c r="AC286" s="103" t="e">
        <f t="shared" si="80"/>
        <v>#REF!</v>
      </c>
      <c r="AD286" s="103" t="e">
        <f t="shared" si="81"/>
        <v>#REF!</v>
      </c>
      <c r="AE286" s="104" t="e">
        <f t="shared" si="82"/>
        <v>#REF!</v>
      </c>
      <c r="AF286" s="104" t="e">
        <f t="shared" si="82"/>
        <v>#REF!</v>
      </c>
      <c r="AH286" s="103" t="e">
        <f t="shared" si="83"/>
        <v>#REF!</v>
      </c>
      <c r="AI286" s="103" t="e">
        <f t="shared" si="84"/>
        <v>#REF!</v>
      </c>
      <c r="AJ286" s="104" t="e">
        <f t="shared" si="85"/>
        <v>#REF!</v>
      </c>
      <c r="AK286" s="104" t="e">
        <f t="shared" si="85"/>
        <v>#REF!</v>
      </c>
    </row>
    <row r="287" spans="1:37" ht="15" customHeight="1">
      <c r="A287" s="107"/>
      <c r="B287" s="108"/>
      <c r="C287" s="99"/>
      <c r="D287" s="100"/>
      <c r="E287" s="102"/>
      <c r="F287" s="102"/>
      <c r="G287" s="18" t="str">
        <f t="shared" si="72"/>
        <v/>
      </c>
      <c r="H287" s="23" t="str">
        <f t="shared" si="73"/>
        <v/>
      </c>
      <c r="I287" s="26"/>
      <c r="J287" s="3"/>
      <c r="K287" s="3"/>
      <c r="L287" s="3"/>
      <c r="M287" s="3"/>
      <c r="N287" s="3"/>
      <c r="O287" s="3"/>
      <c r="P287" s="3"/>
      <c r="Q287" s="3"/>
      <c r="S287" s="103">
        <f t="shared" si="74"/>
        <v>0</v>
      </c>
      <c r="T287" s="103">
        <f t="shared" si="75"/>
        <v>0</v>
      </c>
      <c r="U287" s="104">
        <f t="shared" si="76"/>
        <v>0</v>
      </c>
      <c r="V287" s="104">
        <f t="shared" si="76"/>
        <v>0</v>
      </c>
      <c r="X287" s="103" t="e">
        <f t="shared" si="77"/>
        <v>#REF!</v>
      </c>
      <c r="Y287" s="103" t="e">
        <f t="shared" si="78"/>
        <v>#REF!</v>
      </c>
      <c r="Z287" s="104" t="e">
        <f t="shared" si="79"/>
        <v>#REF!</v>
      </c>
      <c r="AA287" s="104" t="e">
        <f t="shared" si="79"/>
        <v>#REF!</v>
      </c>
      <c r="AC287" s="103" t="e">
        <f t="shared" si="80"/>
        <v>#REF!</v>
      </c>
      <c r="AD287" s="103" t="e">
        <f t="shared" si="81"/>
        <v>#REF!</v>
      </c>
      <c r="AE287" s="104" t="e">
        <f t="shared" si="82"/>
        <v>#REF!</v>
      </c>
      <c r="AF287" s="104" t="e">
        <f t="shared" si="82"/>
        <v>#REF!</v>
      </c>
      <c r="AH287" s="103" t="e">
        <f t="shared" si="83"/>
        <v>#REF!</v>
      </c>
      <c r="AI287" s="103" t="e">
        <f t="shared" si="84"/>
        <v>#REF!</v>
      </c>
      <c r="AJ287" s="104" t="e">
        <f t="shared" si="85"/>
        <v>#REF!</v>
      </c>
      <c r="AK287" s="104" t="e">
        <f t="shared" si="85"/>
        <v>#REF!</v>
      </c>
    </row>
    <row r="288" spans="1:37" ht="15" customHeight="1">
      <c r="A288" s="107"/>
      <c r="B288" s="108"/>
      <c r="C288" s="99"/>
      <c r="D288" s="100"/>
      <c r="E288" s="102"/>
      <c r="F288" s="102"/>
      <c r="G288" s="18" t="str">
        <f t="shared" si="72"/>
        <v/>
      </c>
      <c r="H288" s="23" t="str">
        <f t="shared" si="73"/>
        <v/>
      </c>
      <c r="I288" s="26"/>
      <c r="J288" s="3"/>
      <c r="K288" s="3"/>
      <c r="L288" s="3"/>
      <c r="M288" s="3"/>
      <c r="N288" s="3"/>
      <c r="O288" s="3"/>
      <c r="P288" s="3"/>
      <c r="Q288" s="3"/>
      <c r="S288" s="103">
        <f t="shared" si="74"/>
        <v>0</v>
      </c>
      <c r="T288" s="103">
        <f t="shared" si="75"/>
        <v>0</v>
      </c>
      <c r="U288" s="104">
        <f t="shared" si="76"/>
        <v>0</v>
      </c>
      <c r="V288" s="104">
        <f t="shared" si="76"/>
        <v>0</v>
      </c>
      <c r="X288" s="103" t="e">
        <f t="shared" si="77"/>
        <v>#REF!</v>
      </c>
      <c r="Y288" s="103" t="e">
        <f t="shared" si="78"/>
        <v>#REF!</v>
      </c>
      <c r="Z288" s="104" t="e">
        <f t="shared" si="79"/>
        <v>#REF!</v>
      </c>
      <c r="AA288" s="104" t="e">
        <f t="shared" si="79"/>
        <v>#REF!</v>
      </c>
      <c r="AC288" s="103" t="e">
        <f t="shared" si="80"/>
        <v>#REF!</v>
      </c>
      <c r="AD288" s="103" t="e">
        <f t="shared" si="81"/>
        <v>#REF!</v>
      </c>
      <c r="AE288" s="104" t="e">
        <f t="shared" si="82"/>
        <v>#REF!</v>
      </c>
      <c r="AF288" s="104" t="e">
        <f t="shared" si="82"/>
        <v>#REF!</v>
      </c>
      <c r="AH288" s="103" t="e">
        <f t="shared" si="83"/>
        <v>#REF!</v>
      </c>
      <c r="AI288" s="103" t="e">
        <f t="shared" si="84"/>
        <v>#REF!</v>
      </c>
      <c r="AJ288" s="104" t="e">
        <f t="shared" si="85"/>
        <v>#REF!</v>
      </c>
      <c r="AK288" s="104" t="e">
        <f t="shared" si="85"/>
        <v>#REF!</v>
      </c>
    </row>
    <row r="289" spans="1:37" ht="15" customHeight="1">
      <c r="A289" s="107"/>
      <c r="B289" s="108"/>
      <c r="C289" s="99"/>
      <c r="D289" s="100"/>
      <c r="E289" s="102"/>
      <c r="F289" s="102"/>
      <c r="G289" s="18" t="str">
        <f t="shared" si="72"/>
        <v/>
      </c>
      <c r="H289" s="23" t="str">
        <f t="shared" si="73"/>
        <v/>
      </c>
      <c r="I289" s="26"/>
      <c r="J289" s="3"/>
      <c r="K289" s="3"/>
      <c r="L289" s="3"/>
      <c r="M289" s="3"/>
      <c r="N289" s="3"/>
      <c r="O289" s="3"/>
      <c r="P289" s="3"/>
      <c r="Q289" s="3"/>
      <c r="S289" s="103">
        <f t="shared" si="74"/>
        <v>0</v>
      </c>
      <c r="T289" s="103">
        <f t="shared" si="75"/>
        <v>0</v>
      </c>
      <c r="U289" s="104">
        <f t="shared" si="76"/>
        <v>0</v>
      </c>
      <c r="V289" s="104">
        <f t="shared" si="76"/>
        <v>0</v>
      </c>
      <c r="X289" s="103" t="e">
        <f t="shared" si="77"/>
        <v>#REF!</v>
      </c>
      <c r="Y289" s="103" t="e">
        <f t="shared" si="78"/>
        <v>#REF!</v>
      </c>
      <c r="Z289" s="104" t="e">
        <f t="shared" si="79"/>
        <v>#REF!</v>
      </c>
      <c r="AA289" s="104" t="e">
        <f t="shared" si="79"/>
        <v>#REF!</v>
      </c>
      <c r="AC289" s="103" t="e">
        <f t="shared" si="80"/>
        <v>#REF!</v>
      </c>
      <c r="AD289" s="103" t="e">
        <f t="shared" si="81"/>
        <v>#REF!</v>
      </c>
      <c r="AE289" s="104" t="e">
        <f t="shared" si="82"/>
        <v>#REF!</v>
      </c>
      <c r="AF289" s="104" t="e">
        <f t="shared" si="82"/>
        <v>#REF!</v>
      </c>
      <c r="AH289" s="103" t="e">
        <f t="shared" si="83"/>
        <v>#REF!</v>
      </c>
      <c r="AI289" s="103" t="e">
        <f t="shared" si="84"/>
        <v>#REF!</v>
      </c>
      <c r="AJ289" s="104" t="e">
        <f t="shared" si="85"/>
        <v>#REF!</v>
      </c>
      <c r="AK289" s="104" t="e">
        <f t="shared" si="85"/>
        <v>#REF!</v>
      </c>
    </row>
    <row r="290" spans="1:37" ht="15" customHeight="1">
      <c r="A290" s="107"/>
      <c r="B290" s="108"/>
      <c r="C290" s="99"/>
      <c r="D290" s="100"/>
      <c r="E290" s="102"/>
      <c r="F290" s="102"/>
      <c r="G290" s="18" t="str">
        <f t="shared" si="72"/>
        <v/>
      </c>
      <c r="H290" s="23" t="str">
        <f t="shared" si="73"/>
        <v/>
      </c>
      <c r="I290" s="26"/>
      <c r="J290" s="3"/>
      <c r="K290" s="3"/>
      <c r="L290" s="3"/>
      <c r="M290" s="3"/>
      <c r="N290" s="3"/>
      <c r="O290" s="3"/>
      <c r="P290" s="3"/>
      <c r="Q290" s="3"/>
      <c r="S290" s="103">
        <f t="shared" si="74"/>
        <v>0</v>
      </c>
      <c r="T290" s="103">
        <f t="shared" si="75"/>
        <v>0</v>
      </c>
      <c r="U290" s="104">
        <f t="shared" si="76"/>
        <v>0</v>
      </c>
      <c r="V290" s="104">
        <f t="shared" si="76"/>
        <v>0</v>
      </c>
      <c r="X290" s="103" t="e">
        <f t="shared" si="77"/>
        <v>#REF!</v>
      </c>
      <c r="Y290" s="103" t="e">
        <f t="shared" si="78"/>
        <v>#REF!</v>
      </c>
      <c r="Z290" s="104" t="e">
        <f t="shared" si="79"/>
        <v>#REF!</v>
      </c>
      <c r="AA290" s="104" t="e">
        <f t="shared" si="79"/>
        <v>#REF!</v>
      </c>
      <c r="AC290" s="103" t="e">
        <f t="shared" si="80"/>
        <v>#REF!</v>
      </c>
      <c r="AD290" s="103" t="e">
        <f t="shared" si="81"/>
        <v>#REF!</v>
      </c>
      <c r="AE290" s="104" t="e">
        <f t="shared" si="82"/>
        <v>#REF!</v>
      </c>
      <c r="AF290" s="104" t="e">
        <f t="shared" si="82"/>
        <v>#REF!</v>
      </c>
      <c r="AH290" s="103" t="e">
        <f t="shared" si="83"/>
        <v>#REF!</v>
      </c>
      <c r="AI290" s="103" t="e">
        <f t="shared" si="84"/>
        <v>#REF!</v>
      </c>
      <c r="AJ290" s="104" t="e">
        <f t="shared" si="85"/>
        <v>#REF!</v>
      </c>
      <c r="AK290" s="104" t="e">
        <f t="shared" si="85"/>
        <v>#REF!</v>
      </c>
    </row>
    <row r="291" spans="1:37" ht="15" customHeight="1">
      <c r="A291" s="107"/>
      <c r="B291" s="108"/>
      <c r="C291" s="99"/>
      <c r="D291" s="100"/>
      <c r="E291" s="102"/>
      <c r="F291" s="102"/>
      <c r="G291" s="18" t="str">
        <f t="shared" si="72"/>
        <v/>
      </c>
      <c r="H291" s="23" t="str">
        <f t="shared" si="73"/>
        <v/>
      </c>
      <c r="I291" s="26"/>
      <c r="J291" s="3"/>
      <c r="K291" s="3"/>
      <c r="L291" s="3"/>
      <c r="M291" s="3"/>
      <c r="N291" s="3"/>
      <c r="O291" s="3"/>
      <c r="P291" s="3"/>
      <c r="Q291" s="3"/>
      <c r="S291" s="103">
        <f t="shared" si="74"/>
        <v>0</v>
      </c>
      <c r="T291" s="103">
        <f t="shared" si="75"/>
        <v>0</v>
      </c>
      <c r="U291" s="104">
        <f t="shared" si="76"/>
        <v>0</v>
      </c>
      <c r="V291" s="104">
        <f t="shared" si="76"/>
        <v>0</v>
      </c>
      <c r="X291" s="103" t="e">
        <f t="shared" si="77"/>
        <v>#REF!</v>
      </c>
      <c r="Y291" s="103" t="e">
        <f t="shared" si="78"/>
        <v>#REF!</v>
      </c>
      <c r="Z291" s="104" t="e">
        <f t="shared" si="79"/>
        <v>#REF!</v>
      </c>
      <c r="AA291" s="104" t="e">
        <f t="shared" si="79"/>
        <v>#REF!</v>
      </c>
      <c r="AC291" s="103" t="e">
        <f t="shared" si="80"/>
        <v>#REF!</v>
      </c>
      <c r="AD291" s="103" t="e">
        <f t="shared" si="81"/>
        <v>#REF!</v>
      </c>
      <c r="AE291" s="104" t="e">
        <f t="shared" si="82"/>
        <v>#REF!</v>
      </c>
      <c r="AF291" s="104" t="e">
        <f t="shared" si="82"/>
        <v>#REF!</v>
      </c>
      <c r="AH291" s="103" t="e">
        <f t="shared" si="83"/>
        <v>#REF!</v>
      </c>
      <c r="AI291" s="103" t="e">
        <f t="shared" si="84"/>
        <v>#REF!</v>
      </c>
      <c r="AJ291" s="104" t="e">
        <f t="shared" si="85"/>
        <v>#REF!</v>
      </c>
      <c r="AK291" s="104" t="e">
        <f t="shared" si="85"/>
        <v>#REF!</v>
      </c>
    </row>
    <row r="292" spans="1:37" ht="15" customHeight="1">
      <c r="A292" s="107"/>
      <c r="B292" s="108"/>
      <c r="C292" s="99"/>
      <c r="D292" s="100"/>
      <c r="E292" s="102"/>
      <c r="F292" s="102"/>
      <c r="G292" s="18" t="str">
        <f t="shared" si="72"/>
        <v/>
      </c>
      <c r="H292" s="23" t="str">
        <f t="shared" si="73"/>
        <v/>
      </c>
      <c r="I292" s="26"/>
      <c r="J292" s="3"/>
      <c r="K292" s="3"/>
      <c r="L292" s="3"/>
      <c r="M292" s="3"/>
      <c r="N292" s="3"/>
      <c r="O292" s="3"/>
      <c r="P292" s="3"/>
      <c r="Q292" s="3"/>
      <c r="S292" s="103">
        <f t="shared" si="74"/>
        <v>0</v>
      </c>
      <c r="T292" s="103">
        <f t="shared" si="75"/>
        <v>0</v>
      </c>
      <c r="U292" s="104">
        <f t="shared" si="76"/>
        <v>0</v>
      </c>
      <c r="V292" s="104">
        <f t="shared" si="76"/>
        <v>0</v>
      </c>
      <c r="X292" s="103" t="e">
        <f t="shared" si="77"/>
        <v>#REF!</v>
      </c>
      <c r="Y292" s="103" t="e">
        <f t="shared" si="78"/>
        <v>#REF!</v>
      </c>
      <c r="Z292" s="104" t="e">
        <f t="shared" si="79"/>
        <v>#REF!</v>
      </c>
      <c r="AA292" s="104" t="e">
        <f t="shared" si="79"/>
        <v>#REF!</v>
      </c>
      <c r="AC292" s="103" t="e">
        <f t="shared" si="80"/>
        <v>#REF!</v>
      </c>
      <c r="AD292" s="103" t="e">
        <f t="shared" si="81"/>
        <v>#REF!</v>
      </c>
      <c r="AE292" s="104" t="e">
        <f t="shared" si="82"/>
        <v>#REF!</v>
      </c>
      <c r="AF292" s="104" t="e">
        <f t="shared" si="82"/>
        <v>#REF!</v>
      </c>
      <c r="AH292" s="103" t="e">
        <f t="shared" si="83"/>
        <v>#REF!</v>
      </c>
      <c r="AI292" s="103" t="e">
        <f t="shared" si="84"/>
        <v>#REF!</v>
      </c>
      <c r="AJ292" s="104" t="e">
        <f t="shared" si="85"/>
        <v>#REF!</v>
      </c>
      <c r="AK292" s="104" t="e">
        <f t="shared" si="85"/>
        <v>#REF!</v>
      </c>
    </row>
    <row r="293" spans="1:37" ht="15" customHeight="1">
      <c r="A293" s="107"/>
      <c r="B293" s="108"/>
      <c r="C293" s="99"/>
      <c r="D293" s="100"/>
      <c r="E293" s="102"/>
      <c r="F293" s="102"/>
      <c r="G293" s="18" t="str">
        <f t="shared" si="72"/>
        <v/>
      </c>
      <c r="H293" s="23" t="str">
        <f t="shared" si="73"/>
        <v/>
      </c>
      <c r="I293" s="26"/>
      <c r="J293" s="3"/>
      <c r="K293" s="3"/>
      <c r="L293" s="3"/>
      <c r="M293" s="3"/>
      <c r="N293" s="3"/>
      <c r="O293" s="3"/>
      <c r="P293" s="3"/>
      <c r="Q293" s="3"/>
      <c r="S293" s="103">
        <f t="shared" si="74"/>
        <v>0</v>
      </c>
      <c r="T293" s="103">
        <f t="shared" si="75"/>
        <v>0</v>
      </c>
      <c r="U293" s="104">
        <f t="shared" si="76"/>
        <v>0</v>
      </c>
      <c r="V293" s="104">
        <f t="shared" si="76"/>
        <v>0</v>
      </c>
      <c r="X293" s="103" t="e">
        <f t="shared" si="77"/>
        <v>#REF!</v>
      </c>
      <c r="Y293" s="103" t="e">
        <f t="shared" si="78"/>
        <v>#REF!</v>
      </c>
      <c r="Z293" s="104" t="e">
        <f t="shared" si="79"/>
        <v>#REF!</v>
      </c>
      <c r="AA293" s="104" t="e">
        <f t="shared" si="79"/>
        <v>#REF!</v>
      </c>
      <c r="AC293" s="103" t="e">
        <f t="shared" si="80"/>
        <v>#REF!</v>
      </c>
      <c r="AD293" s="103" t="e">
        <f t="shared" si="81"/>
        <v>#REF!</v>
      </c>
      <c r="AE293" s="104" t="e">
        <f t="shared" si="82"/>
        <v>#REF!</v>
      </c>
      <c r="AF293" s="104" t="e">
        <f t="shared" si="82"/>
        <v>#REF!</v>
      </c>
      <c r="AH293" s="103" t="e">
        <f t="shared" si="83"/>
        <v>#REF!</v>
      </c>
      <c r="AI293" s="103" t="e">
        <f t="shared" si="84"/>
        <v>#REF!</v>
      </c>
      <c r="AJ293" s="104" t="e">
        <f t="shared" si="85"/>
        <v>#REF!</v>
      </c>
      <c r="AK293" s="104" t="e">
        <f t="shared" si="85"/>
        <v>#REF!</v>
      </c>
    </row>
    <row r="294" spans="1:37" ht="15" customHeight="1">
      <c r="A294" s="107"/>
      <c r="B294" s="108"/>
      <c r="C294" s="99"/>
      <c r="D294" s="100"/>
      <c r="E294" s="102"/>
      <c r="F294" s="102"/>
      <c r="G294" s="18" t="str">
        <f t="shared" si="72"/>
        <v/>
      </c>
      <c r="H294" s="23" t="str">
        <f t="shared" si="73"/>
        <v/>
      </c>
      <c r="I294" s="26"/>
      <c r="J294" s="3"/>
      <c r="K294" s="3"/>
      <c r="L294" s="3"/>
      <c r="M294" s="3"/>
      <c r="N294" s="3"/>
      <c r="O294" s="3"/>
      <c r="P294" s="3"/>
      <c r="Q294" s="3"/>
      <c r="S294" s="103">
        <f t="shared" si="74"/>
        <v>0</v>
      </c>
      <c r="T294" s="103">
        <f t="shared" si="75"/>
        <v>0</v>
      </c>
      <c r="U294" s="104">
        <f t="shared" si="76"/>
        <v>0</v>
      </c>
      <c r="V294" s="104">
        <f t="shared" si="76"/>
        <v>0</v>
      </c>
      <c r="X294" s="103" t="e">
        <f t="shared" si="77"/>
        <v>#REF!</v>
      </c>
      <c r="Y294" s="103" t="e">
        <f t="shared" si="78"/>
        <v>#REF!</v>
      </c>
      <c r="Z294" s="104" t="e">
        <f t="shared" si="79"/>
        <v>#REF!</v>
      </c>
      <c r="AA294" s="104" t="e">
        <f t="shared" si="79"/>
        <v>#REF!</v>
      </c>
      <c r="AC294" s="103" t="e">
        <f t="shared" si="80"/>
        <v>#REF!</v>
      </c>
      <c r="AD294" s="103" t="e">
        <f t="shared" si="81"/>
        <v>#REF!</v>
      </c>
      <c r="AE294" s="104" t="e">
        <f t="shared" si="82"/>
        <v>#REF!</v>
      </c>
      <c r="AF294" s="104" t="e">
        <f t="shared" si="82"/>
        <v>#REF!</v>
      </c>
      <c r="AH294" s="103" t="e">
        <f t="shared" si="83"/>
        <v>#REF!</v>
      </c>
      <c r="AI294" s="103" t="e">
        <f t="shared" si="84"/>
        <v>#REF!</v>
      </c>
      <c r="AJ294" s="104" t="e">
        <f t="shared" si="85"/>
        <v>#REF!</v>
      </c>
      <c r="AK294" s="104" t="e">
        <f t="shared" si="85"/>
        <v>#REF!</v>
      </c>
    </row>
    <row r="295" spans="1:37" ht="15" customHeight="1">
      <c r="A295" s="107"/>
      <c r="B295" s="108"/>
      <c r="C295" s="99"/>
      <c r="D295" s="100"/>
      <c r="E295" s="102"/>
      <c r="F295" s="102"/>
      <c r="G295" s="18" t="str">
        <f t="shared" si="72"/>
        <v/>
      </c>
      <c r="H295" s="23" t="str">
        <f t="shared" si="73"/>
        <v/>
      </c>
      <c r="I295" s="26"/>
      <c r="J295" s="3"/>
      <c r="K295" s="3"/>
      <c r="L295" s="3"/>
      <c r="M295" s="3"/>
      <c r="N295" s="3"/>
      <c r="O295" s="3"/>
      <c r="P295" s="3"/>
      <c r="Q295" s="3"/>
      <c r="S295" s="103">
        <f t="shared" si="74"/>
        <v>0</v>
      </c>
      <c r="T295" s="103">
        <f t="shared" si="75"/>
        <v>0</v>
      </c>
      <c r="U295" s="104">
        <f t="shared" si="76"/>
        <v>0</v>
      </c>
      <c r="V295" s="104">
        <f t="shared" si="76"/>
        <v>0</v>
      </c>
      <c r="X295" s="103" t="e">
        <f t="shared" si="77"/>
        <v>#REF!</v>
      </c>
      <c r="Y295" s="103" t="e">
        <f t="shared" si="78"/>
        <v>#REF!</v>
      </c>
      <c r="Z295" s="104" t="e">
        <f t="shared" si="79"/>
        <v>#REF!</v>
      </c>
      <c r="AA295" s="104" t="e">
        <f t="shared" si="79"/>
        <v>#REF!</v>
      </c>
      <c r="AC295" s="103" t="e">
        <f t="shared" si="80"/>
        <v>#REF!</v>
      </c>
      <c r="AD295" s="103" t="e">
        <f t="shared" si="81"/>
        <v>#REF!</v>
      </c>
      <c r="AE295" s="104" t="e">
        <f t="shared" si="82"/>
        <v>#REF!</v>
      </c>
      <c r="AF295" s="104" t="e">
        <f t="shared" si="82"/>
        <v>#REF!</v>
      </c>
      <c r="AH295" s="103" t="e">
        <f t="shared" si="83"/>
        <v>#REF!</v>
      </c>
      <c r="AI295" s="103" t="e">
        <f t="shared" si="84"/>
        <v>#REF!</v>
      </c>
      <c r="AJ295" s="104" t="e">
        <f t="shared" si="85"/>
        <v>#REF!</v>
      </c>
      <c r="AK295" s="104" t="e">
        <f t="shared" si="85"/>
        <v>#REF!</v>
      </c>
    </row>
    <row r="296" spans="1:37" ht="15" customHeight="1">
      <c r="A296" s="107"/>
      <c r="B296" s="108"/>
      <c r="C296" s="99"/>
      <c r="D296" s="100"/>
      <c r="E296" s="102"/>
      <c r="F296" s="102"/>
      <c r="G296" s="18" t="str">
        <f t="shared" si="72"/>
        <v/>
      </c>
      <c r="H296" s="23" t="str">
        <f t="shared" si="73"/>
        <v/>
      </c>
      <c r="I296" s="26"/>
      <c r="J296" s="3"/>
      <c r="K296" s="3"/>
      <c r="L296" s="3"/>
      <c r="M296" s="3"/>
      <c r="N296" s="3"/>
      <c r="O296" s="3"/>
      <c r="P296" s="3"/>
      <c r="Q296" s="3"/>
      <c r="S296" s="103">
        <f t="shared" si="74"/>
        <v>0</v>
      </c>
      <c r="T296" s="103">
        <f t="shared" si="75"/>
        <v>0</v>
      </c>
      <c r="U296" s="104">
        <f t="shared" si="76"/>
        <v>0</v>
      </c>
      <c r="V296" s="104">
        <f t="shared" si="76"/>
        <v>0</v>
      </c>
      <c r="X296" s="103" t="e">
        <f t="shared" si="77"/>
        <v>#REF!</v>
      </c>
      <c r="Y296" s="103" t="e">
        <f t="shared" si="78"/>
        <v>#REF!</v>
      </c>
      <c r="Z296" s="104" t="e">
        <f t="shared" si="79"/>
        <v>#REF!</v>
      </c>
      <c r="AA296" s="104" t="e">
        <f t="shared" si="79"/>
        <v>#REF!</v>
      </c>
      <c r="AC296" s="103" t="e">
        <f t="shared" si="80"/>
        <v>#REF!</v>
      </c>
      <c r="AD296" s="103" t="e">
        <f t="shared" si="81"/>
        <v>#REF!</v>
      </c>
      <c r="AE296" s="104" t="e">
        <f t="shared" si="82"/>
        <v>#REF!</v>
      </c>
      <c r="AF296" s="104" t="e">
        <f t="shared" si="82"/>
        <v>#REF!</v>
      </c>
      <c r="AH296" s="103" t="e">
        <f t="shared" si="83"/>
        <v>#REF!</v>
      </c>
      <c r="AI296" s="103" t="e">
        <f t="shared" si="84"/>
        <v>#REF!</v>
      </c>
      <c r="AJ296" s="104" t="e">
        <f t="shared" si="85"/>
        <v>#REF!</v>
      </c>
      <c r="AK296" s="104" t="e">
        <f t="shared" si="85"/>
        <v>#REF!</v>
      </c>
    </row>
    <row r="297" spans="1:37" ht="15" customHeight="1">
      <c r="A297" s="107"/>
      <c r="B297" s="108"/>
      <c r="C297" s="99"/>
      <c r="D297" s="100"/>
      <c r="E297" s="102"/>
      <c r="F297" s="102"/>
      <c r="G297" s="18" t="str">
        <f t="shared" si="72"/>
        <v/>
      </c>
      <c r="H297" s="23" t="str">
        <f t="shared" si="73"/>
        <v/>
      </c>
      <c r="I297" s="26"/>
      <c r="J297" s="3"/>
      <c r="K297" s="3"/>
      <c r="L297" s="3"/>
      <c r="M297" s="3"/>
      <c r="N297" s="3"/>
      <c r="O297" s="3"/>
      <c r="P297" s="3"/>
      <c r="Q297" s="3"/>
      <c r="S297" s="103">
        <f t="shared" si="74"/>
        <v>0</v>
      </c>
      <c r="T297" s="103">
        <f t="shared" si="75"/>
        <v>0</v>
      </c>
      <c r="U297" s="104">
        <f t="shared" si="76"/>
        <v>0</v>
      </c>
      <c r="V297" s="104">
        <f t="shared" si="76"/>
        <v>0</v>
      </c>
      <c r="X297" s="103" t="e">
        <f t="shared" si="77"/>
        <v>#REF!</v>
      </c>
      <c r="Y297" s="103" t="e">
        <f t="shared" si="78"/>
        <v>#REF!</v>
      </c>
      <c r="Z297" s="104" t="e">
        <f t="shared" si="79"/>
        <v>#REF!</v>
      </c>
      <c r="AA297" s="104" t="e">
        <f t="shared" si="79"/>
        <v>#REF!</v>
      </c>
      <c r="AC297" s="103" t="e">
        <f t="shared" si="80"/>
        <v>#REF!</v>
      </c>
      <c r="AD297" s="103" t="e">
        <f t="shared" si="81"/>
        <v>#REF!</v>
      </c>
      <c r="AE297" s="104" t="e">
        <f t="shared" si="82"/>
        <v>#REF!</v>
      </c>
      <c r="AF297" s="104" t="e">
        <f t="shared" si="82"/>
        <v>#REF!</v>
      </c>
      <c r="AH297" s="103" t="e">
        <f t="shared" si="83"/>
        <v>#REF!</v>
      </c>
      <c r="AI297" s="103" t="e">
        <f t="shared" si="84"/>
        <v>#REF!</v>
      </c>
      <c r="AJ297" s="104" t="e">
        <f t="shared" si="85"/>
        <v>#REF!</v>
      </c>
      <c r="AK297" s="104" t="e">
        <f t="shared" si="85"/>
        <v>#REF!</v>
      </c>
    </row>
    <row r="298" spans="1:37" ht="15" customHeight="1">
      <c r="A298" s="107"/>
      <c r="B298" s="108"/>
      <c r="C298" s="99"/>
      <c r="D298" s="100"/>
      <c r="E298" s="102"/>
      <c r="F298" s="102"/>
      <c r="G298" s="18" t="str">
        <f t="shared" si="72"/>
        <v/>
      </c>
      <c r="H298" s="23" t="str">
        <f t="shared" si="73"/>
        <v/>
      </c>
      <c r="I298" s="26"/>
      <c r="J298" s="3"/>
      <c r="K298" s="3"/>
      <c r="L298" s="3"/>
      <c r="M298" s="3"/>
      <c r="N298" s="3"/>
      <c r="O298" s="3"/>
      <c r="P298" s="3"/>
      <c r="Q298" s="3"/>
      <c r="S298" s="103">
        <f t="shared" si="74"/>
        <v>0</v>
      </c>
      <c r="T298" s="103">
        <f t="shared" si="75"/>
        <v>0</v>
      </c>
      <c r="U298" s="104">
        <f t="shared" si="76"/>
        <v>0</v>
      </c>
      <c r="V298" s="104">
        <f t="shared" si="76"/>
        <v>0</v>
      </c>
      <c r="X298" s="103" t="e">
        <f t="shared" si="77"/>
        <v>#REF!</v>
      </c>
      <c r="Y298" s="103" t="e">
        <f t="shared" si="78"/>
        <v>#REF!</v>
      </c>
      <c r="Z298" s="104" t="e">
        <f t="shared" si="79"/>
        <v>#REF!</v>
      </c>
      <c r="AA298" s="104" t="e">
        <f t="shared" si="79"/>
        <v>#REF!</v>
      </c>
      <c r="AC298" s="103" t="e">
        <f t="shared" si="80"/>
        <v>#REF!</v>
      </c>
      <c r="AD298" s="103" t="e">
        <f t="shared" si="81"/>
        <v>#REF!</v>
      </c>
      <c r="AE298" s="104" t="e">
        <f t="shared" si="82"/>
        <v>#REF!</v>
      </c>
      <c r="AF298" s="104" t="e">
        <f t="shared" si="82"/>
        <v>#REF!</v>
      </c>
      <c r="AH298" s="103" t="e">
        <f t="shared" si="83"/>
        <v>#REF!</v>
      </c>
      <c r="AI298" s="103" t="e">
        <f t="shared" si="84"/>
        <v>#REF!</v>
      </c>
      <c r="AJ298" s="104" t="e">
        <f t="shared" si="85"/>
        <v>#REF!</v>
      </c>
      <c r="AK298" s="104" t="e">
        <f t="shared" si="85"/>
        <v>#REF!</v>
      </c>
    </row>
    <row r="299" spans="1:37" ht="15" customHeight="1">
      <c r="A299" s="107"/>
      <c r="B299" s="108"/>
      <c r="C299" s="99"/>
      <c r="D299" s="100"/>
      <c r="E299" s="102"/>
      <c r="F299" s="102"/>
      <c r="G299" s="18" t="str">
        <f t="shared" si="72"/>
        <v/>
      </c>
      <c r="H299" s="23" t="str">
        <f t="shared" si="73"/>
        <v/>
      </c>
      <c r="I299" s="26"/>
      <c r="J299" s="3"/>
      <c r="K299" s="3"/>
      <c r="L299" s="3"/>
      <c r="M299" s="3"/>
      <c r="N299" s="3"/>
      <c r="O299" s="3"/>
      <c r="P299" s="3"/>
      <c r="Q299" s="3"/>
      <c r="S299" s="103">
        <f t="shared" si="74"/>
        <v>0</v>
      </c>
      <c r="T299" s="103">
        <f t="shared" si="75"/>
        <v>0</v>
      </c>
      <c r="U299" s="104">
        <f t="shared" si="76"/>
        <v>0</v>
      </c>
      <c r="V299" s="104">
        <f t="shared" si="76"/>
        <v>0</v>
      </c>
      <c r="X299" s="103" t="e">
        <f t="shared" si="77"/>
        <v>#REF!</v>
      </c>
      <c r="Y299" s="103" t="e">
        <f t="shared" si="78"/>
        <v>#REF!</v>
      </c>
      <c r="Z299" s="104" t="e">
        <f t="shared" si="79"/>
        <v>#REF!</v>
      </c>
      <c r="AA299" s="104" t="e">
        <f t="shared" si="79"/>
        <v>#REF!</v>
      </c>
      <c r="AC299" s="103" t="e">
        <f t="shared" si="80"/>
        <v>#REF!</v>
      </c>
      <c r="AD299" s="103" t="e">
        <f t="shared" si="81"/>
        <v>#REF!</v>
      </c>
      <c r="AE299" s="104" t="e">
        <f t="shared" si="82"/>
        <v>#REF!</v>
      </c>
      <c r="AF299" s="104" t="e">
        <f t="shared" si="82"/>
        <v>#REF!</v>
      </c>
      <c r="AH299" s="103" t="e">
        <f t="shared" si="83"/>
        <v>#REF!</v>
      </c>
      <c r="AI299" s="103" t="e">
        <f t="shared" si="84"/>
        <v>#REF!</v>
      </c>
      <c r="AJ299" s="104" t="e">
        <f t="shared" si="85"/>
        <v>#REF!</v>
      </c>
      <c r="AK299" s="104" t="e">
        <f t="shared" si="85"/>
        <v>#REF!</v>
      </c>
    </row>
    <row r="300" spans="1:37" ht="15" customHeight="1">
      <c r="A300" s="107"/>
      <c r="B300" s="108"/>
      <c r="C300" s="99"/>
      <c r="D300" s="100"/>
      <c r="E300" s="102"/>
      <c r="F300" s="102"/>
      <c r="G300" s="18" t="str">
        <f t="shared" si="72"/>
        <v/>
      </c>
      <c r="H300" s="23" t="str">
        <f t="shared" si="73"/>
        <v/>
      </c>
      <c r="I300" s="26"/>
      <c r="J300" s="3"/>
      <c r="K300" s="3"/>
      <c r="L300" s="3"/>
      <c r="M300" s="3"/>
      <c r="N300" s="3"/>
      <c r="O300" s="3"/>
      <c r="P300" s="3"/>
      <c r="Q300" s="3"/>
      <c r="S300" s="103">
        <f t="shared" si="74"/>
        <v>0</v>
      </c>
      <c r="T300" s="103">
        <f t="shared" si="75"/>
        <v>0</v>
      </c>
      <c r="U300" s="104">
        <f t="shared" si="76"/>
        <v>0</v>
      </c>
      <c r="V300" s="104">
        <f t="shared" si="76"/>
        <v>0</v>
      </c>
      <c r="X300" s="103" t="e">
        <f t="shared" si="77"/>
        <v>#REF!</v>
      </c>
      <c r="Y300" s="103" t="e">
        <f t="shared" si="78"/>
        <v>#REF!</v>
      </c>
      <c r="Z300" s="104" t="e">
        <f t="shared" si="79"/>
        <v>#REF!</v>
      </c>
      <c r="AA300" s="104" t="e">
        <f t="shared" si="79"/>
        <v>#REF!</v>
      </c>
      <c r="AC300" s="103" t="e">
        <f t="shared" si="80"/>
        <v>#REF!</v>
      </c>
      <c r="AD300" s="103" t="e">
        <f t="shared" si="81"/>
        <v>#REF!</v>
      </c>
      <c r="AE300" s="104" t="e">
        <f t="shared" si="82"/>
        <v>#REF!</v>
      </c>
      <c r="AF300" s="104" t="e">
        <f t="shared" si="82"/>
        <v>#REF!</v>
      </c>
      <c r="AH300" s="103" t="e">
        <f t="shared" si="83"/>
        <v>#REF!</v>
      </c>
      <c r="AI300" s="103" t="e">
        <f t="shared" si="84"/>
        <v>#REF!</v>
      </c>
      <c r="AJ300" s="104" t="e">
        <f t="shared" si="85"/>
        <v>#REF!</v>
      </c>
      <c r="AK300" s="104" t="e">
        <f t="shared" si="85"/>
        <v>#REF!</v>
      </c>
    </row>
    <row r="301" spans="1:37" ht="15" customHeight="1">
      <c r="A301" s="107"/>
      <c r="B301" s="108"/>
      <c r="C301" s="99"/>
      <c r="D301" s="100"/>
      <c r="E301" s="102"/>
      <c r="F301" s="102"/>
      <c r="G301" s="18" t="str">
        <f t="shared" si="72"/>
        <v/>
      </c>
      <c r="H301" s="23" t="str">
        <f t="shared" si="73"/>
        <v/>
      </c>
      <c r="I301" s="26"/>
      <c r="J301" s="3"/>
      <c r="K301" s="3"/>
      <c r="L301" s="3"/>
      <c r="M301" s="3"/>
      <c r="N301" s="3"/>
      <c r="O301" s="3"/>
      <c r="P301" s="3"/>
      <c r="Q301" s="3"/>
      <c r="S301" s="103">
        <f t="shared" si="74"/>
        <v>0</v>
      </c>
      <c r="T301" s="103">
        <f t="shared" si="75"/>
        <v>0</v>
      </c>
      <c r="U301" s="104">
        <f t="shared" si="76"/>
        <v>0</v>
      </c>
      <c r="V301" s="104">
        <f t="shared" si="76"/>
        <v>0</v>
      </c>
      <c r="X301" s="103" t="e">
        <f t="shared" si="77"/>
        <v>#REF!</v>
      </c>
      <c r="Y301" s="103" t="e">
        <f t="shared" si="78"/>
        <v>#REF!</v>
      </c>
      <c r="Z301" s="104" t="e">
        <f t="shared" si="79"/>
        <v>#REF!</v>
      </c>
      <c r="AA301" s="104" t="e">
        <f t="shared" si="79"/>
        <v>#REF!</v>
      </c>
      <c r="AC301" s="103" t="e">
        <f t="shared" si="80"/>
        <v>#REF!</v>
      </c>
      <c r="AD301" s="103" t="e">
        <f t="shared" si="81"/>
        <v>#REF!</v>
      </c>
      <c r="AE301" s="104" t="e">
        <f t="shared" si="82"/>
        <v>#REF!</v>
      </c>
      <c r="AF301" s="104" t="e">
        <f t="shared" si="82"/>
        <v>#REF!</v>
      </c>
      <c r="AH301" s="103" t="e">
        <f t="shared" si="83"/>
        <v>#REF!</v>
      </c>
      <c r="AI301" s="103" t="e">
        <f t="shared" si="84"/>
        <v>#REF!</v>
      </c>
      <c r="AJ301" s="104" t="e">
        <f t="shared" si="85"/>
        <v>#REF!</v>
      </c>
      <c r="AK301" s="104" t="e">
        <f t="shared" si="85"/>
        <v>#REF!</v>
      </c>
    </row>
    <row r="302" spans="1:37" ht="15" customHeight="1">
      <c r="A302" s="107"/>
      <c r="B302" s="108"/>
      <c r="C302" s="99"/>
      <c r="D302" s="100"/>
      <c r="E302" s="102"/>
      <c r="F302" s="102"/>
      <c r="G302" s="18" t="str">
        <f t="shared" si="72"/>
        <v/>
      </c>
      <c r="H302" s="23" t="str">
        <f t="shared" si="73"/>
        <v/>
      </c>
      <c r="I302" s="26"/>
      <c r="J302" s="3"/>
      <c r="K302" s="3"/>
      <c r="L302" s="3"/>
      <c r="M302" s="3"/>
      <c r="N302" s="3"/>
      <c r="O302" s="3"/>
      <c r="P302" s="3"/>
      <c r="Q302" s="3"/>
      <c r="S302" s="103">
        <f t="shared" si="74"/>
        <v>0</v>
      </c>
      <c r="T302" s="103">
        <f t="shared" si="75"/>
        <v>0</v>
      </c>
      <c r="U302" s="104">
        <f t="shared" si="76"/>
        <v>0</v>
      </c>
      <c r="V302" s="104">
        <f t="shared" si="76"/>
        <v>0</v>
      </c>
      <c r="X302" s="103" t="e">
        <f t="shared" si="77"/>
        <v>#REF!</v>
      </c>
      <c r="Y302" s="103" t="e">
        <f t="shared" si="78"/>
        <v>#REF!</v>
      </c>
      <c r="Z302" s="104" t="e">
        <f t="shared" si="79"/>
        <v>#REF!</v>
      </c>
      <c r="AA302" s="104" t="e">
        <f t="shared" si="79"/>
        <v>#REF!</v>
      </c>
      <c r="AC302" s="103" t="e">
        <f t="shared" si="80"/>
        <v>#REF!</v>
      </c>
      <c r="AD302" s="103" t="e">
        <f t="shared" si="81"/>
        <v>#REF!</v>
      </c>
      <c r="AE302" s="104" t="e">
        <f t="shared" si="82"/>
        <v>#REF!</v>
      </c>
      <c r="AF302" s="104" t="e">
        <f t="shared" si="82"/>
        <v>#REF!</v>
      </c>
      <c r="AH302" s="103" t="e">
        <f t="shared" si="83"/>
        <v>#REF!</v>
      </c>
      <c r="AI302" s="103" t="e">
        <f t="shared" si="84"/>
        <v>#REF!</v>
      </c>
      <c r="AJ302" s="104" t="e">
        <f t="shared" si="85"/>
        <v>#REF!</v>
      </c>
      <c r="AK302" s="104" t="e">
        <f t="shared" si="85"/>
        <v>#REF!</v>
      </c>
    </row>
    <row r="303" spans="1:37" ht="15" customHeight="1">
      <c r="A303" s="107"/>
      <c r="B303" s="108"/>
      <c r="C303" s="99"/>
      <c r="D303" s="100"/>
      <c r="E303" s="102"/>
      <c r="F303" s="102"/>
      <c r="G303" s="18" t="str">
        <f t="shared" si="72"/>
        <v/>
      </c>
      <c r="H303" s="23" t="str">
        <f t="shared" si="73"/>
        <v/>
      </c>
      <c r="I303" s="26"/>
      <c r="J303" s="3"/>
      <c r="K303" s="3"/>
      <c r="L303" s="3"/>
      <c r="M303" s="3"/>
      <c r="N303" s="3"/>
      <c r="O303" s="3"/>
      <c r="P303" s="3"/>
      <c r="Q303" s="3"/>
      <c r="S303" s="103">
        <f t="shared" si="74"/>
        <v>0</v>
      </c>
      <c r="T303" s="103">
        <f t="shared" si="75"/>
        <v>0</v>
      </c>
      <c r="U303" s="104">
        <f t="shared" si="76"/>
        <v>0</v>
      </c>
      <c r="V303" s="104">
        <f t="shared" si="76"/>
        <v>0</v>
      </c>
      <c r="X303" s="103" t="e">
        <f t="shared" si="77"/>
        <v>#REF!</v>
      </c>
      <c r="Y303" s="103" t="e">
        <f t="shared" si="78"/>
        <v>#REF!</v>
      </c>
      <c r="Z303" s="104" t="e">
        <f t="shared" si="79"/>
        <v>#REF!</v>
      </c>
      <c r="AA303" s="104" t="e">
        <f t="shared" si="79"/>
        <v>#REF!</v>
      </c>
      <c r="AC303" s="103" t="e">
        <f t="shared" si="80"/>
        <v>#REF!</v>
      </c>
      <c r="AD303" s="103" t="e">
        <f t="shared" si="81"/>
        <v>#REF!</v>
      </c>
      <c r="AE303" s="104" t="e">
        <f t="shared" si="82"/>
        <v>#REF!</v>
      </c>
      <c r="AF303" s="104" t="e">
        <f t="shared" si="82"/>
        <v>#REF!</v>
      </c>
      <c r="AH303" s="103" t="e">
        <f t="shared" si="83"/>
        <v>#REF!</v>
      </c>
      <c r="AI303" s="103" t="e">
        <f t="shared" si="84"/>
        <v>#REF!</v>
      </c>
      <c r="AJ303" s="104" t="e">
        <f t="shared" si="85"/>
        <v>#REF!</v>
      </c>
      <c r="AK303" s="104" t="e">
        <f t="shared" si="85"/>
        <v>#REF!</v>
      </c>
    </row>
    <row r="304" spans="1:37" ht="15" customHeight="1">
      <c r="A304" s="107"/>
      <c r="B304" s="108"/>
      <c r="C304" s="99"/>
      <c r="D304" s="100"/>
      <c r="E304" s="102"/>
      <c r="F304" s="102"/>
      <c r="G304" s="18" t="str">
        <f t="shared" si="72"/>
        <v/>
      </c>
      <c r="H304" s="23" t="str">
        <f t="shared" si="73"/>
        <v/>
      </c>
      <c r="I304" s="26"/>
      <c r="J304" s="3"/>
      <c r="K304" s="3"/>
      <c r="L304" s="3"/>
      <c r="M304" s="3"/>
      <c r="N304" s="3"/>
      <c r="O304" s="3"/>
      <c r="P304" s="3"/>
      <c r="Q304" s="3"/>
      <c r="S304" s="103">
        <f t="shared" si="74"/>
        <v>0</v>
      </c>
      <c r="T304" s="103">
        <f t="shared" si="75"/>
        <v>0</v>
      </c>
      <c r="U304" s="104">
        <f t="shared" si="76"/>
        <v>0</v>
      </c>
      <c r="V304" s="104">
        <f t="shared" si="76"/>
        <v>0</v>
      </c>
      <c r="X304" s="103" t="e">
        <f t="shared" si="77"/>
        <v>#REF!</v>
      </c>
      <c r="Y304" s="103" t="e">
        <f t="shared" si="78"/>
        <v>#REF!</v>
      </c>
      <c r="Z304" s="104" t="e">
        <f t="shared" si="79"/>
        <v>#REF!</v>
      </c>
      <c r="AA304" s="104" t="e">
        <f t="shared" si="79"/>
        <v>#REF!</v>
      </c>
      <c r="AC304" s="103" t="e">
        <f t="shared" si="80"/>
        <v>#REF!</v>
      </c>
      <c r="AD304" s="103" t="e">
        <f t="shared" si="81"/>
        <v>#REF!</v>
      </c>
      <c r="AE304" s="104" t="e">
        <f t="shared" si="82"/>
        <v>#REF!</v>
      </c>
      <c r="AF304" s="104" t="e">
        <f t="shared" si="82"/>
        <v>#REF!</v>
      </c>
      <c r="AH304" s="103" t="e">
        <f t="shared" si="83"/>
        <v>#REF!</v>
      </c>
      <c r="AI304" s="103" t="e">
        <f t="shared" si="84"/>
        <v>#REF!</v>
      </c>
      <c r="AJ304" s="104" t="e">
        <f t="shared" si="85"/>
        <v>#REF!</v>
      </c>
      <c r="AK304" s="104" t="e">
        <f t="shared" si="85"/>
        <v>#REF!</v>
      </c>
    </row>
    <row r="305" spans="1:37" ht="15" customHeight="1">
      <c r="A305" s="107"/>
      <c r="B305" s="108"/>
      <c r="C305" s="99"/>
      <c r="D305" s="100"/>
      <c r="E305" s="102"/>
      <c r="F305" s="102"/>
      <c r="G305" s="18" t="str">
        <f t="shared" si="72"/>
        <v/>
      </c>
      <c r="H305" s="23" t="str">
        <f t="shared" si="73"/>
        <v/>
      </c>
      <c r="I305" s="26"/>
      <c r="J305" s="3"/>
      <c r="K305" s="3"/>
      <c r="L305" s="3"/>
      <c r="M305" s="3"/>
      <c r="N305" s="3"/>
      <c r="O305" s="3"/>
      <c r="P305" s="3"/>
      <c r="Q305" s="3"/>
      <c r="S305" s="103">
        <f t="shared" si="74"/>
        <v>0</v>
      </c>
      <c r="T305" s="103">
        <f t="shared" si="75"/>
        <v>0</v>
      </c>
      <c r="U305" s="104">
        <f t="shared" si="76"/>
        <v>0</v>
      </c>
      <c r="V305" s="104">
        <f t="shared" si="76"/>
        <v>0</v>
      </c>
      <c r="X305" s="103" t="e">
        <f t="shared" si="77"/>
        <v>#REF!</v>
      </c>
      <c r="Y305" s="103" t="e">
        <f t="shared" si="78"/>
        <v>#REF!</v>
      </c>
      <c r="Z305" s="104" t="e">
        <f t="shared" si="79"/>
        <v>#REF!</v>
      </c>
      <c r="AA305" s="104" t="e">
        <f t="shared" si="79"/>
        <v>#REF!</v>
      </c>
      <c r="AC305" s="103" t="e">
        <f t="shared" si="80"/>
        <v>#REF!</v>
      </c>
      <c r="AD305" s="103" t="e">
        <f t="shared" si="81"/>
        <v>#REF!</v>
      </c>
      <c r="AE305" s="104" t="e">
        <f t="shared" si="82"/>
        <v>#REF!</v>
      </c>
      <c r="AF305" s="104" t="e">
        <f t="shared" si="82"/>
        <v>#REF!</v>
      </c>
      <c r="AH305" s="103" t="e">
        <f t="shared" si="83"/>
        <v>#REF!</v>
      </c>
      <c r="AI305" s="103" t="e">
        <f t="shared" si="84"/>
        <v>#REF!</v>
      </c>
      <c r="AJ305" s="104" t="e">
        <f t="shared" si="85"/>
        <v>#REF!</v>
      </c>
      <c r="AK305" s="104" t="e">
        <f t="shared" si="85"/>
        <v>#REF!</v>
      </c>
    </row>
    <row r="306" spans="1:37" ht="15" customHeight="1">
      <c r="A306" s="107"/>
      <c r="B306" s="108"/>
      <c r="C306" s="99"/>
      <c r="D306" s="100"/>
      <c r="E306" s="102"/>
      <c r="F306" s="102"/>
      <c r="G306" s="18" t="str">
        <f t="shared" si="72"/>
        <v/>
      </c>
      <c r="H306" s="23" t="str">
        <f t="shared" si="73"/>
        <v/>
      </c>
      <c r="I306" s="26"/>
      <c r="J306" s="3"/>
      <c r="K306" s="3"/>
      <c r="L306" s="3"/>
      <c r="M306" s="3"/>
      <c r="N306" s="3"/>
      <c r="O306" s="3"/>
      <c r="P306" s="3"/>
      <c r="Q306" s="3"/>
      <c r="S306" s="103">
        <f t="shared" si="74"/>
        <v>0</v>
      </c>
      <c r="T306" s="103">
        <f t="shared" si="75"/>
        <v>0</v>
      </c>
      <c r="U306" s="104">
        <f t="shared" si="76"/>
        <v>0</v>
      </c>
      <c r="V306" s="104">
        <f t="shared" si="76"/>
        <v>0</v>
      </c>
      <c r="X306" s="103" t="e">
        <f t="shared" si="77"/>
        <v>#REF!</v>
      </c>
      <c r="Y306" s="103" t="e">
        <f t="shared" si="78"/>
        <v>#REF!</v>
      </c>
      <c r="Z306" s="104" t="e">
        <f t="shared" si="79"/>
        <v>#REF!</v>
      </c>
      <c r="AA306" s="104" t="e">
        <f t="shared" si="79"/>
        <v>#REF!</v>
      </c>
      <c r="AC306" s="103" t="e">
        <f t="shared" si="80"/>
        <v>#REF!</v>
      </c>
      <c r="AD306" s="103" t="e">
        <f t="shared" si="81"/>
        <v>#REF!</v>
      </c>
      <c r="AE306" s="104" t="e">
        <f t="shared" si="82"/>
        <v>#REF!</v>
      </c>
      <c r="AF306" s="104" t="e">
        <f t="shared" si="82"/>
        <v>#REF!</v>
      </c>
      <c r="AH306" s="103" t="e">
        <f t="shared" si="83"/>
        <v>#REF!</v>
      </c>
      <c r="AI306" s="103" t="e">
        <f t="shared" si="84"/>
        <v>#REF!</v>
      </c>
      <c r="AJ306" s="104" t="e">
        <f t="shared" si="85"/>
        <v>#REF!</v>
      </c>
      <c r="AK306" s="104" t="e">
        <f t="shared" si="85"/>
        <v>#REF!</v>
      </c>
    </row>
    <row r="307" spans="1:37" ht="15" customHeight="1">
      <c r="A307" s="107"/>
      <c r="B307" s="108"/>
      <c r="C307" s="99"/>
      <c r="D307" s="100"/>
      <c r="E307" s="102"/>
      <c r="F307" s="102"/>
      <c r="G307" s="18" t="str">
        <f t="shared" si="72"/>
        <v/>
      </c>
      <c r="H307" s="23" t="str">
        <f t="shared" si="73"/>
        <v/>
      </c>
      <c r="I307" s="26"/>
      <c r="J307" s="3"/>
      <c r="K307" s="3"/>
      <c r="L307" s="3"/>
      <c r="M307" s="3"/>
      <c r="N307" s="3"/>
      <c r="O307" s="3"/>
      <c r="P307" s="3"/>
      <c r="Q307" s="3"/>
      <c r="S307" s="103">
        <f t="shared" si="74"/>
        <v>0</v>
      </c>
      <c r="T307" s="103">
        <f t="shared" si="75"/>
        <v>0</v>
      </c>
      <c r="U307" s="104">
        <f t="shared" si="76"/>
        <v>0</v>
      </c>
      <c r="V307" s="104">
        <f t="shared" si="76"/>
        <v>0</v>
      </c>
      <c r="X307" s="103" t="e">
        <f t="shared" si="77"/>
        <v>#REF!</v>
      </c>
      <c r="Y307" s="103" t="e">
        <f t="shared" si="78"/>
        <v>#REF!</v>
      </c>
      <c r="Z307" s="104" t="e">
        <f t="shared" si="79"/>
        <v>#REF!</v>
      </c>
      <c r="AA307" s="104" t="e">
        <f t="shared" si="79"/>
        <v>#REF!</v>
      </c>
      <c r="AC307" s="103" t="e">
        <f t="shared" si="80"/>
        <v>#REF!</v>
      </c>
      <c r="AD307" s="103" t="e">
        <f t="shared" si="81"/>
        <v>#REF!</v>
      </c>
      <c r="AE307" s="104" t="e">
        <f t="shared" si="82"/>
        <v>#REF!</v>
      </c>
      <c r="AF307" s="104" t="e">
        <f t="shared" si="82"/>
        <v>#REF!</v>
      </c>
      <c r="AH307" s="103" t="e">
        <f t="shared" si="83"/>
        <v>#REF!</v>
      </c>
      <c r="AI307" s="103" t="e">
        <f t="shared" si="84"/>
        <v>#REF!</v>
      </c>
      <c r="AJ307" s="104" t="e">
        <f t="shared" si="85"/>
        <v>#REF!</v>
      </c>
      <c r="AK307" s="104" t="e">
        <f t="shared" si="85"/>
        <v>#REF!</v>
      </c>
    </row>
    <row r="308" spans="1:37" ht="15" customHeight="1">
      <c r="A308" s="107"/>
      <c r="B308" s="108"/>
      <c r="C308" s="99"/>
      <c r="D308" s="100"/>
      <c r="E308" s="102"/>
      <c r="F308" s="102"/>
      <c r="G308" s="18" t="str">
        <f t="shared" si="72"/>
        <v/>
      </c>
      <c r="H308" s="23" t="str">
        <f t="shared" si="73"/>
        <v/>
      </c>
      <c r="I308" s="27"/>
      <c r="J308" s="3"/>
      <c r="K308" s="3"/>
      <c r="L308" s="3"/>
      <c r="M308" s="3"/>
      <c r="N308" s="3"/>
      <c r="O308" s="3"/>
      <c r="P308" s="3"/>
      <c r="Q308" s="3"/>
      <c r="S308" s="103">
        <f t="shared" si="74"/>
        <v>0</v>
      </c>
      <c r="T308" s="103">
        <f t="shared" si="75"/>
        <v>0</v>
      </c>
      <c r="U308" s="104">
        <f t="shared" si="76"/>
        <v>0</v>
      </c>
      <c r="V308" s="104">
        <f t="shared" si="76"/>
        <v>0</v>
      </c>
      <c r="X308" s="103" t="e">
        <f t="shared" si="77"/>
        <v>#REF!</v>
      </c>
      <c r="Y308" s="103" t="e">
        <f t="shared" si="78"/>
        <v>#REF!</v>
      </c>
      <c r="Z308" s="104" t="e">
        <f t="shared" si="79"/>
        <v>#REF!</v>
      </c>
      <c r="AA308" s="104" t="e">
        <f t="shared" si="79"/>
        <v>#REF!</v>
      </c>
      <c r="AC308" s="103" t="e">
        <f t="shared" si="80"/>
        <v>#REF!</v>
      </c>
      <c r="AD308" s="103" t="e">
        <f t="shared" si="81"/>
        <v>#REF!</v>
      </c>
      <c r="AE308" s="104" t="e">
        <f t="shared" si="82"/>
        <v>#REF!</v>
      </c>
      <c r="AF308" s="104" t="e">
        <f t="shared" si="82"/>
        <v>#REF!</v>
      </c>
      <c r="AH308" s="103" t="e">
        <f t="shared" si="83"/>
        <v>#REF!</v>
      </c>
      <c r="AI308" s="103" t="e">
        <f t="shared" si="84"/>
        <v>#REF!</v>
      </c>
      <c r="AJ308" s="104" t="e">
        <f t="shared" si="85"/>
        <v>#REF!</v>
      </c>
      <c r="AK308" s="104" t="e">
        <f t="shared" si="85"/>
        <v>#REF!</v>
      </c>
    </row>
    <row r="309" spans="1:37" ht="15" customHeight="1">
      <c r="A309" s="107"/>
      <c r="B309" s="108"/>
      <c r="C309" s="99"/>
      <c r="D309" s="100"/>
      <c r="E309" s="102"/>
      <c r="F309" s="102"/>
      <c r="G309" s="18" t="str">
        <f t="shared" si="72"/>
        <v/>
      </c>
      <c r="H309" s="23" t="str">
        <f t="shared" si="73"/>
        <v/>
      </c>
      <c r="I309" s="26"/>
      <c r="J309" s="3"/>
      <c r="K309" s="3"/>
      <c r="L309" s="3"/>
      <c r="M309" s="3"/>
      <c r="N309" s="3"/>
      <c r="O309" s="3"/>
      <c r="P309" s="3"/>
      <c r="Q309" s="3"/>
      <c r="S309" s="103">
        <f t="shared" si="74"/>
        <v>0</v>
      </c>
      <c r="T309" s="103">
        <f t="shared" si="75"/>
        <v>0</v>
      </c>
      <c r="U309" s="104">
        <f t="shared" si="76"/>
        <v>0</v>
      </c>
      <c r="V309" s="104">
        <f t="shared" si="76"/>
        <v>0</v>
      </c>
      <c r="X309" s="103" t="e">
        <f t="shared" si="77"/>
        <v>#REF!</v>
      </c>
      <c r="Y309" s="103" t="e">
        <f t="shared" si="78"/>
        <v>#REF!</v>
      </c>
      <c r="Z309" s="104" t="e">
        <f t="shared" si="79"/>
        <v>#REF!</v>
      </c>
      <c r="AA309" s="104" t="e">
        <f t="shared" si="79"/>
        <v>#REF!</v>
      </c>
      <c r="AC309" s="103" t="e">
        <f t="shared" si="80"/>
        <v>#REF!</v>
      </c>
      <c r="AD309" s="103" t="e">
        <f t="shared" si="81"/>
        <v>#REF!</v>
      </c>
      <c r="AE309" s="104" t="e">
        <f t="shared" si="82"/>
        <v>#REF!</v>
      </c>
      <c r="AF309" s="104" t="e">
        <f t="shared" si="82"/>
        <v>#REF!</v>
      </c>
      <c r="AH309" s="103" t="e">
        <f t="shared" si="83"/>
        <v>#REF!</v>
      </c>
      <c r="AI309" s="103" t="e">
        <f t="shared" si="84"/>
        <v>#REF!</v>
      </c>
      <c r="AJ309" s="104" t="e">
        <f t="shared" si="85"/>
        <v>#REF!</v>
      </c>
      <c r="AK309" s="104" t="e">
        <f t="shared" si="85"/>
        <v>#REF!</v>
      </c>
    </row>
    <row r="310" spans="1:37" ht="15" customHeight="1">
      <c r="A310" s="107"/>
      <c r="B310" s="108"/>
      <c r="C310" s="99"/>
      <c r="D310" s="100"/>
      <c r="E310" s="102"/>
      <c r="F310" s="102"/>
      <c r="G310" s="18" t="str">
        <f t="shared" si="72"/>
        <v/>
      </c>
      <c r="H310" s="23" t="str">
        <f t="shared" si="73"/>
        <v/>
      </c>
      <c r="I310" s="26"/>
      <c r="J310" s="3"/>
      <c r="K310" s="3"/>
      <c r="L310" s="3"/>
      <c r="M310" s="3"/>
      <c r="N310" s="3"/>
      <c r="O310" s="3"/>
      <c r="P310" s="3"/>
      <c r="Q310" s="3"/>
      <c r="S310" s="103">
        <f t="shared" si="74"/>
        <v>0</v>
      </c>
      <c r="T310" s="103">
        <f t="shared" si="75"/>
        <v>0</v>
      </c>
      <c r="U310" s="104">
        <f t="shared" si="76"/>
        <v>0</v>
      </c>
      <c r="V310" s="104">
        <f t="shared" si="76"/>
        <v>0</v>
      </c>
      <c r="X310" s="103" t="e">
        <f t="shared" si="77"/>
        <v>#REF!</v>
      </c>
      <c r="Y310" s="103" t="e">
        <f t="shared" si="78"/>
        <v>#REF!</v>
      </c>
      <c r="Z310" s="104" t="e">
        <f t="shared" si="79"/>
        <v>#REF!</v>
      </c>
      <c r="AA310" s="104" t="e">
        <f t="shared" si="79"/>
        <v>#REF!</v>
      </c>
      <c r="AC310" s="103" t="e">
        <f t="shared" si="80"/>
        <v>#REF!</v>
      </c>
      <c r="AD310" s="103" t="e">
        <f t="shared" si="81"/>
        <v>#REF!</v>
      </c>
      <c r="AE310" s="104" t="e">
        <f t="shared" si="82"/>
        <v>#REF!</v>
      </c>
      <c r="AF310" s="104" t="e">
        <f t="shared" si="82"/>
        <v>#REF!</v>
      </c>
      <c r="AH310" s="103" t="e">
        <f t="shared" si="83"/>
        <v>#REF!</v>
      </c>
      <c r="AI310" s="103" t="e">
        <f t="shared" si="84"/>
        <v>#REF!</v>
      </c>
      <c r="AJ310" s="104" t="e">
        <f t="shared" si="85"/>
        <v>#REF!</v>
      </c>
      <c r="AK310" s="104" t="e">
        <f t="shared" si="85"/>
        <v>#REF!</v>
      </c>
    </row>
    <row r="311" spans="1:37" ht="15" customHeight="1">
      <c r="A311" s="107"/>
      <c r="B311" s="108"/>
      <c r="C311" s="99"/>
      <c r="D311" s="100"/>
      <c r="E311" s="102"/>
      <c r="F311" s="102"/>
      <c r="G311" s="18" t="str">
        <f t="shared" si="72"/>
        <v/>
      </c>
      <c r="H311" s="23" t="str">
        <f t="shared" si="73"/>
        <v/>
      </c>
      <c r="I311" s="26"/>
      <c r="J311" s="3"/>
      <c r="K311" s="3"/>
      <c r="L311" s="3"/>
      <c r="M311" s="3"/>
      <c r="N311" s="3"/>
      <c r="O311" s="3"/>
      <c r="P311" s="3"/>
      <c r="Q311" s="3"/>
      <c r="S311" s="103">
        <f t="shared" si="74"/>
        <v>0</v>
      </c>
      <c r="T311" s="103">
        <f t="shared" si="75"/>
        <v>0</v>
      </c>
      <c r="U311" s="104">
        <f t="shared" si="76"/>
        <v>0</v>
      </c>
      <c r="V311" s="104">
        <f t="shared" si="76"/>
        <v>0</v>
      </c>
      <c r="X311" s="103" t="e">
        <f t="shared" si="77"/>
        <v>#REF!</v>
      </c>
      <c r="Y311" s="103" t="e">
        <f t="shared" si="78"/>
        <v>#REF!</v>
      </c>
      <c r="Z311" s="104" t="e">
        <f t="shared" si="79"/>
        <v>#REF!</v>
      </c>
      <c r="AA311" s="104" t="e">
        <f t="shared" si="79"/>
        <v>#REF!</v>
      </c>
      <c r="AC311" s="103" t="e">
        <f t="shared" si="80"/>
        <v>#REF!</v>
      </c>
      <c r="AD311" s="103" t="e">
        <f t="shared" si="81"/>
        <v>#REF!</v>
      </c>
      <c r="AE311" s="104" t="e">
        <f t="shared" si="82"/>
        <v>#REF!</v>
      </c>
      <c r="AF311" s="104" t="e">
        <f t="shared" si="82"/>
        <v>#REF!</v>
      </c>
      <c r="AH311" s="103" t="e">
        <f t="shared" si="83"/>
        <v>#REF!</v>
      </c>
      <c r="AI311" s="103" t="e">
        <f t="shared" si="84"/>
        <v>#REF!</v>
      </c>
      <c r="AJ311" s="104" t="e">
        <f t="shared" si="85"/>
        <v>#REF!</v>
      </c>
      <c r="AK311" s="104" t="e">
        <f t="shared" si="85"/>
        <v>#REF!</v>
      </c>
    </row>
    <row r="312" spans="1:37" ht="15" customHeight="1">
      <c r="A312" s="107"/>
      <c r="B312" s="108"/>
      <c r="C312" s="99"/>
      <c r="D312" s="100"/>
      <c r="E312" s="102"/>
      <c r="F312" s="102"/>
      <c r="G312" s="18" t="str">
        <f t="shared" si="72"/>
        <v/>
      </c>
      <c r="H312" s="23" t="str">
        <f t="shared" si="73"/>
        <v/>
      </c>
      <c r="I312" s="26"/>
      <c r="J312" s="3"/>
      <c r="K312" s="3"/>
      <c r="L312" s="3"/>
      <c r="M312" s="3"/>
      <c r="N312" s="3"/>
      <c r="O312" s="3"/>
      <c r="P312" s="3"/>
      <c r="Q312" s="3"/>
      <c r="S312" s="103">
        <f t="shared" si="74"/>
        <v>0</v>
      </c>
      <c r="T312" s="103">
        <f t="shared" si="75"/>
        <v>0</v>
      </c>
      <c r="U312" s="104">
        <f t="shared" si="76"/>
        <v>0</v>
      </c>
      <c r="V312" s="104">
        <f t="shared" si="76"/>
        <v>0</v>
      </c>
      <c r="X312" s="103" t="e">
        <f t="shared" si="77"/>
        <v>#REF!</v>
      </c>
      <c r="Y312" s="103" t="e">
        <f t="shared" si="78"/>
        <v>#REF!</v>
      </c>
      <c r="Z312" s="104" t="e">
        <f t="shared" si="79"/>
        <v>#REF!</v>
      </c>
      <c r="AA312" s="104" t="e">
        <f t="shared" si="79"/>
        <v>#REF!</v>
      </c>
      <c r="AC312" s="103" t="e">
        <f t="shared" si="80"/>
        <v>#REF!</v>
      </c>
      <c r="AD312" s="103" t="e">
        <f t="shared" si="81"/>
        <v>#REF!</v>
      </c>
      <c r="AE312" s="104" t="e">
        <f t="shared" si="82"/>
        <v>#REF!</v>
      </c>
      <c r="AF312" s="104" t="e">
        <f t="shared" si="82"/>
        <v>#REF!</v>
      </c>
      <c r="AH312" s="103" t="e">
        <f t="shared" si="83"/>
        <v>#REF!</v>
      </c>
      <c r="AI312" s="103" t="e">
        <f t="shared" si="84"/>
        <v>#REF!</v>
      </c>
      <c r="AJ312" s="104" t="e">
        <f t="shared" si="85"/>
        <v>#REF!</v>
      </c>
      <c r="AK312" s="104" t="e">
        <f t="shared" si="85"/>
        <v>#REF!</v>
      </c>
    </row>
    <row r="313" spans="1:37" ht="15" customHeight="1">
      <c r="A313" s="107"/>
      <c r="B313" s="108"/>
      <c r="C313" s="99"/>
      <c r="D313" s="100"/>
      <c r="E313" s="102"/>
      <c r="F313" s="102"/>
      <c r="G313" s="18" t="str">
        <f t="shared" si="72"/>
        <v/>
      </c>
      <c r="H313" s="23" t="str">
        <f t="shared" si="73"/>
        <v/>
      </c>
      <c r="I313" s="26"/>
      <c r="J313" s="3"/>
      <c r="K313" s="3"/>
      <c r="L313" s="3"/>
      <c r="M313" s="3"/>
      <c r="N313" s="3"/>
      <c r="O313" s="3"/>
      <c r="P313" s="3"/>
      <c r="Q313" s="3"/>
      <c r="S313" s="103">
        <f t="shared" si="74"/>
        <v>0</v>
      </c>
      <c r="T313" s="103">
        <f t="shared" si="75"/>
        <v>0</v>
      </c>
      <c r="U313" s="104">
        <f t="shared" si="76"/>
        <v>0</v>
      </c>
      <c r="V313" s="104">
        <f t="shared" si="76"/>
        <v>0</v>
      </c>
      <c r="X313" s="103" t="e">
        <f t="shared" si="77"/>
        <v>#REF!</v>
      </c>
      <c r="Y313" s="103" t="e">
        <f t="shared" si="78"/>
        <v>#REF!</v>
      </c>
      <c r="Z313" s="104" t="e">
        <f t="shared" si="79"/>
        <v>#REF!</v>
      </c>
      <c r="AA313" s="104" t="e">
        <f t="shared" si="79"/>
        <v>#REF!</v>
      </c>
      <c r="AC313" s="103" t="e">
        <f t="shared" si="80"/>
        <v>#REF!</v>
      </c>
      <c r="AD313" s="103" t="e">
        <f t="shared" si="81"/>
        <v>#REF!</v>
      </c>
      <c r="AE313" s="104" t="e">
        <f t="shared" si="82"/>
        <v>#REF!</v>
      </c>
      <c r="AF313" s="104" t="e">
        <f t="shared" si="82"/>
        <v>#REF!</v>
      </c>
      <c r="AH313" s="103" t="e">
        <f t="shared" si="83"/>
        <v>#REF!</v>
      </c>
      <c r="AI313" s="103" t="e">
        <f t="shared" si="84"/>
        <v>#REF!</v>
      </c>
      <c r="AJ313" s="104" t="e">
        <f t="shared" si="85"/>
        <v>#REF!</v>
      </c>
      <c r="AK313" s="104" t="e">
        <f t="shared" si="85"/>
        <v>#REF!</v>
      </c>
    </row>
    <row r="314" spans="1:37" ht="15" customHeight="1">
      <c r="A314" s="107"/>
      <c r="B314" s="108"/>
      <c r="C314" s="99"/>
      <c r="D314" s="100"/>
      <c r="E314" s="102"/>
      <c r="F314" s="102"/>
      <c r="G314" s="18" t="str">
        <f t="shared" si="72"/>
        <v/>
      </c>
      <c r="H314" s="23" t="str">
        <f t="shared" si="73"/>
        <v/>
      </c>
      <c r="I314" s="26"/>
      <c r="J314" s="3"/>
      <c r="K314" s="3"/>
      <c r="L314" s="3"/>
      <c r="M314" s="3"/>
      <c r="N314" s="3"/>
      <c r="O314" s="3"/>
      <c r="P314" s="3"/>
      <c r="Q314" s="3"/>
      <c r="S314" s="103">
        <f t="shared" si="74"/>
        <v>0</v>
      </c>
      <c r="T314" s="103">
        <f t="shared" si="75"/>
        <v>0</v>
      </c>
      <c r="U314" s="104">
        <f t="shared" si="76"/>
        <v>0</v>
      </c>
      <c r="V314" s="104">
        <f t="shared" si="76"/>
        <v>0</v>
      </c>
      <c r="X314" s="103" t="e">
        <f t="shared" si="77"/>
        <v>#REF!</v>
      </c>
      <c r="Y314" s="103" t="e">
        <f t="shared" si="78"/>
        <v>#REF!</v>
      </c>
      <c r="Z314" s="104" t="e">
        <f t="shared" si="79"/>
        <v>#REF!</v>
      </c>
      <c r="AA314" s="104" t="e">
        <f t="shared" si="79"/>
        <v>#REF!</v>
      </c>
      <c r="AC314" s="103" t="e">
        <f t="shared" si="80"/>
        <v>#REF!</v>
      </c>
      <c r="AD314" s="103" t="e">
        <f t="shared" si="81"/>
        <v>#REF!</v>
      </c>
      <c r="AE314" s="104" t="e">
        <f t="shared" si="82"/>
        <v>#REF!</v>
      </c>
      <c r="AF314" s="104" t="e">
        <f t="shared" si="82"/>
        <v>#REF!</v>
      </c>
      <c r="AH314" s="103" t="e">
        <f t="shared" si="83"/>
        <v>#REF!</v>
      </c>
      <c r="AI314" s="103" t="e">
        <f t="shared" si="84"/>
        <v>#REF!</v>
      </c>
      <c r="AJ314" s="104" t="e">
        <f t="shared" si="85"/>
        <v>#REF!</v>
      </c>
      <c r="AK314" s="104" t="e">
        <f t="shared" si="85"/>
        <v>#REF!</v>
      </c>
    </row>
    <row r="315" spans="1:37" ht="15" customHeight="1">
      <c r="A315" s="107"/>
      <c r="B315" s="108"/>
      <c r="C315" s="99"/>
      <c r="D315" s="100"/>
      <c r="E315" s="102"/>
      <c r="F315" s="102"/>
      <c r="G315" s="18" t="str">
        <f t="shared" si="72"/>
        <v/>
      </c>
      <c r="H315" s="23" t="str">
        <f t="shared" si="73"/>
        <v/>
      </c>
      <c r="I315" s="26"/>
      <c r="J315" s="3"/>
      <c r="K315" s="3"/>
      <c r="L315" s="3"/>
      <c r="M315" s="3"/>
      <c r="N315" s="3"/>
      <c r="O315" s="3"/>
      <c r="P315" s="3"/>
      <c r="Q315" s="3"/>
      <c r="S315" s="103">
        <f t="shared" si="74"/>
        <v>0</v>
      </c>
      <c r="T315" s="103">
        <f t="shared" si="75"/>
        <v>0</v>
      </c>
      <c r="U315" s="104">
        <f t="shared" si="76"/>
        <v>0</v>
      </c>
      <c r="V315" s="104">
        <f t="shared" si="76"/>
        <v>0</v>
      </c>
      <c r="X315" s="103" t="e">
        <f t="shared" si="77"/>
        <v>#REF!</v>
      </c>
      <c r="Y315" s="103" t="e">
        <f t="shared" si="78"/>
        <v>#REF!</v>
      </c>
      <c r="Z315" s="104" t="e">
        <f t="shared" si="79"/>
        <v>#REF!</v>
      </c>
      <c r="AA315" s="104" t="e">
        <f t="shared" si="79"/>
        <v>#REF!</v>
      </c>
      <c r="AC315" s="103" t="e">
        <f t="shared" si="80"/>
        <v>#REF!</v>
      </c>
      <c r="AD315" s="103" t="e">
        <f t="shared" si="81"/>
        <v>#REF!</v>
      </c>
      <c r="AE315" s="104" t="e">
        <f t="shared" si="82"/>
        <v>#REF!</v>
      </c>
      <c r="AF315" s="104" t="e">
        <f t="shared" si="82"/>
        <v>#REF!</v>
      </c>
      <c r="AH315" s="103" t="e">
        <f t="shared" si="83"/>
        <v>#REF!</v>
      </c>
      <c r="AI315" s="103" t="e">
        <f t="shared" si="84"/>
        <v>#REF!</v>
      </c>
      <c r="AJ315" s="104" t="e">
        <f t="shared" si="85"/>
        <v>#REF!</v>
      </c>
      <c r="AK315" s="104" t="e">
        <f t="shared" si="85"/>
        <v>#REF!</v>
      </c>
    </row>
    <row r="316" spans="1:37" ht="15" customHeight="1">
      <c r="A316" s="107"/>
      <c r="B316" s="108"/>
      <c r="C316" s="99"/>
      <c r="D316" s="100"/>
      <c r="E316" s="102"/>
      <c r="F316" s="102"/>
      <c r="G316" s="18" t="str">
        <f t="shared" si="72"/>
        <v/>
      </c>
      <c r="H316" s="23" t="str">
        <f t="shared" si="73"/>
        <v/>
      </c>
      <c r="I316" s="26"/>
      <c r="J316" s="3"/>
      <c r="K316" s="3"/>
      <c r="L316" s="3"/>
      <c r="M316" s="3"/>
      <c r="N316" s="3"/>
      <c r="O316" s="3"/>
      <c r="P316" s="3"/>
      <c r="Q316" s="3"/>
      <c r="S316" s="103">
        <f t="shared" si="74"/>
        <v>0</v>
      </c>
      <c r="T316" s="103">
        <f t="shared" si="75"/>
        <v>0</v>
      </c>
      <c r="U316" s="104">
        <f t="shared" si="76"/>
        <v>0</v>
      </c>
      <c r="V316" s="104">
        <f t="shared" si="76"/>
        <v>0</v>
      </c>
      <c r="X316" s="103" t="e">
        <f t="shared" si="77"/>
        <v>#REF!</v>
      </c>
      <c r="Y316" s="103" t="e">
        <f t="shared" si="78"/>
        <v>#REF!</v>
      </c>
      <c r="Z316" s="104" t="e">
        <f t="shared" si="79"/>
        <v>#REF!</v>
      </c>
      <c r="AA316" s="104" t="e">
        <f t="shared" si="79"/>
        <v>#REF!</v>
      </c>
      <c r="AC316" s="103" t="e">
        <f t="shared" si="80"/>
        <v>#REF!</v>
      </c>
      <c r="AD316" s="103" t="e">
        <f t="shared" si="81"/>
        <v>#REF!</v>
      </c>
      <c r="AE316" s="104" t="e">
        <f t="shared" si="82"/>
        <v>#REF!</v>
      </c>
      <c r="AF316" s="104" t="e">
        <f t="shared" si="82"/>
        <v>#REF!</v>
      </c>
      <c r="AH316" s="103" t="e">
        <f t="shared" si="83"/>
        <v>#REF!</v>
      </c>
      <c r="AI316" s="103" t="e">
        <f t="shared" si="84"/>
        <v>#REF!</v>
      </c>
      <c r="AJ316" s="104" t="e">
        <f t="shared" si="85"/>
        <v>#REF!</v>
      </c>
      <c r="AK316" s="104" t="e">
        <f t="shared" si="85"/>
        <v>#REF!</v>
      </c>
    </row>
    <row r="317" spans="1:37" ht="15" customHeight="1">
      <c r="A317" s="107"/>
      <c r="B317" s="108"/>
      <c r="C317" s="99"/>
      <c r="D317" s="100"/>
      <c r="E317" s="102"/>
      <c r="F317" s="102"/>
      <c r="G317" s="18" t="str">
        <f t="shared" si="72"/>
        <v/>
      </c>
      <c r="H317" s="23" t="str">
        <f t="shared" si="73"/>
        <v/>
      </c>
      <c r="I317" s="26"/>
      <c r="J317" s="3"/>
      <c r="K317" s="3"/>
      <c r="L317" s="3"/>
      <c r="M317" s="3"/>
      <c r="N317" s="3"/>
      <c r="O317" s="3"/>
      <c r="P317" s="3"/>
      <c r="Q317" s="3"/>
      <c r="S317" s="103">
        <f t="shared" si="74"/>
        <v>0</v>
      </c>
      <c r="T317" s="103">
        <f t="shared" si="75"/>
        <v>0</v>
      </c>
      <c r="U317" s="104">
        <f t="shared" si="76"/>
        <v>0</v>
      </c>
      <c r="V317" s="104">
        <f t="shared" si="76"/>
        <v>0</v>
      </c>
      <c r="X317" s="103" t="e">
        <f t="shared" si="77"/>
        <v>#REF!</v>
      </c>
      <c r="Y317" s="103" t="e">
        <f t="shared" si="78"/>
        <v>#REF!</v>
      </c>
      <c r="Z317" s="104" t="e">
        <f t="shared" si="79"/>
        <v>#REF!</v>
      </c>
      <c r="AA317" s="104" t="e">
        <f t="shared" si="79"/>
        <v>#REF!</v>
      </c>
      <c r="AC317" s="103" t="e">
        <f t="shared" si="80"/>
        <v>#REF!</v>
      </c>
      <c r="AD317" s="103" t="e">
        <f t="shared" si="81"/>
        <v>#REF!</v>
      </c>
      <c r="AE317" s="104" t="e">
        <f t="shared" si="82"/>
        <v>#REF!</v>
      </c>
      <c r="AF317" s="104" t="e">
        <f t="shared" si="82"/>
        <v>#REF!</v>
      </c>
      <c r="AH317" s="103" t="e">
        <f t="shared" si="83"/>
        <v>#REF!</v>
      </c>
      <c r="AI317" s="103" t="e">
        <f t="shared" si="84"/>
        <v>#REF!</v>
      </c>
      <c r="AJ317" s="104" t="e">
        <f t="shared" si="85"/>
        <v>#REF!</v>
      </c>
      <c r="AK317" s="104" t="e">
        <f t="shared" si="85"/>
        <v>#REF!</v>
      </c>
    </row>
    <row r="318" spans="1:37" ht="15" customHeight="1">
      <c r="A318" s="107"/>
      <c r="B318" s="108"/>
      <c r="C318" s="99"/>
      <c r="D318" s="100"/>
      <c r="E318" s="102"/>
      <c r="F318" s="102"/>
      <c r="G318" s="18" t="str">
        <f t="shared" si="72"/>
        <v/>
      </c>
      <c r="H318" s="23" t="str">
        <f t="shared" si="73"/>
        <v/>
      </c>
      <c r="I318" s="26"/>
      <c r="J318" s="3"/>
      <c r="K318" s="3"/>
      <c r="L318" s="3"/>
      <c r="M318" s="3"/>
      <c r="N318" s="3"/>
      <c r="O318" s="3"/>
      <c r="P318" s="3"/>
      <c r="Q318" s="3"/>
      <c r="S318" s="103">
        <f t="shared" si="74"/>
        <v>0</v>
      </c>
      <c r="T318" s="103">
        <f t="shared" si="75"/>
        <v>0</v>
      </c>
      <c r="U318" s="104">
        <f t="shared" si="76"/>
        <v>0</v>
      </c>
      <c r="V318" s="104">
        <f t="shared" si="76"/>
        <v>0</v>
      </c>
      <c r="X318" s="103" t="e">
        <f t="shared" si="77"/>
        <v>#REF!</v>
      </c>
      <c r="Y318" s="103" t="e">
        <f t="shared" si="78"/>
        <v>#REF!</v>
      </c>
      <c r="Z318" s="104" t="e">
        <f t="shared" si="79"/>
        <v>#REF!</v>
      </c>
      <c r="AA318" s="104" t="e">
        <f t="shared" si="79"/>
        <v>#REF!</v>
      </c>
      <c r="AC318" s="103" t="e">
        <f t="shared" si="80"/>
        <v>#REF!</v>
      </c>
      <c r="AD318" s="103" t="e">
        <f t="shared" si="81"/>
        <v>#REF!</v>
      </c>
      <c r="AE318" s="104" t="e">
        <f t="shared" si="82"/>
        <v>#REF!</v>
      </c>
      <c r="AF318" s="104" t="e">
        <f t="shared" si="82"/>
        <v>#REF!</v>
      </c>
      <c r="AH318" s="103" t="e">
        <f t="shared" si="83"/>
        <v>#REF!</v>
      </c>
      <c r="AI318" s="103" t="e">
        <f t="shared" si="84"/>
        <v>#REF!</v>
      </c>
      <c r="AJ318" s="104" t="e">
        <f t="shared" si="85"/>
        <v>#REF!</v>
      </c>
      <c r="AK318" s="104" t="e">
        <f t="shared" si="85"/>
        <v>#REF!</v>
      </c>
    </row>
    <row r="319" spans="1:37" ht="15" customHeight="1">
      <c r="A319" s="107"/>
      <c r="B319" s="108"/>
      <c r="C319" s="99"/>
      <c r="D319" s="100"/>
      <c r="E319" s="102"/>
      <c r="F319" s="102"/>
      <c r="G319" s="18" t="str">
        <f t="shared" si="72"/>
        <v/>
      </c>
      <c r="H319" s="23" t="str">
        <f t="shared" si="73"/>
        <v/>
      </c>
      <c r="I319" s="26"/>
      <c r="J319" s="3"/>
      <c r="K319" s="3"/>
      <c r="L319" s="3"/>
      <c r="M319" s="3"/>
      <c r="N319" s="3"/>
      <c r="O319" s="3"/>
      <c r="P319" s="3"/>
      <c r="Q319" s="3"/>
      <c r="S319" s="103">
        <f t="shared" si="74"/>
        <v>0</v>
      </c>
      <c r="T319" s="103">
        <f t="shared" si="75"/>
        <v>0</v>
      </c>
      <c r="U319" s="104">
        <f t="shared" si="76"/>
        <v>0</v>
      </c>
      <c r="V319" s="104">
        <f t="shared" si="76"/>
        <v>0</v>
      </c>
      <c r="X319" s="103" t="e">
        <f t="shared" si="77"/>
        <v>#REF!</v>
      </c>
      <c r="Y319" s="103" t="e">
        <f t="shared" si="78"/>
        <v>#REF!</v>
      </c>
      <c r="Z319" s="104" t="e">
        <f t="shared" si="79"/>
        <v>#REF!</v>
      </c>
      <c r="AA319" s="104" t="e">
        <f t="shared" si="79"/>
        <v>#REF!</v>
      </c>
      <c r="AC319" s="103" t="e">
        <f t="shared" si="80"/>
        <v>#REF!</v>
      </c>
      <c r="AD319" s="103" t="e">
        <f t="shared" si="81"/>
        <v>#REF!</v>
      </c>
      <c r="AE319" s="104" t="e">
        <f t="shared" si="82"/>
        <v>#REF!</v>
      </c>
      <c r="AF319" s="104" t="e">
        <f t="shared" si="82"/>
        <v>#REF!</v>
      </c>
      <c r="AH319" s="103" t="e">
        <f t="shared" si="83"/>
        <v>#REF!</v>
      </c>
      <c r="AI319" s="103" t="e">
        <f t="shared" si="84"/>
        <v>#REF!</v>
      </c>
      <c r="AJ319" s="104" t="e">
        <f t="shared" si="85"/>
        <v>#REF!</v>
      </c>
      <c r="AK319" s="104" t="e">
        <f t="shared" si="85"/>
        <v>#REF!</v>
      </c>
    </row>
    <row r="320" spans="1:37" ht="15" customHeight="1">
      <c r="A320" s="107"/>
      <c r="B320" s="108"/>
      <c r="C320" s="99"/>
      <c r="D320" s="100"/>
      <c r="E320" s="102"/>
      <c r="F320" s="102"/>
      <c r="G320" s="18" t="str">
        <f t="shared" si="72"/>
        <v/>
      </c>
      <c r="H320" s="23" t="str">
        <f t="shared" si="73"/>
        <v/>
      </c>
      <c r="I320" s="26"/>
      <c r="J320" s="3"/>
      <c r="K320" s="3"/>
      <c r="L320" s="3"/>
      <c r="M320" s="3"/>
      <c r="N320" s="3"/>
      <c r="O320" s="3"/>
      <c r="P320" s="3"/>
      <c r="Q320" s="3"/>
      <c r="S320" s="103">
        <f t="shared" si="74"/>
        <v>0</v>
      </c>
      <c r="T320" s="103">
        <f t="shared" si="75"/>
        <v>0</v>
      </c>
      <c r="U320" s="104">
        <f t="shared" si="76"/>
        <v>0</v>
      </c>
      <c r="V320" s="104">
        <f t="shared" si="76"/>
        <v>0</v>
      </c>
      <c r="X320" s="103" t="e">
        <f t="shared" si="77"/>
        <v>#REF!</v>
      </c>
      <c r="Y320" s="103" t="e">
        <f t="shared" si="78"/>
        <v>#REF!</v>
      </c>
      <c r="Z320" s="104" t="e">
        <f t="shared" si="79"/>
        <v>#REF!</v>
      </c>
      <c r="AA320" s="104" t="e">
        <f t="shared" si="79"/>
        <v>#REF!</v>
      </c>
      <c r="AC320" s="103" t="e">
        <f t="shared" si="80"/>
        <v>#REF!</v>
      </c>
      <c r="AD320" s="103" t="e">
        <f t="shared" si="81"/>
        <v>#REF!</v>
      </c>
      <c r="AE320" s="104" t="e">
        <f t="shared" si="82"/>
        <v>#REF!</v>
      </c>
      <c r="AF320" s="104" t="e">
        <f t="shared" si="82"/>
        <v>#REF!</v>
      </c>
      <c r="AH320" s="103" t="e">
        <f t="shared" si="83"/>
        <v>#REF!</v>
      </c>
      <c r="AI320" s="103" t="e">
        <f t="shared" si="84"/>
        <v>#REF!</v>
      </c>
      <c r="AJ320" s="104" t="e">
        <f t="shared" si="85"/>
        <v>#REF!</v>
      </c>
      <c r="AK320" s="104" t="e">
        <f t="shared" si="85"/>
        <v>#REF!</v>
      </c>
    </row>
    <row r="321" spans="1:37" ht="15" customHeight="1">
      <c r="A321" s="107"/>
      <c r="B321" s="108"/>
      <c r="C321" s="99"/>
      <c r="D321" s="100"/>
      <c r="E321" s="102"/>
      <c r="F321" s="102"/>
      <c r="G321" s="18" t="str">
        <f t="shared" si="72"/>
        <v/>
      </c>
      <c r="H321" s="23" t="str">
        <f t="shared" si="73"/>
        <v/>
      </c>
      <c r="I321" s="26"/>
      <c r="J321" s="3"/>
      <c r="K321" s="3"/>
      <c r="L321" s="3"/>
      <c r="M321" s="3"/>
      <c r="N321" s="3"/>
      <c r="O321" s="3"/>
      <c r="P321" s="3"/>
      <c r="Q321" s="3"/>
      <c r="S321" s="103">
        <f t="shared" si="74"/>
        <v>0</v>
      </c>
      <c r="T321" s="103">
        <f t="shared" si="75"/>
        <v>0</v>
      </c>
      <c r="U321" s="104">
        <f t="shared" si="76"/>
        <v>0</v>
      </c>
      <c r="V321" s="104">
        <f t="shared" si="76"/>
        <v>0</v>
      </c>
      <c r="X321" s="103" t="e">
        <f t="shared" si="77"/>
        <v>#REF!</v>
      </c>
      <c r="Y321" s="103" t="e">
        <f t="shared" si="78"/>
        <v>#REF!</v>
      </c>
      <c r="Z321" s="104" t="e">
        <f t="shared" si="79"/>
        <v>#REF!</v>
      </c>
      <c r="AA321" s="104" t="e">
        <f t="shared" si="79"/>
        <v>#REF!</v>
      </c>
      <c r="AC321" s="103" t="e">
        <f t="shared" si="80"/>
        <v>#REF!</v>
      </c>
      <c r="AD321" s="103" t="e">
        <f t="shared" si="81"/>
        <v>#REF!</v>
      </c>
      <c r="AE321" s="104" t="e">
        <f t="shared" si="82"/>
        <v>#REF!</v>
      </c>
      <c r="AF321" s="104" t="e">
        <f t="shared" si="82"/>
        <v>#REF!</v>
      </c>
      <c r="AH321" s="103" t="e">
        <f t="shared" si="83"/>
        <v>#REF!</v>
      </c>
      <c r="AI321" s="103" t="e">
        <f t="shared" si="84"/>
        <v>#REF!</v>
      </c>
      <c r="AJ321" s="104" t="e">
        <f t="shared" si="85"/>
        <v>#REF!</v>
      </c>
      <c r="AK321" s="104" t="e">
        <f t="shared" si="85"/>
        <v>#REF!</v>
      </c>
    </row>
    <row r="322" spans="1:37" ht="15" customHeight="1">
      <c r="A322" s="107"/>
      <c r="B322" s="108"/>
      <c r="C322" s="99"/>
      <c r="D322" s="100"/>
      <c r="E322" s="102"/>
      <c r="F322" s="102"/>
      <c r="G322" s="18" t="str">
        <f t="shared" si="72"/>
        <v/>
      </c>
      <c r="H322" s="23" t="str">
        <f t="shared" si="73"/>
        <v/>
      </c>
      <c r="I322" s="26"/>
      <c r="J322" s="3"/>
      <c r="K322" s="3"/>
      <c r="L322" s="3"/>
      <c r="M322" s="3"/>
      <c r="N322" s="3"/>
      <c r="O322" s="3"/>
      <c r="P322" s="3"/>
      <c r="Q322" s="3"/>
      <c r="S322" s="103">
        <f t="shared" si="74"/>
        <v>0</v>
      </c>
      <c r="T322" s="103">
        <f t="shared" si="75"/>
        <v>0</v>
      </c>
      <c r="U322" s="104">
        <f t="shared" si="76"/>
        <v>0</v>
      </c>
      <c r="V322" s="104">
        <f t="shared" si="76"/>
        <v>0</v>
      </c>
      <c r="X322" s="103" t="e">
        <f t="shared" si="77"/>
        <v>#REF!</v>
      </c>
      <c r="Y322" s="103" t="e">
        <f t="shared" si="78"/>
        <v>#REF!</v>
      </c>
      <c r="Z322" s="104" t="e">
        <f t="shared" si="79"/>
        <v>#REF!</v>
      </c>
      <c r="AA322" s="104" t="e">
        <f t="shared" si="79"/>
        <v>#REF!</v>
      </c>
      <c r="AC322" s="103" t="e">
        <f t="shared" si="80"/>
        <v>#REF!</v>
      </c>
      <c r="AD322" s="103" t="e">
        <f t="shared" si="81"/>
        <v>#REF!</v>
      </c>
      <c r="AE322" s="104" t="e">
        <f t="shared" si="82"/>
        <v>#REF!</v>
      </c>
      <c r="AF322" s="104" t="e">
        <f t="shared" si="82"/>
        <v>#REF!</v>
      </c>
      <c r="AH322" s="103" t="e">
        <f t="shared" si="83"/>
        <v>#REF!</v>
      </c>
      <c r="AI322" s="103" t="e">
        <f t="shared" si="84"/>
        <v>#REF!</v>
      </c>
      <c r="AJ322" s="104" t="e">
        <f t="shared" si="85"/>
        <v>#REF!</v>
      </c>
      <c r="AK322" s="104" t="e">
        <f t="shared" si="85"/>
        <v>#REF!</v>
      </c>
    </row>
    <row r="323" spans="1:37" ht="15" customHeight="1">
      <c r="A323" s="107"/>
      <c r="B323" s="108"/>
      <c r="C323" s="99"/>
      <c r="D323" s="100"/>
      <c r="E323" s="102"/>
      <c r="F323" s="102"/>
      <c r="G323" s="18" t="str">
        <f t="shared" si="72"/>
        <v/>
      </c>
      <c r="H323" s="23" t="str">
        <f t="shared" si="73"/>
        <v/>
      </c>
      <c r="I323" s="26"/>
      <c r="J323" s="3"/>
      <c r="K323" s="3"/>
      <c r="L323" s="3"/>
      <c r="M323" s="3"/>
      <c r="N323" s="3"/>
      <c r="O323" s="3"/>
      <c r="P323" s="3"/>
      <c r="Q323" s="3"/>
      <c r="S323" s="103">
        <f t="shared" si="74"/>
        <v>0</v>
      </c>
      <c r="T323" s="103">
        <f t="shared" si="75"/>
        <v>0</v>
      </c>
      <c r="U323" s="104">
        <f t="shared" si="76"/>
        <v>0</v>
      </c>
      <c r="V323" s="104">
        <f t="shared" si="76"/>
        <v>0</v>
      </c>
      <c r="X323" s="103" t="e">
        <f t="shared" si="77"/>
        <v>#REF!</v>
      </c>
      <c r="Y323" s="103" t="e">
        <f t="shared" si="78"/>
        <v>#REF!</v>
      </c>
      <c r="Z323" s="104" t="e">
        <f t="shared" si="79"/>
        <v>#REF!</v>
      </c>
      <c r="AA323" s="104" t="e">
        <f t="shared" si="79"/>
        <v>#REF!</v>
      </c>
      <c r="AC323" s="103" t="e">
        <f t="shared" si="80"/>
        <v>#REF!</v>
      </c>
      <c r="AD323" s="103" t="e">
        <f t="shared" si="81"/>
        <v>#REF!</v>
      </c>
      <c r="AE323" s="104" t="e">
        <f t="shared" si="82"/>
        <v>#REF!</v>
      </c>
      <c r="AF323" s="104" t="e">
        <f t="shared" si="82"/>
        <v>#REF!</v>
      </c>
      <c r="AH323" s="103" t="e">
        <f t="shared" si="83"/>
        <v>#REF!</v>
      </c>
      <c r="AI323" s="103" t="e">
        <f t="shared" si="84"/>
        <v>#REF!</v>
      </c>
      <c r="AJ323" s="104" t="e">
        <f t="shared" si="85"/>
        <v>#REF!</v>
      </c>
      <c r="AK323" s="104" t="e">
        <f t="shared" si="85"/>
        <v>#REF!</v>
      </c>
    </row>
    <row r="324" spans="1:37" ht="15" customHeight="1">
      <c r="A324" s="107"/>
      <c r="B324" s="108"/>
      <c r="C324" s="99"/>
      <c r="D324" s="100"/>
      <c r="E324" s="102"/>
      <c r="F324" s="102"/>
      <c r="G324" s="18" t="str">
        <f t="shared" si="72"/>
        <v/>
      </c>
      <c r="H324" s="23" t="str">
        <f t="shared" si="73"/>
        <v/>
      </c>
      <c r="I324" s="26"/>
      <c r="J324" s="3"/>
      <c r="K324" s="3"/>
      <c r="L324" s="3"/>
      <c r="M324" s="3"/>
      <c r="N324" s="3"/>
      <c r="O324" s="3"/>
      <c r="P324" s="3"/>
      <c r="Q324" s="3"/>
      <c r="S324" s="103">
        <f t="shared" si="74"/>
        <v>0</v>
      </c>
      <c r="T324" s="103">
        <f t="shared" si="75"/>
        <v>0</v>
      </c>
      <c r="U324" s="104">
        <f t="shared" si="76"/>
        <v>0</v>
      </c>
      <c r="V324" s="104">
        <f t="shared" si="76"/>
        <v>0</v>
      </c>
      <c r="X324" s="103" t="e">
        <f t="shared" si="77"/>
        <v>#REF!</v>
      </c>
      <c r="Y324" s="103" t="e">
        <f t="shared" si="78"/>
        <v>#REF!</v>
      </c>
      <c r="Z324" s="104" t="e">
        <f t="shared" si="79"/>
        <v>#REF!</v>
      </c>
      <c r="AA324" s="104" t="e">
        <f t="shared" si="79"/>
        <v>#REF!</v>
      </c>
      <c r="AC324" s="103" t="e">
        <f t="shared" si="80"/>
        <v>#REF!</v>
      </c>
      <c r="AD324" s="103" t="e">
        <f t="shared" si="81"/>
        <v>#REF!</v>
      </c>
      <c r="AE324" s="104" t="e">
        <f t="shared" si="82"/>
        <v>#REF!</v>
      </c>
      <c r="AF324" s="104" t="e">
        <f t="shared" si="82"/>
        <v>#REF!</v>
      </c>
      <c r="AH324" s="103" t="e">
        <f t="shared" si="83"/>
        <v>#REF!</v>
      </c>
      <c r="AI324" s="103" t="e">
        <f t="shared" si="84"/>
        <v>#REF!</v>
      </c>
      <c r="AJ324" s="104" t="e">
        <f t="shared" si="85"/>
        <v>#REF!</v>
      </c>
      <c r="AK324" s="104" t="e">
        <f t="shared" si="85"/>
        <v>#REF!</v>
      </c>
    </row>
    <row r="325" spans="1:37" ht="15" customHeight="1">
      <c r="A325" s="107"/>
      <c r="B325" s="108"/>
      <c r="C325" s="99"/>
      <c r="D325" s="100"/>
      <c r="E325" s="102"/>
      <c r="F325" s="102"/>
      <c r="G325" s="18" t="str">
        <f t="shared" si="72"/>
        <v/>
      </c>
      <c r="H325" s="23" t="str">
        <f t="shared" si="73"/>
        <v/>
      </c>
      <c r="I325" s="26"/>
      <c r="J325" s="3"/>
      <c r="K325" s="3"/>
      <c r="L325" s="3"/>
      <c r="M325" s="3"/>
      <c r="N325" s="3"/>
      <c r="O325" s="3"/>
      <c r="P325" s="3"/>
      <c r="Q325" s="3"/>
      <c r="S325" s="103">
        <f t="shared" si="74"/>
        <v>0</v>
      </c>
      <c r="T325" s="103">
        <f t="shared" si="75"/>
        <v>0</v>
      </c>
      <c r="U325" s="104">
        <f t="shared" si="76"/>
        <v>0</v>
      </c>
      <c r="V325" s="104">
        <f t="shared" si="76"/>
        <v>0</v>
      </c>
      <c r="X325" s="103" t="e">
        <f t="shared" si="77"/>
        <v>#REF!</v>
      </c>
      <c r="Y325" s="103" t="e">
        <f t="shared" si="78"/>
        <v>#REF!</v>
      </c>
      <c r="Z325" s="104" t="e">
        <f t="shared" si="79"/>
        <v>#REF!</v>
      </c>
      <c r="AA325" s="104" t="e">
        <f t="shared" si="79"/>
        <v>#REF!</v>
      </c>
      <c r="AC325" s="103" t="e">
        <f t="shared" si="80"/>
        <v>#REF!</v>
      </c>
      <c r="AD325" s="103" t="e">
        <f t="shared" si="81"/>
        <v>#REF!</v>
      </c>
      <c r="AE325" s="104" t="e">
        <f t="shared" si="82"/>
        <v>#REF!</v>
      </c>
      <c r="AF325" s="104" t="e">
        <f t="shared" si="82"/>
        <v>#REF!</v>
      </c>
      <c r="AH325" s="103" t="e">
        <f t="shared" si="83"/>
        <v>#REF!</v>
      </c>
      <c r="AI325" s="103" t="e">
        <f t="shared" si="84"/>
        <v>#REF!</v>
      </c>
      <c r="AJ325" s="104" t="e">
        <f t="shared" si="85"/>
        <v>#REF!</v>
      </c>
      <c r="AK325" s="104" t="e">
        <f t="shared" si="85"/>
        <v>#REF!</v>
      </c>
    </row>
    <row r="326" spans="1:37" ht="15" customHeight="1">
      <c r="A326" s="107"/>
      <c r="B326" s="108"/>
      <c r="C326" s="99"/>
      <c r="D326" s="100"/>
      <c r="E326" s="102"/>
      <c r="F326" s="102"/>
      <c r="G326" s="18" t="str">
        <f t="shared" si="72"/>
        <v/>
      </c>
      <c r="H326" s="23" t="str">
        <f t="shared" si="73"/>
        <v/>
      </c>
      <c r="I326" s="26"/>
      <c r="J326" s="3"/>
      <c r="K326" s="3"/>
      <c r="L326" s="3"/>
      <c r="M326" s="3"/>
      <c r="N326" s="3"/>
      <c r="O326" s="3"/>
      <c r="P326" s="3"/>
      <c r="Q326" s="3"/>
      <c r="S326" s="103">
        <f t="shared" si="74"/>
        <v>0</v>
      </c>
      <c r="T326" s="103">
        <f t="shared" si="75"/>
        <v>0</v>
      </c>
      <c r="U326" s="104">
        <f t="shared" si="76"/>
        <v>0</v>
      </c>
      <c r="V326" s="104">
        <f t="shared" si="76"/>
        <v>0</v>
      </c>
      <c r="X326" s="103" t="e">
        <f t="shared" si="77"/>
        <v>#REF!</v>
      </c>
      <c r="Y326" s="103" t="e">
        <f t="shared" si="78"/>
        <v>#REF!</v>
      </c>
      <c r="Z326" s="104" t="e">
        <f t="shared" si="79"/>
        <v>#REF!</v>
      </c>
      <c r="AA326" s="104" t="e">
        <f t="shared" si="79"/>
        <v>#REF!</v>
      </c>
      <c r="AC326" s="103" t="e">
        <f t="shared" si="80"/>
        <v>#REF!</v>
      </c>
      <c r="AD326" s="103" t="e">
        <f t="shared" si="81"/>
        <v>#REF!</v>
      </c>
      <c r="AE326" s="104" t="e">
        <f t="shared" si="82"/>
        <v>#REF!</v>
      </c>
      <c r="AF326" s="104" t="e">
        <f t="shared" si="82"/>
        <v>#REF!</v>
      </c>
      <c r="AH326" s="103" t="e">
        <f t="shared" si="83"/>
        <v>#REF!</v>
      </c>
      <c r="AI326" s="103" t="e">
        <f t="shared" si="84"/>
        <v>#REF!</v>
      </c>
      <c r="AJ326" s="104" t="e">
        <f t="shared" si="85"/>
        <v>#REF!</v>
      </c>
      <c r="AK326" s="104" t="e">
        <f t="shared" si="85"/>
        <v>#REF!</v>
      </c>
    </row>
    <row r="327" spans="1:37" ht="15" customHeight="1">
      <c r="A327" s="107"/>
      <c r="B327" s="108"/>
      <c r="C327" s="99"/>
      <c r="D327" s="100"/>
      <c r="E327" s="102"/>
      <c r="F327" s="102"/>
      <c r="G327" s="18" t="str">
        <f t="shared" si="72"/>
        <v/>
      </c>
      <c r="H327" s="23" t="str">
        <f t="shared" si="73"/>
        <v/>
      </c>
      <c r="I327" s="26"/>
      <c r="J327" s="3"/>
      <c r="K327" s="3"/>
      <c r="L327" s="3"/>
      <c r="M327" s="3"/>
      <c r="N327" s="3"/>
      <c r="O327" s="3"/>
      <c r="P327" s="3"/>
      <c r="Q327" s="3"/>
      <c r="S327" s="103">
        <f t="shared" si="74"/>
        <v>0</v>
      </c>
      <c r="T327" s="103">
        <f t="shared" si="75"/>
        <v>0</v>
      </c>
      <c r="U327" s="104">
        <f t="shared" si="76"/>
        <v>0</v>
      </c>
      <c r="V327" s="104">
        <f t="shared" si="76"/>
        <v>0</v>
      </c>
      <c r="X327" s="103" t="e">
        <f t="shared" si="77"/>
        <v>#REF!</v>
      </c>
      <c r="Y327" s="103" t="e">
        <f t="shared" si="78"/>
        <v>#REF!</v>
      </c>
      <c r="Z327" s="104" t="e">
        <f t="shared" si="79"/>
        <v>#REF!</v>
      </c>
      <c r="AA327" s="104" t="e">
        <f t="shared" si="79"/>
        <v>#REF!</v>
      </c>
      <c r="AC327" s="103" t="e">
        <f t="shared" si="80"/>
        <v>#REF!</v>
      </c>
      <c r="AD327" s="103" t="e">
        <f t="shared" si="81"/>
        <v>#REF!</v>
      </c>
      <c r="AE327" s="104" t="e">
        <f t="shared" si="82"/>
        <v>#REF!</v>
      </c>
      <c r="AF327" s="104" t="e">
        <f t="shared" si="82"/>
        <v>#REF!</v>
      </c>
      <c r="AH327" s="103" t="e">
        <f t="shared" si="83"/>
        <v>#REF!</v>
      </c>
      <c r="AI327" s="103" t="e">
        <f t="shared" si="84"/>
        <v>#REF!</v>
      </c>
      <c r="AJ327" s="104" t="e">
        <f t="shared" si="85"/>
        <v>#REF!</v>
      </c>
      <c r="AK327" s="104" t="e">
        <f t="shared" si="85"/>
        <v>#REF!</v>
      </c>
    </row>
    <row r="328" spans="1:37" ht="15" customHeight="1">
      <c r="A328" s="107"/>
      <c r="B328" s="108"/>
      <c r="C328" s="99"/>
      <c r="D328" s="100"/>
      <c r="E328" s="102"/>
      <c r="F328" s="102"/>
      <c r="G328" s="18" t="str">
        <f t="shared" si="72"/>
        <v/>
      </c>
      <c r="H328" s="23" t="str">
        <f t="shared" si="73"/>
        <v/>
      </c>
      <c r="I328" s="26"/>
      <c r="J328" s="3"/>
      <c r="K328" s="3"/>
      <c r="L328" s="3"/>
      <c r="M328" s="3"/>
      <c r="N328" s="3"/>
      <c r="O328" s="3"/>
      <c r="P328" s="3"/>
      <c r="Q328" s="3"/>
      <c r="S328" s="103">
        <f t="shared" si="74"/>
        <v>0</v>
      </c>
      <c r="T328" s="103">
        <f t="shared" si="75"/>
        <v>0</v>
      </c>
      <c r="U328" s="104">
        <f t="shared" si="76"/>
        <v>0</v>
      </c>
      <c r="V328" s="104">
        <f t="shared" si="76"/>
        <v>0</v>
      </c>
      <c r="X328" s="103" t="e">
        <f t="shared" si="77"/>
        <v>#REF!</v>
      </c>
      <c r="Y328" s="103" t="e">
        <f t="shared" si="78"/>
        <v>#REF!</v>
      </c>
      <c r="Z328" s="104" t="e">
        <f t="shared" si="79"/>
        <v>#REF!</v>
      </c>
      <c r="AA328" s="104" t="e">
        <f t="shared" si="79"/>
        <v>#REF!</v>
      </c>
      <c r="AC328" s="103" t="e">
        <f t="shared" si="80"/>
        <v>#REF!</v>
      </c>
      <c r="AD328" s="103" t="e">
        <f t="shared" si="81"/>
        <v>#REF!</v>
      </c>
      <c r="AE328" s="104" t="e">
        <f t="shared" si="82"/>
        <v>#REF!</v>
      </c>
      <c r="AF328" s="104" t="e">
        <f t="shared" si="82"/>
        <v>#REF!</v>
      </c>
      <c r="AH328" s="103" t="e">
        <f t="shared" si="83"/>
        <v>#REF!</v>
      </c>
      <c r="AI328" s="103" t="e">
        <f t="shared" si="84"/>
        <v>#REF!</v>
      </c>
      <c r="AJ328" s="104" t="e">
        <f t="shared" si="85"/>
        <v>#REF!</v>
      </c>
      <c r="AK328" s="104" t="e">
        <f t="shared" si="85"/>
        <v>#REF!</v>
      </c>
    </row>
    <row r="329" spans="1:37" ht="15" customHeight="1">
      <c r="A329" s="107"/>
      <c r="B329" s="108"/>
      <c r="C329" s="99"/>
      <c r="D329" s="100"/>
      <c r="E329" s="102"/>
      <c r="F329" s="102"/>
      <c r="G329" s="18" t="str">
        <f t="shared" si="72"/>
        <v/>
      </c>
      <c r="H329" s="23" t="str">
        <f t="shared" si="73"/>
        <v/>
      </c>
      <c r="I329" s="26"/>
      <c r="J329" s="3"/>
      <c r="K329" s="3"/>
      <c r="L329" s="3"/>
      <c r="M329" s="3"/>
      <c r="N329" s="3"/>
      <c r="O329" s="3"/>
      <c r="P329" s="3"/>
      <c r="Q329" s="3"/>
      <c r="S329" s="103">
        <f t="shared" si="74"/>
        <v>0</v>
      </c>
      <c r="T329" s="103">
        <f t="shared" si="75"/>
        <v>0</v>
      </c>
      <c r="U329" s="104">
        <f t="shared" si="76"/>
        <v>0</v>
      </c>
      <c r="V329" s="104">
        <f t="shared" si="76"/>
        <v>0</v>
      </c>
      <c r="X329" s="103" t="e">
        <f t="shared" si="77"/>
        <v>#REF!</v>
      </c>
      <c r="Y329" s="103" t="e">
        <f t="shared" si="78"/>
        <v>#REF!</v>
      </c>
      <c r="Z329" s="104" t="e">
        <f t="shared" si="79"/>
        <v>#REF!</v>
      </c>
      <c r="AA329" s="104" t="e">
        <f t="shared" si="79"/>
        <v>#REF!</v>
      </c>
      <c r="AC329" s="103" t="e">
        <f t="shared" si="80"/>
        <v>#REF!</v>
      </c>
      <c r="AD329" s="103" t="e">
        <f t="shared" si="81"/>
        <v>#REF!</v>
      </c>
      <c r="AE329" s="104" t="e">
        <f t="shared" si="82"/>
        <v>#REF!</v>
      </c>
      <c r="AF329" s="104" t="e">
        <f t="shared" si="82"/>
        <v>#REF!</v>
      </c>
      <c r="AH329" s="103" t="e">
        <f t="shared" si="83"/>
        <v>#REF!</v>
      </c>
      <c r="AI329" s="103" t="e">
        <f t="shared" si="84"/>
        <v>#REF!</v>
      </c>
      <c r="AJ329" s="104" t="e">
        <f t="shared" si="85"/>
        <v>#REF!</v>
      </c>
      <c r="AK329" s="104" t="e">
        <f t="shared" si="85"/>
        <v>#REF!</v>
      </c>
    </row>
    <row r="330" spans="1:37" ht="15" customHeight="1">
      <c r="A330" s="107"/>
      <c r="B330" s="108"/>
      <c r="C330" s="99"/>
      <c r="D330" s="100"/>
      <c r="E330" s="102"/>
      <c r="F330" s="102"/>
      <c r="G330" s="18" t="str">
        <f t="shared" si="72"/>
        <v/>
      </c>
      <c r="H330" s="23" t="str">
        <f t="shared" si="73"/>
        <v/>
      </c>
      <c r="I330" s="26"/>
      <c r="J330" s="3"/>
      <c r="K330" s="3"/>
      <c r="L330" s="3"/>
      <c r="M330" s="3"/>
      <c r="N330" s="3"/>
      <c r="O330" s="3"/>
      <c r="P330" s="3"/>
      <c r="Q330" s="3"/>
      <c r="S330" s="103">
        <f t="shared" si="74"/>
        <v>0</v>
      </c>
      <c r="T330" s="103">
        <f t="shared" si="75"/>
        <v>0</v>
      </c>
      <c r="U330" s="104">
        <f t="shared" si="76"/>
        <v>0</v>
      </c>
      <c r="V330" s="104">
        <f t="shared" si="76"/>
        <v>0</v>
      </c>
      <c r="X330" s="103" t="e">
        <f t="shared" si="77"/>
        <v>#REF!</v>
      </c>
      <c r="Y330" s="103" t="e">
        <f t="shared" si="78"/>
        <v>#REF!</v>
      </c>
      <c r="Z330" s="104" t="e">
        <f t="shared" si="79"/>
        <v>#REF!</v>
      </c>
      <c r="AA330" s="104" t="e">
        <f t="shared" si="79"/>
        <v>#REF!</v>
      </c>
      <c r="AC330" s="103" t="e">
        <f t="shared" si="80"/>
        <v>#REF!</v>
      </c>
      <c r="AD330" s="103" t="e">
        <f t="shared" si="81"/>
        <v>#REF!</v>
      </c>
      <c r="AE330" s="104" t="e">
        <f t="shared" si="82"/>
        <v>#REF!</v>
      </c>
      <c r="AF330" s="104" t="e">
        <f t="shared" si="82"/>
        <v>#REF!</v>
      </c>
      <c r="AH330" s="103" t="e">
        <f t="shared" si="83"/>
        <v>#REF!</v>
      </c>
      <c r="AI330" s="103" t="e">
        <f t="shared" si="84"/>
        <v>#REF!</v>
      </c>
      <c r="AJ330" s="104" t="e">
        <f t="shared" si="85"/>
        <v>#REF!</v>
      </c>
      <c r="AK330" s="104" t="e">
        <f t="shared" si="85"/>
        <v>#REF!</v>
      </c>
    </row>
    <row r="331" spans="1:37" ht="15" customHeight="1">
      <c r="A331" s="107"/>
      <c r="B331" s="108"/>
      <c r="C331" s="99"/>
      <c r="D331" s="100"/>
      <c r="E331" s="102"/>
      <c r="F331" s="102"/>
      <c r="G331" s="18" t="str">
        <f t="shared" si="72"/>
        <v/>
      </c>
      <c r="H331" s="23" t="str">
        <f t="shared" si="73"/>
        <v/>
      </c>
      <c r="I331" s="26"/>
      <c r="J331" s="3"/>
      <c r="K331" s="3"/>
      <c r="L331" s="3"/>
      <c r="M331" s="3"/>
      <c r="N331" s="3"/>
      <c r="O331" s="3"/>
      <c r="P331" s="3"/>
      <c r="Q331" s="3"/>
      <c r="S331" s="103">
        <f t="shared" si="74"/>
        <v>0</v>
      </c>
      <c r="T331" s="103">
        <f t="shared" si="75"/>
        <v>0</v>
      </c>
      <c r="U331" s="104">
        <f t="shared" si="76"/>
        <v>0</v>
      </c>
      <c r="V331" s="104">
        <f t="shared" si="76"/>
        <v>0</v>
      </c>
      <c r="X331" s="103" t="e">
        <f t="shared" si="77"/>
        <v>#REF!</v>
      </c>
      <c r="Y331" s="103" t="e">
        <f t="shared" si="78"/>
        <v>#REF!</v>
      </c>
      <c r="Z331" s="104" t="e">
        <f t="shared" si="79"/>
        <v>#REF!</v>
      </c>
      <c r="AA331" s="104" t="e">
        <f t="shared" si="79"/>
        <v>#REF!</v>
      </c>
      <c r="AC331" s="103" t="e">
        <f t="shared" si="80"/>
        <v>#REF!</v>
      </c>
      <c r="AD331" s="103" t="e">
        <f t="shared" si="81"/>
        <v>#REF!</v>
      </c>
      <c r="AE331" s="104" t="e">
        <f t="shared" si="82"/>
        <v>#REF!</v>
      </c>
      <c r="AF331" s="104" t="e">
        <f t="shared" si="82"/>
        <v>#REF!</v>
      </c>
      <c r="AH331" s="103" t="e">
        <f t="shared" si="83"/>
        <v>#REF!</v>
      </c>
      <c r="AI331" s="103" t="e">
        <f t="shared" si="84"/>
        <v>#REF!</v>
      </c>
      <c r="AJ331" s="104" t="e">
        <f t="shared" si="85"/>
        <v>#REF!</v>
      </c>
      <c r="AK331" s="104" t="e">
        <f t="shared" si="85"/>
        <v>#REF!</v>
      </c>
    </row>
    <row r="332" spans="1:37" ht="15" customHeight="1">
      <c r="A332" s="107"/>
      <c r="B332" s="108"/>
      <c r="C332" s="99"/>
      <c r="D332" s="100"/>
      <c r="E332" s="102"/>
      <c r="F332" s="102"/>
      <c r="G332" s="18" t="str">
        <f t="shared" si="72"/>
        <v/>
      </c>
      <c r="H332" s="23" t="str">
        <f t="shared" si="73"/>
        <v/>
      </c>
      <c r="I332" s="26"/>
      <c r="J332" s="3"/>
      <c r="K332" s="3"/>
      <c r="L332" s="3"/>
      <c r="M332" s="3"/>
      <c r="N332" s="3"/>
      <c r="O332" s="3"/>
      <c r="P332" s="3"/>
      <c r="Q332" s="3"/>
      <c r="S332" s="103">
        <f t="shared" si="74"/>
        <v>0</v>
      </c>
      <c r="T332" s="103">
        <f t="shared" si="75"/>
        <v>0</v>
      </c>
      <c r="U332" s="104">
        <f t="shared" si="76"/>
        <v>0</v>
      </c>
      <c r="V332" s="104">
        <f t="shared" si="76"/>
        <v>0</v>
      </c>
      <c r="X332" s="103" t="e">
        <f t="shared" si="77"/>
        <v>#REF!</v>
      </c>
      <c r="Y332" s="103" t="e">
        <f t="shared" si="78"/>
        <v>#REF!</v>
      </c>
      <c r="Z332" s="104" t="e">
        <f t="shared" si="79"/>
        <v>#REF!</v>
      </c>
      <c r="AA332" s="104" t="e">
        <f t="shared" si="79"/>
        <v>#REF!</v>
      </c>
      <c r="AC332" s="103" t="e">
        <f t="shared" si="80"/>
        <v>#REF!</v>
      </c>
      <c r="AD332" s="103" t="e">
        <f t="shared" si="81"/>
        <v>#REF!</v>
      </c>
      <c r="AE332" s="104" t="e">
        <f t="shared" si="82"/>
        <v>#REF!</v>
      </c>
      <c r="AF332" s="104" t="e">
        <f t="shared" si="82"/>
        <v>#REF!</v>
      </c>
      <c r="AH332" s="103" t="e">
        <f t="shared" si="83"/>
        <v>#REF!</v>
      </c>
      <c r="AI332" s="103" t="e">
        <f t="shared" si="84"/>
        <v>#REF!</v>
      </c>
      <c r="AJ332" s="104" t="e">
        <f t="shared" si="85"/>
        <v>#REF!</v>
      </c>
      <c r="AK332" s="104" t="e">
        <f t="shared" si="85"/>
        <v>#REF!</v>
      </c>
    </row>
    <row r="333" spans="1:37">
      <c r="S333" s="103">
        <f t="shared" si="74"/>
        <v>0</v>
      </c>
      <c r="T333" s="103">
        <f t="shared" si="75"/>
        <v>0</v>
      </c>
      <c r="U333" s="104">
        <f t="shared" si="76"/>
        <v>0</v>
      </c>
      <c r="V333" s="104">
        <f t="shared" si="76"/>
        <v>0</v>
      </c>
      <c r="X333" s="103" t="e">
        <f t="shared" si="77"/>
        <v>#REF!</v>
      </c>
      <c r="Y333" s="103" t="e">
        <f t="shared" si="78"/>
        <v>#REF!</v>
      </c>
      <c r="Z333" s="104" t="e">
        <f t="shared" si="79"/>
        <v>#REF!</v>
      </c>
      <c r="AA333" s="104" t="e">
        <f t="shared" si="79"/>
        <v>#REF!</v>
      </c>
      <c r="AC333" s="103" t="e">
        <f t="shared" si="80"/>
        <v>#REF!</v>
      </c>
      <c r="AD333" s="103" t="e">
        <f t="shared" si="81"/>
        <v>#REF!</v>
      </c>
      <c r="AE333" s="104" t="e">
        <f t="shared" si="82"/>
        <v>#REF!</v>
      </c>
      <c r="AF333" s="104" t="e">
        <f t="shared" si="82"/>
        <v>#REF!</v>
      </c>
      <c r="AH333" s="103" t="e">
        <f t="shared" si="83"/>
        <v>#REF!</v>
      </c>
      <c r="AI333" s="103" t="e">
        <f t="shared" si="84"/>
        <v>#REF!</v>
      </c>
      <c r="AJ333" s="104" t="e">
        <f t="shared" si="85"/>
        <v>#REF!</v>
      </c>
      <c r="AK333" s="104" t="e">
        <f t="shared" si="85"/>
        <v>#REF!</v>
      </c>
    </row>
    <row r="334" spans="1:37">
      <c r="S334" s="103">
        <f t="shared" si="74"/>
        <v>0</v>
      </c>
      <c r="T334" s="103">
        <f t="shared" si="75"/>
        <v>0</v>
      </c>
      <c r="U334" s="104">
        <f t="shared" si="76"/>
        <v>0</v>
      </c>
      <c r="V334" s="104">
        <f t="shared" si="76"/>
        <v>0</v>
      </c>
      <c r="X334" s="103" t="e">
        <f t="shared" si="77"/>
        <v>#REF!</v>
      </c>
      <c r="Y334" s="103" t="e">
        <f t="shared" si="78"/>
        <v>#REF!</v>
      </c>
      <c r="Z334" s="104" t="e">
        <f t="shared" si="79"/>
        <v>#REF!</v>
      </c>
      <c r="AA334" s="104" t="e">
        <f t="shared" si="79"/>
        <v>#REF!</v>
      </c>
      <c r="AC334" s="103" t="e">
        <f t="shared" si="80"/>
        <v>#REF!</v>
      </c>
      <c r="AD334" s="103" t="e">
        <f t="shared" si="81"/>
        <v>#REF!</v>
      </c>
      <c r="AE334" s="104" t="e">
        <f t="shared" si="82"/>
        <v>#REF!</v>
      </c>
      <c r="AF334" s="104" t="e">
        <f t="shared" si="82"/>
        <v>#REF!</v>
      </c>
      <c r="AH334" s="103" t="e">
        <f t="shared" si="83"/>
        <v>#REF!</v>
      </c>
      <c r="AI334" s="103" t="e">
        <f t="shared" si="84"/>
        <v>#REF!</v>
      </c>
      <c r="AJ334" s="104" t="e">
        <f t="shared" si="85"/>
        <v>#REF!</v>
      </c>
      <c r="AK334" s="104" t="e">
        <f t="shared" si="85"/>
        <v>#REF!</v>
      </c>
    </row>
    <row r="335" spans="1:37">
      <c r="S335" s="103">
        <f t="shared" si="74"/>
        <v>0</v>
      </c>
      <c r="T335" s="103">
        <f t="shared" si="75"/>
        <v>0</v>
      </c>
      <c r="U335" s="104">
        <f t="shared" si="76"/>
        <v>0</v>
      </c>
      <c r="V335" s="104">
        <f t="shared" si="76"/>
        <v>0</v>
      </c>
      <c r="X335" s="103" t="e">
        <f t="shared" si="77"/>
        <v>#REF!</v>
      </c>
      <c r="Y335" s="103" t="e">
        <f t="shared" si="78"/>
        <v>#REF!</v>
      </c>
      <c r="Z335" s="104" t="e">
        <f t="shared" si="79"/>
        <v>#REF!</v>
      </c>
      <c r="AA335" s="104" t="e">
        <f t="shared" si="79"/>
        <v>#REF!</v>
      </c>
      <c r="AC335" s="103" t="e">
        <f t="shared" si="80"/>
        <v>#REF!</v>
      </c>
      <c r="AD335" s="103" t="e">
        <f t="shared" si="81"/>
        <v>#REF!</v>
      </c>
      <c r="AE335" s="104" t="e">
        <f t="shared" si="82"/>
        <v>#REF!</v>
      </c>
      <c r="AF335" s="104" t="e">
        <f t="shared" si="82"/>
        <v>#REF!</v>
      </c>
      <c r="AH335" s="103" t="e">
        <f t="shared" si="83"/>
        <v>#REF!</v>
      </c>
      <c r="AI335" s="103" t="e">
        <f t="shared" si="84"/>
        <v>#REF!</v>
      </c>
      <c r="AJ335" s="104" t="e">
        <f t="shared" si="85"/>
        <v>#REF!</v>
      </c>
      <c r="AK335" s="104" t="e">
        <f t="shared" si="85"/>
        <v>#REF!</v>
      </c>
    </row>
    <row r="336" spans="1:37">
      <c r="S336" s="103">
        <f t="shared" si="74"/>
        <v>0</v>
      </c>
      <c r="T336" s="103">
        <f t="shared" si="75"/>
        <v>0</v>
      </c>
      <c r="U336" s="104">
        <f t="shared" si="76"/>
        <v>0</v>
      </c>
      <c r="V336" s="104">
        <f t="shared" si="76"/>
        <v>0</v>
      </c>
      <c r="X336" s="103" t="e">
        <f t="shared" si="77"/>
        <v>#REF!</v>
      </c>
      <c r="Y336" s="103" t="e">
        <f t="shared" si="78"/>
        <v>#REF!</v>
      </c>
      <c r="Z336" s="104" t="e">
        <f t="shared" si="79"/>
        <v>#REF!</v>
      </c>
      <c r="AA336" s="104" t="e">
        <f t="shared" si="79"/>
        <v>#REF!</v>
      </c>
      <c r="AC336" s="103" t="e">
        <f t="shared" si="80"/>
        <v>#REF!</v>
      </c>
      <c r="AD336" s="103" t="e">
        <f t="shared" si="81"/>
        <v>#REF!</v>
      </c>
      <c r="AE336" s="104" t="e">
        <f t="shared" si="82"/>
        <v>#REF!</v>
      </c>
      <c r="AF336" s="104" t="e">
        <f t="shared" si="82"/>
        <v>#REF!</v>
      </c>
      <c r="AH336" s="103" t="e">
        <f t="shared" si="83"/>
        <v>#REF!</v>
      </c>
      <c r="AI336" s="103" t="e">
        <f t="shared" si="84"/>
        <v>#REF!</v>
      </c>
      <c r="AJ336" s="104" t="e">
        <f t="shared" si="85"/>
        <v>#REF!</v>
      </c>
      <c r="AK336" s="104" t="e">
        <f t="shared" si="85"/>
        <v>#REF!</v>
      </c>
    </row>
    <row r="337" spans="19:37">
      <c r="S337" s="103">
        <f t="shared" si="74"/>
        <v>0</v>
      </c>
      <c r="T337" s="103">
        <f t="shared" si="75"/>
        <v>0</v>
      </c>
      <c r="U337" s="104">
        <f t="shared" si="76"/>
        <v>0</v>
      </c>
      <c r="V337" s="104">
        <f t="shared" si="76"/>
        <v>0</v>
      </c>
      <c r="X337" s="103" t="e">
        <f t="shared" si="77"/>
        <v>#REF!</v>
      </c>
      <c r="Y337" s="103" t="e">
        <f t="shared" si="78"/>
        <v>#REF!</v>
      </c>
      <c r="Z337" s="104" t="e">
        <f t="shared" si="79"/>
        <v>#REF!</v>
      </c>
      <c r="AA337" s="104" t="e">
        <f t="shared" si="79"/>
        <v>#REF!</v>
      </c>
      <c r="AC337" s="103" t="e">
        <f t="shared" si="80"/>
        <v>#REF!</v>
      </c>
      <c r="AD337" s="103" t="e">
        <f t="shared" si="81"/>
        <v>#REF!</v>
      </c>
      <c r="AE337" s="104" t="e">
        <f t="shared" si="82"/>
        <v>#REF!</v>
      </c>
      <c r="AF337" s="104" t="e">
        <f t="shared" si="82"/>
        <v>#REF!</v>
      </c>
      <c r="AH337" s="103" t="e">
        <f t="shared" si="83"/>
        <v>#REF!</v>
      </c>
      <c r="AI337" s="103" t="e">
        <f t="shared" si="84"/>
        <v>#REF!</v>
      </c>
      <c r="AJ337" s="104" t="e">
        <f t="shared" si="85"/>
        <v>#REF!</v>
      </c>
      <c r="AK337" s="104" t="e">
        <f t="shared" si="85"/>
        <v>#REF!</v>
      </c>
    </row>
    <row r="338" spans="19:37">
      <c r="S338" s="103">
        <f t="shared" si="74"/>
        <v>0</v>
      </c>
      <c r="T338" s="103">
        <f t="shared" si="75"/>
        <v>0</v>
      </c>
      <c r="U338" s="104">
        <f t="shared" si="76"/>
        <v>0</v>
      </c>
      <c r="V338" s="104">
        <f t="shared" si="76"/>
        <v>0</v>
      </c>
      <c r="X338" s="103" t="e">
        <f t="shared" si="77"/>
        <v>#REF!</v>
      </c>
      <c r="Y338" s="103" t="e">
        <f t="shared" si="78"/>
        <v>#REF!</v>
      </c>
      <c r="Z338" s="104" t="e">
        <f t="shared" si="79"/>
        <v>#REF!</v>
      </c>
      <c r="AA338" s="104" t="e">
        <f t="shared" si="79"/>
        <v>#REF!</v>
      </c>
      <c r="AC338" s="103" t="e">
        <f t="shared" si="80"/>
        <v>#REF!</v>
      </c>
      <c r="AD338" s="103" t="e">
        <f t="shared" si="81"/>
        <v>#REF!</v>
      </c>
      <c r="AE338" s="104" t="e">
        <f t="shared" si="82"/>
        <v>#REF!</v>
      </c>
      <c r="AF338" s="104" t="e">
        <f t="shared" si="82"/>
        <v>#REF!</v>
      </c>
      <c r="AH338" s="103" t="e">
        <f t="shared" si="83"/>
        <v>#REF!</v>
      </c>
      <c r="AI338" s="103" t="e">
        <f t="shared" si="84"/>
        <v>#REF!</v>
      </c>
      <c r="AJ338" s="104" t="e">
        <f t="shared" si="85"/>
        <v>#REF!</v>
      </c>
      <c r="AK338" s="104" t="e">
        <f t="shared" si="85"/>
        <v>#REF!</v>
      </c>
    </row>
    <row r="339" spans="19:37">
      <c r="S339" s="103">
        <f t="shared" si="74"/>
        <v>0</v>
      </c>
      <c r="T339" s="103">
        <f t="shared" si="75"/>
        <v>0</v>
      </c>
      <c r="U339" s="104">
        <f t="shared" si="76"/>
        <v>0</v>
      </c>
      <c r="V339" s="104">
        <f t="shared" si="76"/>
        <v>0</v>
      </c>
      <c r="X339" s="103" t="e">
        <f t="shared" si="77"/>
        <v>#REF!</v>
      </c>
      <c r="Y339" s="103" t="e">
        <f t="shared" si="78"/>
        <v>#REF!</v>
      </c>
      <c r="Z339" s="104" t="e">
        <f t="shared" si="79"/>
        <v>#REF!</v>
      </c>
      <c r="AA339" s="104" t="e">
        <f t="shared" si="79"/>
        <v>#REF!</v>
      </c>
      <c r="AC339" s="103" t="e">
        <f t="shared" si="80"/>
        <v>#REF!</v>
      </c>
      <c r="AD339" s="103" t="e">
        <f t="shared" si="81"/>
        <v>#REF!</v>
      </c>
      <c r="AE339" s="104" t="e">
        <f t="shared" si="82"/>
        <v>#REF!</v>
      </c>
      <c r="AF339" s="104" t="e">
        <f t="shared" si="82"/>
        <v>#REF!</v>
      </c>
      <c r="AH339" s="103" t="e">
        <f t="shared" si="83"/>
        <v>#REF!</v>
      </c>
      <c r="AI339" s="103" t="e">
        <f t="shared" si="84"/>
        <v>#REF!</v>
      </c>
      <c r="AJ339" s="104" t="e">
        <f t="shared" si="85"/>
        <v>#REF!</v>
      </c>
      <c r="AK339" s="104" t="e">
        <f t="shared" si="85"/>
        <v>#REF!</v>
      </c>
    </row>
    <row r="340" spans="19:37">
      <c r="S340" s="103">
        <f t="shared" si="74"/>
        <v>0</v>
      </c>
      <c r="T340" s="103">
        <f t="shared" si="75"/>
        <v>0</v>
      </c>
      <c r="U340" s="104">
        <f t="shared" si="76"/>
        <v>0</v>
      </c>
      <c r="V340" s="104">
        <f t="shared" si="76"/>
        <v>0</v>
      </c>
      <c r="X340" s="103" t="e">
        <f t="shared" si="77"/>
        <v>#REF!</v>
      </c>
      <c r="Y340" s="103" t="e">
        <f t="shared" si="78"/>
        <v>#REF!</v>
      </c>
      <c r="Z340" s="104" t="e">
        <f t="shared" si="79"/>
        <v>#REF!</v>
      </c>
      <c r="AA340" s="104" t="e">
        <f t="shared" si="79"/>
        <v>#REF!</v>
      </c>
      <c r="AC340" s="103" t="e">
        <f t="shared" si="80"/>
        <v>#REF!</v>
      </c>
      <c r="AD340" s="103" t="e">
        <f t="shared" si="81"/>
        <v>#REF!</v>
      </c>
      <c r="AE340" s="104" t="e">
        <f t="shared" si="82"/>
        <v>#REF!</v>
      </c>
      <c r="AF340" s="104" t="e">
        <f t="shared" si="82"/>
        <v>#REF!</v>
      </c>
      <c r="AH340" s="103" t="e">
        <f t="shared" si="83"/>
        <v>#REF!</v>
      </c>
      <c r="AI340" s="103" t="e">
        <f t="shared" si="84"/>
        <v>#REF!</v>
      </c>
      <c r="AJ340" s="104" t="e">
        <f t="shared" si="85"/>
        <v>#REF!</v>
      </c>
      <c r="AK340" s="104" t="e">
        <f t="shared" si="85"/>
        <v>#REF!</v>
      </c>
    </row>
    <row r="341" spans="19:37">
      <c r="S341" s="103">
        <f t="shared" si="74"/>
        <v>0</v>
      </c>
      <c r="T341" s="103">
        <f t="shared" si="75"/>
        <v>0</v>
      </c>
      <c r="U341" s="104">
        <f t="shared" si="76"/>
        <v>0</v>
      </c>
      <c r="V341" s="104">
        <f t="shared" si="76"/>
        <v>0</v>
      </c>
      <c r="X341" s="103" t="e">
        <f t="shared" si="77"/>
        <v>#REF!</v>
      </c>
      <c r="Y341" s="103" t="e">
        <f t="shared" si="78"/>
        <v>#REF!</v>
      </c>
      <c r="Z341" s="104" t="e">
        <f t="shared" si="79"/>
        <v>#REF!</v>
      </c>
      <c r="AA341" s="104" t="e">
        <f t="shared" si="79"/>
        <v>#REF!</v>
      </c>
      <c r="AC341" s="103" t="e">
        <f t="shared" si="80"/>
        <v>#REF!</v>
      </c>
      <c r="AD341" s="103" t="e">
        <f t="shared" si="81"/>
        <v>#REF!</v>
      </c>
      <c r="AE341" s="104" t="e">
        <f t="shared" si="82"/>
        <v>#REF!</v>
      </c>
      <c r="AF341" s="104" t="e">
        <f t="shared" si="82"/>
        <v>#REF!</v>
      </c>
      <c r="AH341" s="103" t="e">
        <f t="shared" si="83"/>
        <v>#REF!</v>
      </c>
      <c r="AI341" s="103" t="e">
        <f t="shared" si="84"/>
        <v>#REF!</v>
      </c>
      <c r="AJ341" s="104" t="e">
        <f t="shared" si="85"/>
        <v>#REF!</v>
      </c>
      <c r="AK341" s="104" t="e">
        <f t="shared" si="85"/>
        <v>#REF!</v>
      </c>
    </row>
    <row r="342" spans="19:37">
      <c r="S342" s="103">
        <f t="shared" ref="S342:S405" si="86">IF($A342&lt;&gt;"(DC)", $E342*$R$7, $E342)</f>
        <v>0</v>
      </c>
      <c r="T342" s="103">
        <f t="shared" ref="T342:T405" si="87">IF($A342&lt;&gt;"(DC)", $F342*$R$7, $F342)</f>
        <v>0</v>
      </c>
      <c r="U342" s="104">
        <f t="shared" ref="U342:V405" si="88">IF(AND($D342="",S342=""),"",IF($D342="",S342,$D342+S342))</f>
        <v>0</v>
      </c>
      <c r="V342" s="104">
        <f t="shared" si="88"/>
        <v>0</v>
      </c>
      <c r="X342" s="103" t="e">
        <f t="shared" ref="X342:X405" si="89">IF($A342&lt;&gt;"(DC)", $E342*$W$7, $E342)</f>
        <v>#REF!</v>
      </c>
      <c r="Y342" s="103" t="e">
        <f t="shared" ref="Y342:Y405" si="90">IF($A342&lt;&gt;"(DC)", $F342*$W$7, $F342)</f>
        <v>#REF!</v>
      </c>
      <c r="Z342" s="104" t="e">
        <f t="shared" ref="Z342:AA405" si="91">IF(AND($D342="",X342=""),"",IF($D342="",X342,$D342+X342))</f>
        <v>#REF!</v>
      </c>
      <c r="AA342" s="104" t="e">
        <f t="shared" si="91"/>
        <v>#REF!</v>
      </c>
      <c r="AC342" s="103" t="e">
        <f t="shared" ref="AC342:AC405" si="92">IF($A342&lt;&gt;"(DC)", $E342*$W$7, $E342)</f>
        <v>#REF!</v>
      </c>
      <c r="AD342" s="103" t="e">
        <f t="shared" ref="AD342:AD405" si="93">IF($A342&lt;&gt;"(DC)", $F342*$W$7, $F342)</f>
        <v>#REF!</v>
      </c>
      <c r="AE342" s="104" t="e">
        <f t="shared" ref="AE342:AF405" si="94">IF(AND($D342="",AC342=""),"",IF($D342="",AC342,$D342+AC342))</f>
        <v>#REF!</v>
      </c>
      <c r="AF342" s="104" t="e">
        <f t="shared" si="94"/>
        <v>#REF!</v>
      </c>
      <c r="AH342" s="103" t="e">
        <f t="shared" ref="AH342:AH405" si="95">IF($A342&lt;&gt;"(DC)", $E342*$AG$7, $E342)</f>
        <v>#REF!</v>
      </c>
      <c r="AI342" s="103" t="e">
        <f t="shared" ref="AI342:AI405" si="96">IF($A342&lt;&gt;"(DC)", $F342*$AG$7, $F342)</f>
        <v>#REF!</v>
      </c>
      <c r="AJ342" s="104" t="e">
        <f t="shared" ref="AJ342:AK405" si="97">IF(AND($D342="",AH342=""),"",IF($D342="",AH342,$D342+AH342))</f>
        <v>#REF!</v>
      </c>
      <c r="AK342" s="104" t="e">
        <f t="shared" si="97"/>
        <v>#REF!</v>
      </c>
    </row>
    <row r="343" spans="19:37">
      <c r="S343" s="103">
        <f t="shared" si="86"/>
        <v>0</v>
      </c>
      <c r="T343" s="103">
        <f t="shared" si="87"/>
        <v>0</v>
      </c>
      <c r="U343" s="104">
        <f t="shared" si="88"/>
        <v>0</v>
      </c>
      <c r="V343" s="104">
        <f t="shared" si="88"/>
        <v>0</v>
      </c>
      <c r="X343" s="103" t="e">
        <f t="shared" si="89"/>
        <v>#REF!</v>
      </c>
      <c r="Y343" s="103" t="e">
        <f t="shared" si="90"/>
        <v>#REF!</v>
      </c>
      <c r="Z343" s="104" t="e">
        <f t="shared" si="91"/>
        <v>#REF!</v>
      </c>
      <c r="AA343" s="104" t="e">
        <f t="shared" si="91"/>
        <v>#REF!</v>
      </c>
      <c r="AC343" s="103" t="e">
        <f t="shared" si="92"/>
        <v>#REF!</v>
      </c>
      <c r="AD343" s="103" t="e">
        <f t="shared" si="93"/>
        <v>#REF!</v>
      </c>
      <c r="AE343" s="104" t="e">
        <f t="shared" si="94"/>
        <v>#REF!</v>
      </c>
      <c r="AF343" s="104" t="e">
        <f t="shared" si="94"/>
        <v>#REF!</v>
      </c>
      <c r="AH343" s="103" t="e">
        <f t="shared" si="95"/>
        <v>#REF!</v>
      </c>
      <c r="AI343" s="103" t="e">
        <f t="shared" si="96"/>
        <v>#REF!</v>
      </c>
      <c r="AJ343" s="104" t="e">
        <f t="shared" si="97"/>
        <v>#REF!</v>
      </c>
      <c r="AK343" s="104" t="e">
        <f t="shared" si="97"/>
        <v>#REF!</v>
      </c>
    </row>
    <row r="344" spans="19:37">
      <c r="S344" s="103">
        <f t="shared" si="86"/>
        <v>0</v>
      </c>
      <c r="T344" s="103">
        <f t="shared" si="87"/>
        <v>0</v>
      </c>
      <c r="U344" s="104">
        <f t="shared" si="88"/>
        <v>0</v>
      </c>
      <c r="V344" s="104">
        <f t="shared" si="88"/>
        <v>0</v>
      </c>
      <c r="X344" s="103" t="e">
        <f t="shared" si="89"/>
        <v>#REF!</v>
      </c>
      <c r="Y344" s="103" t="e">
        <f t="shared" si="90"/>
        <v>#REF!</v>
      </c>
      <c r="Z344" s="104" t="e">
        <f t="shared" si="91"/>
        <v>#REF!</v>
      </c>
      <c r="AA344" s="104" t="e">
        <f t="shared" si="91"/>
        <v>#REF!</v>
      </c>
      <c r="AC344" s="103" t="e">
        <f t="shared" si="92"/>
        <v>#REF!</v>
      </c>
      <c r="AD344" s="103" t="e">
        <f t="shared" si="93"/>
        <v>#REF!</v>
      </c>
      <c r="AE344" s="104" t="e">
        <f t="shared" si="94"/>
        <v>#REF!</v>
      </c>
      <c r="AF344" s="104" t="e">
        <f t="shared" si="94"/>
        <v>#REF!</v>
      </c>
      <c r="AH344" s="103" t="e">
        <f t="shared" si="95"/>
        <v>#REF!</v>
      </c>
      <c r="AI344" s="103" t="e">
        <f t="shared" si="96"/>
        <v>#REF!</v>
      </c>
      <c r="AJ344" s="104" t="e">
        <f t="shared" si="97"/>
        <v>#REF!</v>
      </c>
      <c r="AK344" s="104" t="e">
        <f t="shared" si="97"/>
        <v>#REF!</v>
      </c>
    </row>
    <row r="345" spans="19:37">
      <c r="S345" s="103">
        <f t="shared" si="86"/>
        <v>0</v>
      </c>
      <c r="T345" s="103">
        <f t="shared" si="87"/>
        <v>0</v>
      </c>
      <c r="U345" s="104">
        <f t="shared" si="88"/>
        <v>0</v>
      </c>
      <c r="V345" s="104">
        <f t="shared" si="88"/>
        <v>0</v>
      </c>
      <c r="X345" s="103" t="e">
        <f t="shared" si="89"/>
        <v>#REF!</v>
      </c>
      <c r="Y345" s="103" t="e">
        <f t="shared" si="90"/>
        <v>#REF!</v>
      </c>
      <c r="Z345" s="104" t="e">
        <f t="shared" si="91"/>
        <v>#REF!</v>
      </c>
      <c r="AA345" s="104" t="e">
        <f t="shared" si="91"/>
        <v>#REF!</v>
      </c>
      <c r="AC345" s="103" t="e">
        <f t="shared" si="92"/>
        <v>#REF!</v>
      </c>
      <c r="AD345" s="103" t="e">
        <f t="shared" si="93"/>
        <v>#REF!</v>
      </c>
      <c r="AE345" s="104" t="e">
        <f t="shared" si="94"/>
        <v>#REF!</v>
      </c>
      <c r="AF345" s="104" t="e">
        <f t="shared" si="94"/>
        <v>#REF!</v>
      </c>
      <c r="AH345" s="103" t="e">
        <f t="shared" si="95"/>
        <v>#REF!</v>
      </c>
      <c r="AI345" s="103" t="e">
        <f t="shared" si="96"/>
        <v>#REF!</v>
      </c>
      <c r="AJ345" s="104" t="e">
        <f t="shared" si="97"/>
        <v>#REF!</v>
      </c>
      <c r="AK345" s="104" t="e">
        <f t="shared" si="97"/>
        <v>#REF!</v>
      </c>
    </row>
    <row r="346" spans="19:37">
      <c r="S346" s="103">
        <f t="shared" si="86"/>
        <v>0</v>
      </c>
      <c r="T346" s="103">
        <f t="shared" si="87"/>
        <v>0</v>
      </c>
      <c r="U346" s="104">
        <f t="shared" si="88"/>
        <v>0</v>
      </c>
      <c r="V346" s="104">
        <f t="shared" si="88"/>
        <v>0</v>
      </c>
      <c r="X346" s="103" t="e">
        <f t="shared" si="89"/>
        <v>#REF!</v>
      </c>
      <c r="Y346" s="103" t="e">
        <f t="shared" si="90"/>
        <v>#REF!</v>
      </c>
      <c r="Z346" s="104" t="e">
        <f t="shared" si="91"/>
        <v>#REF!</v>
      </c>
      <c r="AA346" s="104" t="e">
        <f t="shared" si="91"/>
        <v>#REF!</v>
      </c>
      <c r="AC346" s="103" t="e">
        <f t="shared" si="92"/>
        <v>#REF!</v>
      </c>
      <c r="AD346" s="103" t="e">
        <f t="shared" si="93"/>
        <v>#REF!</v>
      </c>
      <c r="AE346" s="104" t="e">
        <f t="shared" si="94"/>
        <v>#REF!</v>
      </c>
      <c r="AF346" s="104" t="e">
        <f t="shared" si="94"/>
        <v>#REF!</v>
      </c>
      <c r="AH346" s="103" t="e">
        <f t="shared" si="95"/>
        <v>#REF!</v>
      </c>
      <c r="AI346" s="103" t="e">
        <f t="shared" si="96"/>
        <v>#REF!</v>
      </c>
      <c r="AJ346" s="104" t="e">
        <f t="shared" si="97"/>
        <v>#REF!</v>
      </c>
      <c r="AK346" s="104" t="e">
        <f t="shared" si="97"/>
        <v>#REF!</v>
      </c>
    </row>
    <row r="347" spans="19:37">
      <c r="S347" s="103">
        <f t="shared" si="86"/>
        <v>0</v>
      </c>
      <c r="T347" s="103">
        <f t="shared" si="87"/>
        <v>0</v>
      </c>
      <c r="U347" s="104">
        <f t="shared" si="88"/>
        <v>0</v>
      </c>
      <c r="V347" s="104">
        <f t="shared" si="88"/>
        <v>0</v>
      </c>
      <c r="X347" s="103" t="e">
        <f t="shared" si="89"/>
        <v>#REF!</v>
      </c>
      <c r="Y347" s="103" t="e">
        <f t="shared" si="90"/>
        <v>#REF!</v>
      </c>
      <c r="Z347" s="104" t="e">
        <f t="shared" si="91"/>
        <v>#REF!</v>
      </c>
      <c r="AA347" s="104" t="e">
        <f t="shared" si="91"/>
        <v>#REF!</v>
      </c>
      <c r="AC347" s="103" t="e">
        <f t="shared" si="92"/>
        <v>#REF!</v>
      </c>
      <c r="AD347" s="103" t="e">
        <f t="shared" si="93"/>
        <v>#REF!</v>
      </c>
      <c r="AE347" s="104" t="e">
        <f t="shared" si="94"/>
        <v>#REF!</v>
      </c>
      <c r="AF347" s="104" t="e">
        <f t="shared" si="94"/>
        <v>#REF!</v>
      </c>
      <c r="AH347" s="103" t="e">
        <f t="shared" si="95"/>
        <v>#REF!</v>
      </c>
      <c r="AI347" s="103" t="e">
        <f t="shared" si="96"/>
        <v>#REF!</v>
      </c>
      <c r="AJ347" s="104" t="e">
        <f t="shared" si="97"/>
        <v>#REF!</v>
      </c>
      <c r="AK347" s="104" t="e">
        <f t="shared" si="97"/>
        <v>#REF!</v>
      </c>
    </row>
    <row r="348" spans="19:37">
      <c r="S348" s="103">
        <f t="shared" si="86"/>
        <v>0</v>
      </c>
      <c r="T348" s="103">
        <f t="shared" si="87"/>
        <v>0</v>
      </c>
      <c r="U348" s="104">
        <f t="shared" si="88"/>
        <v>0</v>
      </c>
      <c r="V348" s="104">
        <f t="shared" si="88"/>
        <v>0</v>
      </c>
      <c r="X348" s="103" t="e">
        <f t="shared" si="89"/>
        <v>#REF!</v>
      </c>
      <c r="Y348" s="103" t="e">
        <f t="shared" si="90"/>
        <v>#REF!</v>
      </c>
      <c r="Z348" s="104" t="e">
        <f t="shared" si="91"/>
        <v>#REF!</v>
      </c>
      <c r="AA348" s="104" t="e">
        <f t="shared" si="91"/>
        <v>#REF!</v>
      </c>
      <c r="AC348" s="103" t="e">
        <f t="shared" si="92"/>
        <v>#REF!</v>
      </c>
      <c r="AD348" s="103" t="e">
        <f t="shared" si="93"/>
        <v>#REF!</v>
      </c>
      <c r="AE348" s="104" t="e">
        <f t="shared" si="94"/>
        <v>#REF!</v>
      </c>
      <c r="AF348" s="104" t="e">
        <f t="shared" si="94"/>
        <v>#REF!</v>
      </c>
      <c r="AH348" s="103" t="e">
        <f t="shared" si="95"/>
        <v>#REF!</v>
      </c>
      <c r="AI348" s="103" t="e">
        <f t="shared" si="96"/>
        <v>#REF!</v>
      </c>
      <c r="AJ348" s="104" t="e">
        <f t="shared" si="97"/>
        <v>#REF!</v>
      </c>
      <c r="AK348" s="104" t="e">
        <f t="shared" si="97"/>
        <v>#REF!</v>
      </c>
    </row>
    <row r="349" spans="19:37">
      <c r="S349" s="103">
        <f t="shared" si="86"/>
        <v>0</v>
      </c>
      <c r="T349" s="103">
        <f t="shared" si="87"/>
        <v>0</v>
      </c>
      <c r="U349" s="104">
        <f t="shared" si="88"/>
        <v>0</v>
      </c>
      <c r="V349" s="104">
        <f t="shared" si="88"/>
        <v>0</v>
      </c>
      <c r="X349" s="103" t="e">
        <f t="shared" si="89"/>
        <v>#REF!</v>
      </c>
      <c r="Y349" s="103" t="e">
        <f t="shared" si="90"/>
        <v>#REF!</v>
      </c>
      <c r="Z349" s="104" t="e">
        <f t="shared" si="91"/>
        <v>#REF!</v>
      </c>
      <c r="AA349" s="104" t="e">
        <f t="shared" si="91"/>
        <v>#REF!</v>
      </c>
      <c r="AC349" s="103" t="e">
        <f t="shared" si="92"/>
        <v>#REF!</v>
      </c>
      <c r="AD349" s="103" t="e">
        <f t="shared" si="93"/>
        <v>#REF!</v>
      </c>
      <c r="AE349" s="104" t="e">
        <f t="shared" si="94"/>
        <v>#REF!</v>
      </c>
      <c r="AF349" s="104" t="e">
        <f t="shared" si="94"/>
        <v>#REF!</v>
      </c>
      <c r="AH349" s="103" t="e">
        <f t="shared" si="95"/>
        <v>#REF!</v>
      </c>
      <c r="AI349" s="103" t="e">
        <f t="shared" si="96"/>
        <v>#REF!</v>
      </c>
      <c r="AJ349" s="104" t="e">
        <f t="shared" si="97"/>
        <v>#REF!</v>
      </c>
      <c r="AK349" s="104" t="e">
        <f t="shared" si="97"/>
        <v>#REF!</v>
      </c>
    </row>
    <row r="350" spans="19:37">
      <c r="S350" s="103">
        <f t="shared" si="86"/>
        <v>0</v>
      </c>
      <c r="T350" s="103">
        <f t="shared" si="87"/>
        <v>0</v>
      </c>
      <c r="U350" s="104">
        <f t="shared" si="88"/>
        <v>0</v>
      </c>
      <c r="V350" s="104">
        <f t="shared" si="88"/>
        <v>0</v>
      </c>
      <c r="X350" s="103" t="e">
        <f t="shared" si="89"/>
        <v>#REF!</v>
      </c>
      <c r="Y350" s="103" t="e">
        <f t="shared" si="90"/>
        <v>#REF!</v>
      </c>
      <c r="Z350" s="104" t="e">
        <f t="shared" si="91"/>
        <v>#REF!</v>
      </c>
      <c r="AA350" s="104" t="e">
        <f t="shared" si="91"/>
        <v>#REF!</v>
      </c>
      <c r="AC350" s="103" t="e">
        <f t="shared" si="92"/>
        <v>#REF!</v>
      </c>
      <c r="AD350" s="103" t="e">
        <f t="shared" si="93"/>
        <v>#REF!</v>
      </c>
      <c r="AE350" s="104" t="e">
        <f t="shared" si="94"/>
        <v>#REF!</v>
      </c>
      <c r="AF350" s="104" t="e">
        <f t="shared" si="94"/>
        <v>#REF!</v>
      </c>
      <c r="AH350" s="103" t="e">
        <f t="shared" si="95"/>
        <v>#REF!</v>
      </c>
      <c r="AI350" s="103" t="e">
        <f t="shared" si="96"/>
        <v>#REF!</v>
      </c>
      <c r="AJ350" s="104" t="e">
        <f t="shared" si="97"/>
        <v>#REF!</v>
      </c>
      <c r="AK350" s="104" t="e">
        <f t="shared" si="97"/>
        <v>#REF!</v>
      </c>
    </row>
    <row r="351" spans="19:37">
      <c r="S351" s="103">
        <f t="shared" si="86"/>
        <v>0</v>
      </c>
      <c r="T351" s="103">
        <f t="shared" si="87"/>
        <v>0</v>
      </c>
      <c r="U351" s="104">
        <f t="shared" si="88"/>
        <v>0</v>
      </c>
      <c r="V351" s="104">
        <f t="shared" si="88"/>
        <v>0</v>
      </c>
      <c r="X351" s="103" t="e">
        <f t="shared" si="89"/>
        <v>#REF!</v>
      </c>
      <c r="Y351" s="103" t="e">
        <f t="shared" si="90"/>
        <v>#REF!</v>
      </c>
      <c r="Z351" s="104" t="e">
        <f t="shared" si="91"/>
        <v>#REF!</v>
      </c>
      <c r="AA351" s="104" t="e">
        <f t="shared" si="91"/>
        <v>#REF!</v>
      </c>
      <c r="AC351" s="103" t="e">
        <f t="shared" si="92"/>
        <v>#REF!</v>
      </c>
      <c r="AD351" s="103" t="e">
        <f t="shared" si="93"/>
        <v>#REF!</v>
      </c>
      <c r="AE351" s="104" t="e">
        <f t="shared" si="94"/>
        <v>#REF!</v>
      </c>
      <c r="AF351" s="104" t="e">
        <f t="shared" si="94"/>
        <v>#REF!</v>
      </c>
      <c r="AH351" s="103" t="e">
        <f t="shared" si="95"/>
        <v>#REF!</v>
      </c>
      <c r="AI351" s="103" t="e">
        <f t="shared" si="96"/>
        <v>#REF!</v>
      </c>
      <c r="AJ351" s="104" t="e">
        <f t="shared" si="97"/>
        <v>#REF!</v>
      </c>
      <c r="AK351" s="104" t="e">
        <f t="shared" si="97"/>
        <v>#REF!</v>
      </c>
    </row>
    <row r="352" spans="19:37">
      <c r="S352" s="103">
        <f t="shared" si="86"/>
        <v>0</v>
      </c>
      <c r="T352" s="103">
        <f t="shared" si="87"/>
        <v>0</v>
      </c>
      <c r="U352" s="104">
        <f t="shared" si="88"/>
        <v>0</v>
      </c>
      <c r="V352" s="104">
        <f t="shared" si="88"/>
        <v>0</v>
      </c>
      <c r="X352" s="103" t="e">
        <f t="shared" si="89"/>
        <v>#REF!</v>
      </c>
      <c r="Y352" s="103" t="e">
        <f t="shared" si="90"/>
        <v>#REF!</v>
      </c>
      <c r="Z352" s="104" t="e">
        <f t="shared" si="91"/>
        <v>#REF!</v>
      </c>
      <c r="AA352" s="104" t="e">
        <f t="shared" si="91"/>
        <v>#REF!</v>
      </c>
      <c r="AC352" s="103" t="e">
        <f t="shared" si="92"/>
        <v>#REF!</v>
      </c>
      <c r="AD352" s="103" t="e">
        <f t="shared" si="93"/>
        <v>#REF!</v>
      </c>
      <c r="AE352" s="104" t="e">
        <f t="shared" si="94"/>
        <v>#REF!</v>
      </c>
      <c r="AF352" s="104" t="e">
        <f t="shared" si="94"/>
        <v>#REF!</v>
      </c>
      <c r="AH352" s="103" t="e">
        <f t="shared" si="95"/>
        <v>#REF!</v>
      </c>
      <c r="AI352" s="103" t="e">
        <f t="shared" si="96"/>
        <v>#REF!</v>
      </c>
      <c r="AJ352" s="104" t="e">
        <f t="shared" si="97"/>
        <v>#REF!</v>
      </c>
      <c r="AK352" s="104" t="e">
        <f t="shared" si="97"/>
        <v>#REF!</v>
      </c>
    </row>
    <row r="353" spans="19:37">
      <c r="S353" s="103">
        <f t="shared" si="86"/>
        <v>0</v>
      </c>
      <c r="T353" s="103">
        <f t="shared" si="87"/>
        <v>0</v>
      </c>
      <c r="U353" s="104">
        <f t="shared" si="88"/>
        <v>0</v>
      </c>
      <c r="V353" s="104">
        <f t="shared" si="88"/>
        <v>0</v>
      </c>
      <c r="X353" s="103" t="e">
        <f t="shared" si="89"/>
        <v>#REF!</v>
      </c>
      <c r="Y353" s="103" t="e">
        <f t="shared" si="90"/>
        <v>#REF!</v>
      </c>
      <c r="Z353" s="104" t="e">
        <f t="shared" si="91"/>
        <v>#REF!</v>
      </c>
      <c r="AA353" s="104" t="e">
        <f t="shared" si="91"/>
        <v>#REF!</v>
      </c>
      <c r="AC353" s="103" t="e">
        <f t="shared" si="92"/>
        <v>#REF!</v>
      </c>
      <c r="AD353" s="103" t="e">
        <f t="shared" si="93"/>
        <v>#REF!</v>
      </c>
      <c r="AE353" s="104" t="e">
        <f t="shared" si="94"/>
        <v>#REF!</v>
      </c>
      <c r="AF353" s="104" t="e">
        <f t="shared" si="94"/>
        <v>#REF!</v>
      </c>
      <c r="AH353" s="103" t="e">
        <f t="shared" si="95"/>
        <v>#REF!</v>
      </c>
      <c r="AI353" s="103" t="e">
        <f t="shared" si="96"/>
        <v>#REF!</v>
      </c>
      <c r="AJ353" s="104" t="e">
        <f t="shared" si="97"/>
        <v>#REF!</v>
      </c>
      <c r="AK353" s="104" t="e">
        <f t="shared" si="97"/>
        <v>#REF!</v>
      </c>
    </row>
    <row r="354" spans="19:37">
      <c r="S354" s="103">
        <f t="shared" si="86"/>
        <v>0</v>
      </c>
      <c r="T354" s="103">
        <f t="shared" si="87"/>
        <v>0</v>
      </c>
      <c r="U354" s="104">
        <f t="shared" si="88"/>
        <v>0</v>
      </c>
      <c r="V354" s="104">
        <f t="shared" si="88"/>
        <v>0</v>
      </c>
      <c r="X354" s="103" t="e">
        <f t="shared" si="89"/>
        <v>#REF!</v>
      </c>
      <c r="Y354" s="103" t="e">
        <f t="shared" si="90"/>
        <v>#REF!</v>
      </c>
      <c r="Z354" s="104" t="e">
        <f t="shared" si="91"/>
        <v>#REF!</v>
      </c>
      <c r="AA354" s="104" t="e">
        <f t="shared" si="91"/>
        <v>#REF!</v>
      </c>
      <c r="AC354" s="103" t="e">
        <f t="shared" si="92"/>
        <v>#REF!</v>
      </c>
      <c r="AD354" s="103" t="e">
        <f t="shared" si="93"/>
        <v>#REF!</v>
      </c>
      <c r="AE354" s="104" t="e">
        <f t="shared" si="94"/>
        <v>#REF!</v>
      </c>
      <c r="AF354" s="104" t="e">
        <f t="shared" si="94"/>
        <v>#REF!</v>
      </c>
      <c r="AH354" s="103" t="e">
        <f t="shared" si="95"/>
        <v>#REF!</v>
      </c>
      <c r="AI354" s="103" t="e">
        <f t="shared" si="96"/>
        <v>#REF!</v>
      </c>
      <c r="AJ354" s="104" t="e">
        <f t="shared" si="97"/>
        <v>#REF!</v>
      </c>
      <c r="AK354" s="104" t="e">
        <f t="shared" si="97"/>
        <v>#REF!</v>
      </c>
    </row>
    <row r="355" spans="19:37">
      <c r="S355" s="103">
        <f t="shared" si="86"/>
        <v>0</v>
      </c>
      <c r="T355" s="103">
        <f t="shared" si="87"/>
        <v>0</v>
      </c>
      <c r="U355" s="104">
        <f t="shared" si="88"/>
        <v>0</v>
      </c>
      <c r="V355" s="104">
        <f t="shared" si="88"/>
        <v>0</v>
      </c>
      <c r="X355" s="103" t="e">
        <f t="shared" si="89"/>
        <v>#REF!</v>
      </c>
      <c r="Y355" s="103" t="e">
        <f t="shared" si="90"/>
        <v>#REF!</v>
      </c>
      <c r="Z355" s="104" t="e">
        <f t="shared" si="91"/>
        <v>#REF!</v>
      </c>
      <c r="AA355" s="104" t="e">
        <f t="shared" si="91"/>
        <v>#REF!</v>
      </c>
      <c r="AC355" s="103" t="e">
        <f t="shared" si="92"/>
        <v>#REF!</v>
      </c>
      <c r="AD355" s="103" t="e">
        <f t="shared" si="93"/>
        <v>#REF!</v>
      </c>
      <c r="AE355" s="104" t="e">
        <f t="shared" si="94"/>
        <v>#REF!</v>
      </c>
      <c r="AF355" s="104" t="e">
        <f t="shared" si="94"/>
        <v>#REF!</v>
      </c>
      <c r="AH355" s="103" t="e">
        <f t="shared" si="95"/>
        <v>#REF!</v>
      </c>
      <c r="AI355" s="103" t="e">
        <f t="shared" si="96"/>
        <v>#REF!</v>
      </c>
      <c r="AJ355" s="104" t="e">
        <f t="shared" si="97"/>
        <v>#REF!</v>
      </c>
      <c r="AK355" s="104" t="e">
        <f t="shared" si="97"/>
        <v>#REF!</v>
      </c>
    </row>
    <row r="356" spans="19:37">
      <c r="S356" s="103">
        <f t="shared" si="86"/>
        <v>0</v>
      </c>
      <c r="T356" s="103">
        <f t="shared" si="87"/>
        <v>0</v>
      </c>
      <c r="U356" s="104">
        <f t="shared" si="88"/>
        <v>0</v>
      </c>
      <c r="V356" s="104">
        <f t="shared" si="88"/>
        <v>0</v>
      </c>
      <c r="X356" s="103" t="e">
        <f t="shared" si="89"/>
        <v>#REF!</v>
      </c>
      <c r="Y356" s="103" t="e">
        <f t="shared" si="90"/>
        <v>#REF!</v>
      </c>
      <c r="Z356" s="104" t="e">
        <f t="shared" si="91"/>
        <v>#REF!</v>
      </c>
      <c r="AA356" s="104" t="e">
        <f t="shared" si="91"/>
        <v>#REF!</v>
      </c>
      <c r="AC356" s="103" t="e">
        <f t="shared" si="92"/>
        <v>#REF!</v>
      </c>
      <c r="AD356" s="103" t="e">
        <f t="shared" si="93"/>
        <v>#REF!</v>
      </c>
      <c r="AE356" s="104" t="e">
        <f t="shared" si="94"/>
        <v>#REF!</v>
      </c>
      <c r="AF356" s="104" t="e">
        <f t="shared" si="94"/>
        <v>#REF!</v>
      </c>
      <c r="AH356" s="103" t="e">
        <f t="shared" si="95"/>
        <v>#REF!</v>
      </c>
      <c r="AI356" s="103" t="e">
        <f t="shared" si="96"/>
        <v>#REF!</v>
      </c>
      <c r="AJ356" s="104" t="e">
        <f t="shared" si="97"/>
        <v>#REF!</v>
      </c>
      <c r="AK356" s="104" t="e">
        <f t="shared" si="97"/>
        <v>#REF!</v>
      </c>
    </row>
    <row r="357" spans="19:37">
      <c r="S357" s="103">
        <f t="shared" si="86"/>
        <v>0</v>
      </c>
      <c r="T357" s="103">
        <f t="shared" si="87"/>
        <v>0</v>
      </c>
      <c r="U357" s="104">
        <f t="shared" si="88"/>
        <v>0</v>
      </c>
      <c r="V357" s="104">
        <f t="shared" si="88"/>
        <v>0</v>
      </c>
      <c r="X357" s="103" t="e">
        <f t="shared" si="89"/>
        <v>#REF!</v>
      </c>
      <c r="Y357" s="103" t="e">
        <f t="shared" si="90"/>
        <v>#REF!</v>
      </c>
      <c r="Z357" s="104" t="e">
        <f t="shared" si="91"/>
        <v>#REF!</v>
      </c>
      <c r="AA357" s="104" t="e">
        <f t="shared" si="91"/>
        <v>#REF!</v>
      </c>
      <c r="AC357" s="103" t="e">
        <f t="shared" si="92"/>
        <v>#REF!</v>
      </c>
      <c r="AD357" s="103" t="e">
        <f t="shared" si="93"/>
        <v>#REF!</v>
      </c>
      <c r="AE357" s="104" t="e">
        <f t="shared" si="94"/>
        <v>#REF!</v>
      </c>
      <c r="AF357" s="104" t="e">
        <f t="shared" si="94"/>
        <v>#REF!</v>
      </c>
      <c r="AH357" s="103" t="e">
        <f t="shared" si="95"/>
        <v>#REF!</v>
      </c>
      <c r="AI357" s="103" t="e">
        <f t="shared" si="96"/>
        <v>#REF!</v>
      </c>
      <c r="AJ357" s="104" t="e">
        <f t="shared" si="97"/>
        <v>#REF!</v>
      </c>
      <c r="AK357" s="104" t="e">
        <f t="shared" si="97"/>
        <v>#REF!</v>
      </c>
    </row>
    <row r="358" spans="19:37">
      <c r="S358" s="103">
        <f t="shared" si="86"/>
        <v>0</v>
      </c>
      <c r="T358" s="103">
        <f t="shared" si="87"/>
        <v>0</v>
      </c>
      <c r="U358" s="104">
        <f t="shared" si="88"/>
        <v>0</v>
      </c>
      <c r="V358" s="104">
        <f t="shared" si="88"/>
        <v>0</v>
      </c>
      <c r="X358" s="103" t="e">
        <f t="shared" si="89"/>
        <v>#REF!</v>
      </c>
      <c r="Y358" s="103" t="e">
        <f t="shared" si="90"/>
        <v>#REF!</v>
      </c>
      <c r="Z358" s="104" t="e">
        <f t="shared" si="91"/>
        <v>#REF!</v>
      </c>
      <c r="AA358" s="104" t="e">
        <f t="shared" si="91"/>
        <v>#REF!</v>
      </c>
      <c r="AC358" s="103" t="e">
        <f t="shared" si="92"/>
        <v>#REF!</v>
      </c>
      <c r="AD358" s="103" t="e">
        <f t="shared" si="93"/>
        <v>#REF!</v>
      </c>
      <c r="AE358" s="104" t="e">
        <f t="shared" si="94"/>
        <v>#REF!</v>
      </c>
      <c r="AF358" s="104" t="e">
        <f t="shared" si="94"/>
        <v>#REF!</v>
      </c>
      <c r="AH358" s="103" t="e">
        <f t="shared" si="95"/>
        <v>#REF!</v>
      </c>
      <c r="AI358" s="103" t="e">
        <f t="shared" si="96"/>
        <v>#REF!</v>
      </c>
      <c r="AJ358" s="104" t="e">
        <f t="shared" si="97"/>
        <v>#REF!</v>
      </c>
      <c r="AK358" s="104" t="e">
        <f t="shared" si="97"/>
        <v>#REF!</v>
      </c>
    </row>
    <row r="359" spans="19:37">
      <c r="S359" s="103">
        <f t="shared" si="86"/>
        <v>0</v>
      </c>
      <c r="T359" s="103">
        <f t="shared" si="87"/>
        <v>0</v>
      </c>
      <c r="U359" s="104">
        <f t="shared" si="88"/>
        <v>0</v>
      </c>
      <c r="V359" s="104">
        <f t="shared" si="88"/>
        <v>0</v>
      </c>
      <c r="X359" s="103" t="e">
        <f t="shared" si="89"/>
        <v>#REF!</v>
      </c>
      <c r="Y359" s="103" t="e">
        <f t="shared" si="90"/>
        <v>#REF!</v>
      </c>
      <c r="Z359" s="104" t="e">
        <f t="shared" si="91"/>
        <v>#REF!</v>
      </c>
      <c r="AA359" s="104" t="e">
        <f t="shared" si="91"/>
        <v>#REF!</v>
      </c>
      <c r="AC359" s="103" t="e">
        <f t="shared" si="92"/>
        <v>#REF!</v>
      </c>
      <c r="AD359" s="103" t="e">
        <f t="shared" si="93"/>
        <v>#REF!</v>
      </c>
      <c r="AE359" s="104" t="e">
        <f t="shared" si="94"/>
        <v>#REF!</v>
      </c>
      <c r="AF359" s="104" t="e">
        <f t="shared" si="94"/>
        <v>#REF!</v>
      </c>
      <c r="AH359" s="103" t="e">
        <f t="shared" si="95"/>
        <v>#REF!</v>
      </c>
      <c r="AI359" s="103" t="e">
        <f t="shared" si="96"/>
        <v>#REF!</v>
      </c>
      <c r="AJ359" s="104" t="e">
        <f t="shared" si="97"/>
        <v>#REF!</v>
      </c>
      <c r="AK359" s="104" t="e">
        <f t="shared" si="97"/>
        <v>#REF!</v>
      </c>
    </row>
    <row r="360" spans="19:37">
      <c r="S360" s="103">
        <f t="shared" si="86"/>
        <v>0</v>
      </c>
      <c r="T360" s="103">
        <f t="shared" si="87"/>
        <v>0</v>
      </c>
      <c r="U360" s="104">
        <f t="shared" si="88"/>
        <v>0</v>
      </c>
      <c r="V360" s="104">
        <f t="shared" si="88"/>
        <v>0</v>
      </c>
      <c r="X360" s="103" t="e">
        <f t="shared" si="89"/>
        <v>#REF!</v>
      </c>
      <c r="Y360" s="103" t="e">
        <f t="shared" si="90"/>
        <v>#REF!</v>
      </c>
      <c r="Z360" s="104" t="e">
        <f t="shared" si="91"/>
        <v>#REF!</v>
      </c>
      <c r="AA360" s="104" t="e">
        <f t="shared" si="91"/>
        <v>#REF!</v>
      </c>
      <c r="AC360" s="103" t="e">
        <f t="shared" si="92"/>
        <v>#REF!</v>
      </c>
      <c r="AD360" s="103" t="e">
        <f t="shared" si="93"/>
        <v>#REF!</v>
      </c>
      <c r="AE360" s="104" t="e">
        <f t="shared" si="94"/>
        <v>#REF!</v>
      </c>
      <c r="AF360" s="104" t="e">
        <f t="shared" si="94"/>
        <v>#REF!</v>
      </c>
      <c r="AH360" s="103" t="e">
        <f t="shared" si="95"/>
        <v>#REF!</v>
      </c>
      <c r="AI360" s="103" t="e">
        <f t="shared" si="96"/>
        <v>#REF!</v>
      </c>
      <c r="AJ360" s="104" t="e">
        <f t="shared" si="97"/>
        <v>#REF!</v>
      </c>
      <c r="AK360" s="104" t="e">
        <f t="shared" si="97"/>
        <v>#REF!</v>
      </c>
    </row>
    <row r="361" spans="19:37">
      <c r="S361" s="103">
        <f t="shared" si="86"/>
        <v>0</v>
      </c>
      <c r="T361" s="103">
        <f t="shared" si="87"/>
        <v>0</v>
      </c>
      <c r="U361" s="104">
        <f t="shared" si="88"/>
        <v>0</v>
      </c>
      <c r="V361" s="104">
        <f t="shared" si="88"/>
        <v>0</v>
      </c>
      <c r="X361" s="103" t="e">
        <f t="shared" si="89"/>
        <v>#REF!</v>
      </c>
      <c r="Y361" s="103" t="e">
        <f t="shared" si="90"/>
        <v>#REF!</v>
      </c>
      <c r="Z361" s="104" t="e">
        <f t="shared" si="91"/>
        <v>#REF!</v>
      </c>
      <c r="AA361" s="104" t="e">
        <f t="shared" si="91"/>
        <v>#REF!</v>
      </c>
      <c r="AC361" s="103" t="e">
        <f t="shared" si="92"/>
        <v>#REF!</v>
      </c>
      <c r="AD361" s="103" t="e">
        <f t="shared" si="93"/>
        <v>#REF!</v>
      </c>
      <c r="AE361" s="104" t="e">
        <f t="shared" si="94"/>
        <v>#REF!</v>
      </c>
      <c r="AF361" s="104" t="e">
        <f t="shared" si="94"/>
        <v>#REF!</v>
      </c>
      <c r="AH361" s="103" t="e">
        <f t="shared" si="95"/>
        <v>#REF!</v>
      </c>
      <c r="AI361" s="103" t="e">
        <f t="shared" si="96"/>
        <v>#REF!</v>
      </c>
      <c r="AJ361" s="104" t="e">
        <f t="shared" si="97"/>
        <v>#REF!</v>
      </c>
      <c r="AK361" s="104" t="e">
        <f t="shared" si="97"/>
        <v>#REF!</v>
      </c>
    </row>
    <row r="362" spans="19:37">
      <c r="S362" s="103">
        <f t="shared" si="86"/>
        <v>0</v>
      </c>
      <c r="T362" s="103">
        <f t="shared" si="87"/>
        <v>0</v>
      </c>
      <c r="U362" s="104">
        <f t="shared" si="88"/>
        <v>0</v>
      </c>
      <c r="V362" s="104">
        <f t="shared" si="88"/>
        <v>0</v>
      </c>
      <c r="X362" s="103" t="e">
        <f t="shared" si="89"/>
        <v>#REF!</v>
      </c>
      <c r="Y362" s="103" t="e">
        <f t="shared" si="90"/>
        <v>#REF!</v>
      </c>
      <c r="Z362" s="104" t="e">
        <f t="shared" si="91"/>
        <v>#REF!</v>
      </c>
      <c r="AA362" s="104" t="e">
        <f t="shared" si="91"/>
        <v>#REF!</v>
      </c>
      <c r="AC362" s="103" t="e">
        <f t="shared" si="92"/>
        <v>#REF!</v>
      </c>
      <c r="AD362" s="103" t="e">
        <f t="shared" si="93"/>
        <v>#REF!</v>
      </c>
      <c r="AE362" s="104" t="e">
        <f t="shared" si="94"/>
        <v>#REF!</v>
      </c>
      <c r="AF362" s="104" t="e">
        <f t="shared" si="94"/>
        <v>#REF!</v>
      </c>
      <c r="AH362" s="103" t="e">
        <f t="shared" si="95"/>
        <v>#REF!</v>
      </c>
      <c r="AI362" s="103" t="e">
        <f t="shared" si="96"/>
        <v>#REF!</v>
      </c>
      <c r="AJ362" s="104" t="e">
        <f t="shared" si="97"/>
        <v>#REF!</v>
      </c>
      <c r="AK362" s="104" t="e">
        <f t="shared" si="97"/>
        <v>#REF!</v>
      </c>
    </row>
    <row r="363" spans="19:37">
      <c r="S363" s="103">
        <f t="shared" si="86"/>
        <v>0</v>
      </c>
      <c r="T363" s="103">
        <f t="shared" si="87"/>
        <v>0</v>
      </c>
      <c r="U363" s="104">
        <f t="shared" si="88"/>
        <v>0</v>
      </c>
      <c r="V363" s="104">
        <f t="shared" si="88"/>
        <v>0</v>
      </c>
      <c r="X363" s="103" t="e">
        <f t="shared" si="89"/>
        <v>#REF!</v>
      </c>
      <c r="Y363" s="103" t="e">
        <f t="shared" si="90"/>
        <v>#REF!</v>
      </c>
      <c r="Z363" s="104" t="e">
        <f t="shared" si="91"/>
        <v>#REF!</v>
      </c>
      <c r="AA363" s="104" t="e">
        <f t="shared" si="91"/>
        <v>#REF!</v>
      </c>
      <c r="AC363" s="103" t="e">
        <f t="shared" si="92"/>
        <v>#REF!</v>
      </c>
      <c r="AD363" s="103" t="e">
        <f t="shared" si="93"/>
        <v>#REF!</v>
      </c>
      <c r="AE363" s="104" t="e">
        <f t="shared" si="94"/>
        <v>#REF!</v>
      </c>
      <c r="AF363" s="104" t="e">
        <f t="shared" si="94"/>
        <v>#REF!</v>
      </c>
      <c r="AH363" s="103" t="e">
        <f t="shared" si="95"/>
        <v>#REF!</v>
      </c>
      <c r="AI363" s="103" t="e">
        <f t="shared" si="96"/>
        <v>#REF!</v>
      </c>
      <c r="AJ363" s="104" t="e">
        <f t="shared" si="97"/>
        <v>#REF!</v>
      </c>
      <c r="AK363" s="104" t="e">
        <f t="shared" si="97"/>
        <v>#REF!</v>
      </c>
    </row>
    <row r="364" spans="19:37">
      <c r="S364" s="103">
        <f t="shared" si="86"/>
        <v>0</v>
      </c>
      <c r="T364" s="103">
        <f t="shared" si="87"/>
        <v>0</v>
      </c>
      <c r="U364" s="104">
        <f t="shared" si="88"/>
        <v>0</v>
      </c>
      <c r="V364" s="104">
        <f t="shared" si="88"/>
        <v>0</v>
      </c>
      <c r="X364" s="103" t="e">
        <f t="shared" si="89"/>
        <v>#REF!</v>
      </c>
      <c r="Y364" s="103" t="e">
        <f t="shared" si="90"/>
        <v>#REF!</v>
      </c>
      <c r="Z364" s="104" t="e">
        <f t="shared" si="91"/>
        <v>#REF!</v>
      </c>
      <c r="AA364" s="104" t="e">
        <f t="shared" si="91"/>
        <v>#REF!</v>
      </c>
      <c r="AC364" s="103" t="e">
        <f t="shared" si="92"/>
        <v>#REF!</v>
      </c>
      <c r="AD364" s="103" t="e">
        <f t="shared" si="93"/>
        <v>#REF!</v>
      </c>
      <c r="AE364" s="104" t="e">
        <f t="shared" si="94"/>
        <v>#REF!</v>
      </c>
      <c r="AF364" s="104" t="e">
        <f t="shared" si="94"/>
        <v>#REF!</v>
      </c>
      <c r="AH364" s="103" t="e">
        <f t="shared" si="95"/>
        <v>#REF!</v>
      </c>
      <c r="AI364" s="103" t="e">
        <f t="shared" si="96"/>
        <v>#REF!</v>
      </c>
      <c r="AJ364" s="104" t="e">
        <f t="shared" si="97"/>
        <v>#REF!</v>
      </c>
      <c r="AK364" s="104" t="e">
        <f t="shared" si="97"/>
        <v>#REF!</v>
      </c>
    </row>
    <row r="365" spans="19:37">
      <c r="S365" s="103">
        <f t="shared" si="86"/>
        <v>0</v>
      </c>
      <c r="T365" s="103">
        <f t="shared" si="87"/>
        <v>0</v>
      </c>
      <c r="U365" s="104">
        <f t="shared" si="88"/>
        <v>0</v>
      </c>
      <c r="V365" s="104">
        <f t="shared" si="88"/>
        <v>0</v>
      </c>
      <c r="X365" s="103" t="e">
        <f t="shared" si="89"/>
        <v>#REF!</v>
      </c>
      <c r="Y365" s="103" t="e">
        <f t="shared" si="90"/>
        <v>#REF!</v>
      </c>
      <c r="Z365" s="104" t="e">
        <f t="shared" si="91"/>
        <v>#REF!</v>
      </c>
      <c r="AA365" s="104" t="e">
        <f t="shared" si="91"/>
        <v>#REF!</v>
      </c>
      <c r="AC365" s="103" t="e">
        <f t="shared" si="92"/>
        <v>#REF!</v>
      </c>
      <c r="AD365" s="103" t="e">
        <f t="shared" si="93"/>
        <v>#REF!</v>
      </c>
      <c r="AE365" s="104" t="e">
        <f t="shared" si="94"/>
        <v>#REF!</v>
      </c>
      <c r="AF365" s="104" t="e">
        <f t="shared" si="94"/>
        <v>#REF!</v>
      </c>
      <c r="AH365" s="103" t="e">
        <f t="shared" si="95"/>
        <v>#REF!</v>
      </c>
      <c r="AI365" s="103" t="e">
        <f t="shared" si="96"/>
        <v>#REF!</v>
      </c>
      <c r="AJ365" s="104" t="e">
        <f t="shared" si="97"/>
        <v>#REF!</v>
      </c>
      <c r="AK365" s="104" t="e">
        <f t="shared" si="97"/>
        <v>#REF!</v>
      </c>
    </row>
    <row r="366" spans="19:37">
      <c r="S366" s="103">
        <f t="shared" si="86"/>
        <v>0</v>
      </c>
      <c r="T366" s="103">
        <f t="shared" si="87"/>
        <v>0</v>
      </c>
      <c r="U366" s="104">
        <f t="shared" si="88"/>
        <v>0</v>
      </c>
      <c r="V366" s="104">
        <f t="shared" si="88"/>
        <v>0</v>
      </c>
      <c r="X366" s="103" t="e">
        <f t="shared" si="89"/>
        <v>#REF!</v>
      </c>
      <c r="Y366" s="103" t="e">
        <f t="shared" si="90"/>
        <v>#REF!</v>
      </c>
      <c r="Z366" s="104" t="e">
        <f t="shared" si="91"/>
        <v>#REF!</v>
      </c>
      <c r="AA366" s="104" t="e">
        <f t="shared" si="91"/>
        <v>#REF!</v>
      </c>
      <c r="AC366" s="103" t="e">
        <f t="shared" si="92"/>
        <v>#REF!</v>
      </c>
      <c r="AD366" s="103" t="e">
        <f t="shared" si="93"/>
        <v>#REF!</v>
      </c>
      <c r="AE366" s="104" t="e">
        <f t="shared" si="94"/>
        <v>#REF!</v>
      </c>
      <c r="AF366" s="104" t="e">
        <f t="shared" si="94"/>
        <v>#REF!</v>
      </c>
      <c r="AH366" s="103" t="e">
        <f t="shared" si="95"/>
        <v>#REF!</v>
      </c>
      <c r="AI366" s="103" t="e">
        <f t="shared" si="96"/>
        <v>#REF!</v>
      </c>
      <c r="AJ366" s="104" t="e">
        <f t="shared" si="97"/>
        <v>#REF!</v>
      </c>
      <c r="AK366" s="104" t="e">
        <f t="shared" si="97"/>
        <v>#REF!</v>
      </c>
    </row>
    <row r="367" spans="19:37">
      <c r="S367" s="103">
        <f t="shared" si="86"/>
        <v>0</v>
      </c>
      <c r="T367" s="103">
        <f t="shared" si="87"/>
        <v>0</v>
      </c>
      <c r="U367" s="104">
        <f t="shared" si="88"/>
        <v>0</v>
      </c>
      <c r="V367" s="104">
        <f t="shared" si="88"/>
        <v>0</v>
      </c>
      <c r="X367" s="103" t="e">
        <f t="shared" si="89"/>
        <v>#REF!</v>
      </c>
      <c r="Y367" s="103" t="e">
        <f t="shared" si="90"/>
        <v>#REF!</v>
      </c>
      <c r="Z367" s="104" t="e">
        <f t="shared" si="91"/>
        <v>#REF!</v>
      </c>
      <c r="AA367" s="104" t="e">
        <f t="shared" si="91"/>
        <v>#REF!</v>
      </c>
      <c r="AC367" s="103" t="e">
        <f t="shared" si="92"/>
        <v>#REF!</v>
      </c>
      <c r="AD367" s="103" t="e">
        <f t="shared" si="93"/>
        <v>#REF!</v>
      </c>
      <c r="AE367" s="104" t="e">
        <f t="shared" si="94"/>
        <v>#REF!</v>
      </c>
      <c r="AF367" s="104" t="e">
        <f t="shared" si="94"/>
        <v>#REF!</v>
      </c>
      <c r="AH367" s="103" t="e">
        <f t="shared" si="95"/>
        <v>#REF!</v>
      </c>
      <c r="AI367" s="103" t="e">
        <f t="shared" si="96"/>
        <v>#REF!</v>
      </c>
      <c r="AJ367" s="104" t="e">
        <f t="shared" si="97"/>
        <v>#REF!</v>
      </c>
      <c r="AK367" s="104" t="e">
        <f t="shared" si="97"/>
        <v>#REF!</v>
      </c>
    </row>
    <row r="368" spans="19:37">
      <c r="S368" s="103">
        <f t="shared" si="86"/>
        <v>0</v>
      </c>
      <c r="T368" s="103">
        <f t="shared" si="87"/>
        <v>0</v>
      </c>
      <c r="U368" s="104">
        <f t="shared" si="88"/>
        <v>0</v>
      </c>
      <c r="V368" s="104">
        <f t="shared" si="88"/>
        <v>0</v>
      </c>
      <c r="X368" s="103" t="e">
        <f t="shared" si="89"/>
        <v>#REF!</v>
      </c>
      <c r="Y368" s="103" t="e">
        <f t="shared" si="90"/>
        <v>#REF!</v>
      </c>
      <c r="Z368" s="104" t="e">
        <f t="shared" si="91"/>
        <v>#REF!</v>
      </c>
      <c r="AA368" s="104" t="e">
        <f t="shared" si="91"/>
        <v>#REF!</v>
      </c>
      <c r="AC368" s="103" t="e">
        <f t="shared" si="92"/>
        <v>#REF!</v>
      </c>
      <c r="AD368" s="103" t="e">
        <f t="shared" si="93"/>
        <v>#REF!</v>
      </c>
      <c r="AE368" s="104" t="e">
        <f t="shared" si="94"/>
        <v>#REF!</v>
      </c>
      <c r="AF368" s="104" t="e">
        <f t="shared" si="94"/>
        <v>#REF!</v>
      </c>
      <c r="AH368" s="103" t="e">
        <f t="shared" si="95"/>
        <v>#REF!</v>
      </c>
      <c r="AI368" s="103" t="e">
        <f t="shared" si="96"/>
        <v>#REF!</v>
      </c>
      <c r="AJ368" s="104" t="e">
        <f t="shared" si="97"/>
        <v>#REF!</v>
      </c>
      <c r="AK368" s="104" t="e">
        <f t="shared" si="97"/>
        <v>#REF!</v>
      </c>
    </row>
    <row r="369" spans="1:37">
      <c r="S369" s="103">
        <f t="shared" si="86"/>
        <v>0</v>
      </c>
      <c r="T369" s="103">
        <f t="shared" si="87"/>
        <v>0</v>
      </c>
      <c r="U369" s="104">
        <f t="shared" si="88"/>
        <v>0</v>
      </c>
      <c r="V369" s="104">
        <f t="shared" si="88"/>
        <v>0</v>
      </c>
      <c r="X369" s="103" t="e">
        <f t="shared" si="89"/>
        <v>#REF!</v>
      </c>
      <c r="Y369" s="103" t="e">
        <f t="shared" si="90"/>
        <v>#REF!</v>
      </c>
      <c r="Z369" s="104" t="e">
        <f t="shared" si="91"/>
        <v>#REF!</v>
      </c>
      <c r="AA369" s="104" t="e">
        <f t="shared" si="91"/>
        <v>#REF!</v>
      </c>
      <c r="AC369" s="103" t="e">
        <f t="shared" si="92"/>
        <v>#REF!</v>
      </c>
      <c r="AD369" s="103" t="e">
        <f t="shared" si="93"/>
        <v>#REF!</v>
      </c>
      <c r="AE369" s="104" t="e">
        <f t="shared" si="94"/>
        <v>#REF!</v>
      </c>
      <c r="AF369" s="104" t="e">
        <f t="shared" si="94"/>
        <v>#REF!</v>
      </c>
      <c r="AH369" s="103" t="e">
        <f t="shared" si="95"/>
        <v>#REF!</v>
      </c>
      <c r="AI369" s="103" t="e">
        <f t="shared" si="96"/>
        <v>#REF!</v>
      </c>
      <c r="AJ369" s="104" t="e">
        <f t="shared" si="97"/>
        <v>#REF!</v>
      </c>
      <c r="AK369" s="104" t="e">
        <f t="shared" si="97"/>
        <v>#REF!</v>
      </c>
    </row>
    <row r="370" spans="1:37">
      <c r="S370" s="103">
        <f t="shared" si="86"/>
        <v>0</v>
      </c>
      <c r="T370" s="103">
        <f t="shared" si="87"/>
        <v>0</v>
      </c>
      <c r="U370" s="104">
        <f t="shared" si="88"/>
        <v>0</v>
      </c>
      <c r="V370" s="104">
        <f t="shared" si="88"/>
        <v>0</v>
      </c>
      <c r="X370" s="103" t="e">
        <f t="shared" si="89"/>
        <v>#REF!</v>
      </c>
      <c r="Y370" s="103" t="e">
        <f t="shared" si="90"/>
        <v>#REF!</v>
      </c>
      <c r="Z370" s="104" t="e">
        <f t="shared" si="91"/>
        <v>#REF!</v>
      </c>
      <c r="AA370" s="104" t="e">
        <f t="shared" si="91"/>
        <v>#REF!</v>
      </c>
      <c r="AC370" s="103" t="e">
        <f t="shared" si="92"/>
        <v>#REF!</v>
      </c>
      <c r="AD370" s="103" t="e">
        <f t="shared" si="93"/>
        <v>#REF!</v>
      </c>
      <c r="AE370" s="104" t="e">
        <f t="shared" si="94"/>
        <v>#REF!</v>
      </c>
      <c r="AF370" s="104" t="e">
        <f t="shared" si="94"/>
        <v>#REF!</v>
      </c>
      <c r="AH370" s="103" t="e">
        <f t="shared" si="95"/>
        <v>#REF!</v>
      </c>
      <c r="AI370" s="103" t="e">
        <f t="shared" si="96"/>
        <v>#REF!</v>
      </c>
      <c r="AJ370" s="104" t="e">
        <f t="shared" si="97"/>
        <v>#REF!</v>
      </c>
      <c r="AK370" s="104" t="e">
        <f t="shared" si="97"/>
        <v>#REF!</v>
      </c>
    </row>
    <row r="371" spans="1:37">
      <c r="S371" s="103">
        <f t="shared" si="86"/>
        <v>0</v>
      </c>
      <c r="T371" s="103">
        <f t="shared" si="87"/>
        <v>0</v>
      </c>
      <c r="U371" s="104">
        <f t="shared" si="88"/>
        <v>0</v>
      </c>
      <c r="V371" s="104">
        <f t="shared" si="88"/>
        <v>0</v>
      </c>
      <c r="X371" s="103" t="e">
        <f t="shared" si="89"/>
        <v>#REF!</v>
      </c>
      <c r="Y371" s="103" t="e">
        <f t="shared" si="90"/>
        <v>#REF!</v>
      </c>
      <c r="Z371" s="104" t="e">
        <f t="shared" si="91"/>
        <v>#REF!</v>
      </c>
      <c r="AA371" s="104" t="e">
        <f t="shared" si="91"/>
        <v>#REF!</v>
      </c>
      <c r="AC371" s="103" t="e">
        <f t="shared" si="92"/>
        <v>#REF!</v>
      </c>
      <c r="AD371" s="103" t="e">
        <f t="shared" si="93"/>
        <v>#REF!</v>
      </c>
      <c r="AE371" s="104" t="e">
        <f t="shared" si="94"/>
        <v>#REF!</v>
      </c>
      <c r="AF371" s="104" t="e">
        <f t="shared" si="94"/>
        <v>#REF!</v>
      </c>
      <c r="AH371" s="103" t="e">
        <f t="shared" si="95"/>
        <v>#REF!</v>
      </c>
      <c r="AI371" s="103" t="e">
        <f t="shared" si="96"/>
        <v>#REF!</v>
      </c>
      <c r="AJ371" s="104" t="e">
        <f t="shared" si="97"/>
        <v>#REF!</v>
      </c>
      <c r="AK371" s="104" t="e">
        <f t="shared" si="97"/>
        <v>#REF!</v>
      </c>
    </row>
    <row r="372" spans="1:37">
      <c r="S372" s="103">
        <f t="shared" si="86"/>
        <v>0</v>
      </c>
      <c r="T372" s="103">
        <f t="shared" si="87"/>
        <v>0</v>
      </c>
      <c r="U372" s="104">
        <f t="shared" si="88"/>
        <v>0</v>
      </c>
      <c r="V372" s="104">
        <f t="shared" si="88"/>
        <v>0</v>
      </c>
      <c r="X372" s="103" t="e">
        <f t="shared" si="89"/>
        <v>#REF!</v>
      </c>
      <c r="Y372" s="103" t="e">
        <f t="shared" si="90"/>
        <v>#REF!</v>
      </c>
      <c r="Z372" s="104" t="e">
        <f t="shared" si="91"/>
        <v>#REF!</v>
      </c>
      <c r="AA372" s="104" t="e">
        <f t="shared" si="91"/>
        <v>#REF!</v>
      </c>
      <c r="AC372" s="103" t="e">
        <f t="shared" si="92"/>
        <v>#REF!</v>
      </c>
      <c r="AD372" s="103" t="e">
        <f t="shared" si="93"/>
        <v>#REF!</v>
      </c>
      <c r="AE372" s="104" t="e">
        <f t="shared" si="94"/>
        <v>#REF!</v>
      </c>
      <c r="AF372" s="104" t="e">
        <f t="shared" si="94"/>
        <v>#REF!</v>
      </c>
      <c r="AH372" s="103" t="e">
        <f t="shared" si="95"/>
        <v>#REF!</v>
      </c>
      <c r="AI372" s="103" t="e">
        <f t="shared" si="96"/>
        <v>#REF!</v>
      </c>
      <c r="AJ372" s="104" t="e">
        <f t="shared" si="97"/>
        <v>#REF!</v>
      </c>
      <c r="AK372" s="104" t="e">
        <f t="shared" si="97"/>
        <v>#REF!</v>
      </c>
    </row>
    <row r="373" spans="1:37">
      <c r="B373">
        <v>133</v>
      </c>
      <c r="S373" s="103">
        <f t="shared" si="86"/>
        <v>0</v>
      </c>
      <c r="T373" s="103">
        <f t="shared" si="87"/>
        <v>0</v>
      </c>
      <c r="U373" s="104">
        <f t="shared" si="88"/>
        <v>0</v>
      </c>
      <c r="V373" s="104">
        <f t="shared" si="88"/>
        <v>0</v>
      </c>
      <c r="X373" s="103" t="e">
        <f t="shared" si="89"/>
        <v>#REF!</v>
      </c>
      <c r="Y373" s="103" t="e">
        <f t="shared" si="90"/>
        <v>#REF!</v>
      </c>
      <c r="Z373" s="104" t="e">
        <f t="shared" si="91"/>
        <v>#REF!</v>
      </c>
      <c r="AA373" s="104" t="e">
        <f t="shared" si="91"/>
        <v>#REF!</v>
      </c>
      <c r="AC373" s="103" t="e">
        <f t="shared" si="92"/>
        <v>#REF!</v>
      </c>
      <c r="AD373" s="103" t="e">
        <f t="shared" si="93"/>
        <v>#REF!</v>
      </c>
      <c r="AE373" s="104" t="e">
        <f t="shared" si="94"/>
        <v>#REF!</v>
      </c>
      <c r="AF373" s="104" t="e">
        <f t="shared" si="94"/>
        <v>#REF!</v>
      </c>
      <c r="AH373" s="103" t="e">
        <f t="shared" si="95"/>
        <v>#REF!</v>
      </c>
      <c r="AI373" s="103" t="e">
        <f t="shared" si="96"/>
        <v>#REF!</v>
      </c>
      <c r="AJ373" s="104" t="e">
        <f t="shared" si="97"/>
        <v>#REF!</v>
      </c>
      <c r="AK373" s="104" t="e">
        <f t="shared" si="97"/>
        <v>#REF!</v>
      </c>
    </row>
    <row r="374" spans="1:37">
      <c r="B374">
        <v>135</v>
      </c>
      <c r="S374" s="103">
        <f t="shared" si="86"/>
        <v>0</v>
      </c>
      <c r="T374" s="103">
        <f t="shared" si="87"/>
        <v>0</v>
      </c>
      <c r="U374" s="104">
        <f t="shared" si="88"/>
        <v>0</v>
      </c>
      <c r="V374" s="104">
        <f t="shared" si="88"/>
        <v>0</v>
      </c>
      <c r="X374" s="103" t="e">
        <f t="shared" si="89"/>
        <v>#REF!</v>
      </c>
      <c r="Y374" s="103" t="e">
        <f t="shared" si="90"/>
        <v>#REF!</v>
      </c>
      <c r="Z374" s="104" t="e">
        <f t="shared" si="91"/>
        <v>#REF!</v>
      </c>
      <c r="AA374" s="104" t="e">
        <f t="shared" si="91"/>
        <v>#REF!</v>
      </c>
      <c r="AC374" s="103" t="e">
        <f t="shared" si="92"/>
        <v>#REF!</v>
      </c>
      <c r="AD374" s="103" t="e">
        <f t="shared" si="93"/>
        <v>#REF!</v>
      </c>
      <c r="AE374" s="104" t="e">
        <f t="shared" si="94"/>
        <v>#REF!</v>
      </c>
      <c r="AF374" s="104" t="e">
        <f t="shared" si="94"/>
        <v>#REF!</v>
      </c>
      <c r="AH374" s="103" t="e">
        <f t="shared" si="95"/>
        <v>#REF!</v>
      </c>
      <c r="AI374" s="103" t="e">
        <f t="shared" si="96"/>
        <v>#REF!</v>
      </c>
      <c r="AJ374" s="104" t="e">
        <f t="shared" si="97"/>
        <v>#REF!</v>
      </c>
      <c r="AK374" s="104" t="e">
        <f t="shared" si="97"/>
        <v>#REF!</v>
      </c>
    </row>
    <row r="375" spans="1:37">
      <c r="B375" t="s">
        <v>243</v>
      </c>
      <c r="S375" s="103">
        <f t="shared" si="86"/>
        <v>0</v>
      </c>
      <c r="T375" s="103">
        <f t="shared" si="87"/>
        <v>0</v>
      </c>
      <c r="U375" s="104">
        <f t="shared" si="88"/>
        <v>0</v>
      </c>
      <c r="V375" s="104">
        <f t="shared" si="88"/>
        <v>0</v>
      </c>
      <c r="X375" s="103" t="e">
        <f t="shared" si="89"/>
        <v>#REF!</v>
      </c>
      <c r="Y375" s="103" t="e">
        <f t="shared" si="90"/>
        <v>#REF!</v>
      </c>
      <c r="Z375" s="104" t="e">
        <f t="shared" si="91"/>
        <v>#REF!</v>
      </c>
      <c r="AA375" s="104" t="e">
        <f t="shared" si="91"/>
        <v>#REF!</v>
      </c>
      <c r="AC375" s="103" t="e">
        <f t="shared" si="92"/>
        <v>#REF!</v>
      </c>
      <c r="AD375" s="103" t="e">
        <f t="shared" si="93"/>
        <v>#REF!</v>
      </c>
      <c r="AE375" s="104" t="e">
        <f t="shared" si="94"/>
        <v>#REF!</v>
      </c>
      <c r="AF375" s="104" t="e">
        <f t="shared" si="94"/>
        <v>#REF!</v>
      </c>
      <c r="AH375" s="103" t="e">
        <f t="shared" si="95"/>
        <v>#REF!</v>
      </c>
      <c r="AI375" s="103" t="e">
        <f t="shared" si="96"/>
        <v>#REF!</v>
      </c>
      <c r="AJ375" s="104" t="e">
        <f t="shared" si="97"/>
        <v>#REF!</v>
      </c>
      <c r="AK375" s="104" t="e">
        <f t="shared" si="97"/>
        <v>#REF!</v>
      </c>
    </row>
    <row r="376" spans="1:37">
      <c r="B376" t="s">
        <v>244</v>
      </c>
      <c r="S376" s="103">
        <f t="shared" si="86"/>
        <v>0</v>
      </c>
      <c r="T376" s="103">
        <f t="shared" si="87"/>
        <v>0</v>
      </c>
      <c r="U376" s="104">
        <f t="shared" si="88"/>
        <v>0</v>
      </c>
      <c r="V376" s="104">
        <f t="shared" si="88"/>
        <v>0</v>
      </c>
      <c r="X376" s="103" t="e">
        <f t="shared" si="89"/>
        <v>#REF!</v>
      </c>
      <c r="Y376" s="103" t="e">
        <f t="shared" si="90"/>
        <v>#REF!</v>
      </c>
      <c r="Z376" s="104" t="e">
        <f t="shared" si="91"/>
        <v>#REF!</v>
      </c>
      <c r="AA376" s="104" t="e">
        <f t="shared" si="91"/>
        <v>#REF!</v>
      </c>
      <c r="AC376" s="103" t="e">
        <f t="shared" si="92"/>
        <v>#REF!</v>
      </c>
      <c r="AD376" s="103" t="e">
        <f t="shared" si="93"/>
        <v>#REF!</v>
      </c>
      <c r="AE376" s="104" t="e">
        <f t="shared" si="94"/>
        <v>#REF!</v>
      </c>
      <c r="AF376" s="104" t="e">
        <f t="shared" si="94"/>
        <v>#REF!</v>
      </c>
      <c r="AH376" s="103" t="e">
        <f t="shared" si="95"/>
        <v>#REF!</v>
      </c>
      <c r="AI376" s="103" t="e">
        <f t="shared" si="96"/>
        <v>#REF!</v>
      </c>
      <c r="AJ376" s="104" t="e">
        <f t="shared" si="97"/>
        <v>#REF!</v>
      </c>
      <c r="AK376" s="104" t="e">
        <f t="shared" si="97"/>
        <v>#REF!</v>
      </c>
    </row>
    <row r="377" spans="1:37">
      <c r="B377" t="s">
        <v>245</v>
      </c>
      <c r="S377" s="103">
        <f t="shared" si="86"/>
        <v>0</v>
      </c>
      <c r="T377" s="103">
        <f t="shared" si="87"/>
        <v>0</v>
      </c>
      <c r="U377" s="104">
        <f t="shared" si="88"/>
        <v>0</v>
      </c>
      <c r="V377" s="104">
        <f t="shared" si="88"/>
        <v>0</v>
      </c>
      <c r="X377" s="103" t="e">
        <f t="shared" si="89"/>
        <v>#REF!</v>
      </c>
      <c r="Y377" s="103" t="e">
        <f t="shared" si="90"/>
        <v>#REF!</v>
      </c>
      <c r="Z377" s="104" t="e">
        <f t="shared" si="91"/>
        <v>#REF!</v>
      </c>
      <c r="AA377" s="104" t="e">
        <f t="shared" si="91"/>
        <v>#REF!</v>
      </c>
      <c r="AC377" s="103" t="e">
        <f t="shared" si="92"/>
        <v>#REF!</v>
      </c>
      <c r="AD377" s="103" t="e">
        <f t="shared" si="93"/>
        <v>#REF!</v>
      </c>
      <c r="AE377" s="104" t="e">
        <f t="shared" si="94"/>
        <v>#REF!</v>
      </c>
      <c r="AF377" s="104" t="e">
        <f t="shared" si="94"/>
        <v>#REF!</v>
      </c>
      <c r="AH377" s="103" t="e">
        <f t="shared" si="95"/>
        <v>#REF!</v>
      </c>
      <c r="AI377" s="103" t="e">
        <f t="shared" si="96"/>
        <v>#REF!</v>
      </c>
      <c r="AJ377" s="104" t="e">
        <f t="shared" si="97"/>
        <v>#REF!</v>
      </c>
      <c r="AK377" s="104" t="e">
        <f t="shared" si="97"/>
        <v>#REF!</v>
      </c>
    </row>
    <row r="378" spans="1:37">
      <c r="B378">
        <v>137</v>
      </c>
      <c r="S378" s="103">
        <f t="shared" si="86"/>
        <v>0</v>
      </c>
      <c r="T378" s="103">
        <f t="shared" si="87"/>
        <v>0</v>
      </c>
      <c r="U378" s="104">
        <f t="shared" si="88"/>
        <v>0</v>
      </c>
      <c r="V378" s="104">
        <f t="shared" si="88"/>
        <v>0</v>
      </c>
      <c r="X378" s="103" t="e">
        <f t="shared" si="89"/>
        <v>#REF!</v>
      </c>
      <c r="Y378" s="103" t="e">
        <f t="shared" si="90"/>
        <v>#REF!</v>
      </c>
      <c r="Z378" s="104" t="e">
        <f t="shared" si="91"/>
        <v>#REF!</v>
      </c>
      <c r="AA378" s="104" t="e">
        <f t="shared" si="91"/>
        <v>#REF!</v>
      </c>
      <c r="AC378" s="103" t="e">
        <f t="shared" si="92"/>
        <v>#REF!</v>
      </c>
      <c r="AD378" s="103" t="e">
        <f t="shared" si="93"/>
        <v>#REF!</v>
      </c>
      <c r="AE378" s="104" t="e">
        <f t="shared" si="94"/>
        <v>#REF!</v>
      </c>
      <c r="AF378" s="104" t="e">
        <f t="shared" si="94"/>
        <v>#REF!</v>
      </c>
      <c r="AH378" s="103" t="e">
        <f t="shared" si="95"/>
        <v>#REF!</v>
      </c>
      <c r="AI378" s="103" t="e">
        <f t="shared" si="96"/>
        <v>#REF!</v>
      </c>
      <c r="AJ378" s="104" t="e">
        <f t="shared" si="97"/>
        <v>#REF!</v>
      </c>
      <c r="AK378" s="104" t="e">
        <f t="shared" si="97"/>
        <v>#REF!</v>
      </c>
    </row>
    <row r="379" spans="1:37">
      <c r="B379" t="s">
        <v>246</v>
      </c>
      <c r="S379" s="103">
        <f t="shared" si="86"/>
        <v>0</v>
      </c>
      <c r="T379" s="103">
        <f t="shared" si="87"/>
        <v>0</v>
      </c>
      <c r="U379" s="104">
        <f t="shared" si="88"/>
        <v>0</v>
      </c>
      <c r="V379" s="104">
        <f t="shared" si="88"/>
        <v>0</v>
      </c>
      <c r="X379" s="103" t="e">
        <f t="shared" si="89"/>
        <v>#REF!</v>
      </c>
      <c r="Y379" s="103" t="e">
        <f t="shared" si="90"/>
        <v>#REF!</v>
      </c>
      <c r="Z379" s="104" t="e">
        <f t="shared" si="91"/>
        <v>#REF!</v>
      </c>
      <c r="AA379" s="104" t="e">
        <f t="shared" si="91"/>
        <v>#REF!</v>
      </c>
      <c r="AC379" s="103" t="e">
        <f t="shared" si="92"/>
        <v>#REF!</v>
      </c>
      <c r="AD379" s="103" t="e">
        <f t="shared" si="93"/>
        <v>#REF!</v>
      </c>
      <c r="AE379" s="104" t="e">
        <f t="shared" si="94"/>
        <v>#REF!</v>
      </c>
      <c r="AF379" s="104" t="e">
        <f t="shared" si="94"/>
        <v>#REF!</v>
      </c>
      <c r="AH379" s="103" t="e">
        <f t="shared" si="95"/>
        <v>#REF!</v>
      </c>
      <c r="AI379" s="103" t="e">
        <f t="shared" si="96"/>
        <v>#REF!</v>
      </c>
      <c r="AJ379" s="104" t="e">
        <f t="shared" si="97"/>
        <v>#REF!</v>
      </c>
      <c r="AK379" s="104" t="e">
        <f t="shared" si="97"/>
        <v>#REF!</v>
      </c>
    </row>
    <row r="380" spans="1:37">
      <c r="B380" t="s">
        <v>247</v>
      </c>
      <c r="S380" s="103">
        <f t="shared" si="86"/>
        <v>0</v>
      </c>
      <c r="T380" s="103">
        <f t="shared" si="87"/>
        <v>0</v>
      </c>
      <c r="U380" s="104">
        <f t="shared" si="88"/>
        <v>0</v>
      </c>
      <c r="V380" s="104">
        <f t="shared" si="88"/>
        <v>0</v>
      </c>
      <c r="X380" s="103" t="e">
        <f t="shared" si="89"/>
        <v>#REF!</v>
      </c>
      <c r="Y380" s="103" t="e">
        <f t="shared" si="90"/>
        <v>#REF!</v>
      </c>
      <c r="Z380" s="104" t="e">
        <f t="shared" si="91"/>
        <v>#REF!</v>
      </c>
      <c r="AA380" s="104" t="e">
        <f t="shared" si="91"/>
        <v>#REF!</v>
      </c>
      <c r="AC380" s="103" t="e">
        <f t="shared" si="92"/>
        <v>#REF!</v>
      </c>
      <c r="AD380" s="103" t="e">
        <f t="shared" si="93"/>
        <v>#REF!</v>
      </c>
      <c r="AE380" s="104" t="e">
        <f t="shared" si="94"/>
        <v>#REF!</v>
      </c>
      <c r="AF380" s="104" t="e">
        <f t="shared" si="94"/>
        <v>#REF!</v>
      </c>
      <c r="AH380" s="103" t="e">
        <f t="shared" si="95"/>
        <v>#REF!</v>
      </c>
      <c r="AI380" s="103" t="e">
        <f t="shared" si="96"/>
        <v>#REF!</v>
      </c>
      <c r="AJ380" s="104" t="e">
        <f t="shared" si="97"/>
        <v>#REF!</v>
      </c>
      <c r="AK380" s="104" t="e">
        <f t="shared" si="97"/>
        <v>#REF!</v>
      </c>
    </row>
    <row r="381" spans="1:37">
      <c r="B381" t="s">
        <v>248</v>
      </c>
      <c r="S381" s="103">
        <f t="shared" si="86"/>
        <v>0</v>
      </c>
      <c r="T381" s="103">
        <f t="shared" si="87"/>
        <v>0</v>
      </c>
      <c r="U381" s="104">
        <f t="shared" si="88"/>
        <v>0</v>
      </c>
      <c r="V381" s="104">
        <f t="shared" si="88"/>
        <v>0</v>
      </c>
      <c r="X381" s="103" t="e">
        <f t="shared" si="89"/>
        <v>#REF!</v>
      </c>
      <c r="Y381" s="103" t="e">
        <f t="shared" si="90"/>
        <v>#REF!</v>
      </c>
      <c r="Z381" s="104" t="e">
        <f t="shared" si="91"/>
        <v>#REF!</v>
      </c>
      <c r="AA381" s="104" t="e">
        <f t="shared" si="91"/>
        <v>#REF!</v>
      </c>
      <c r="AC381" s="103" t="e">
        <f t="shared" si="92"/>
        <v>#REF!</v>
      </c>
      <c r="AD381" s="103" t="e">
        <f t="shared" si="93"/>
        <v>#REF!</v>
      </c>
      <c r="AE381" s="104" t="e">
        <f t="shared" si="94"/>
        <v>#REF!</v>
      </c>
      <c r="AF381" s="104" t="e">
        <f t="shared" si="94"/>
        <v>#REF!</v>
      </c>
      <c r="AH381" s="103" t="e">
        <f t="shared" si="95"/>
        <v>#REF!</v>
      </c>
      <c r="AI381" s="103" t="e">
        <f t="shared" si="96"/>
        <v>#REF!</v>
      </c>
      <c r="AJ381" s="104" t="e">
        <f t="shared" si="97"/>
        <v>#REF!</v>
      </c>
      <c r="AK381" s="104" t="e">
        <f t="shared" si="97"/>
        <v>#REF!</v>
      </c>
    </row>
    <row r="382" spans="1:37">
      <c r="B382">
        <v>139</v>
      </c>
      <c r="S382" s="103">
        <f t="shared" si="86"/>
        <v>0</v>
      </c>
      <c r="T382" s="103">
        <f t="shared" si="87"/>
        <v>0</v>
      </c>
      <c r="U382" s="104">
        <f t="shared" si="88"/>
        <v>0</v>
      </c>
      <c r="V382" s="104">
        <f t="shared" si="88"/>
        <v>0</v>
      </c>
      <c r="X382" s="103" t="e">
        <f t="shared" si="89"/>
        <v>#REF!</v>
      </c>
      <c r="Y382" s="103" t="e">
        <f t="shared" si="90"/>
        <v>#REF!</v>
      </c>
      <c r="Z382" s="104" t="e">
        <f t="shared" si="91"/>
        <v>#REF!</v>
      </c>
      <c r="AA382" s="104" t="e">
        <f t="shared" si="91"/>
        <v>#REF!</v>
      </c>
      <c r="AC382" s="103" t="e">
        <f t="shared" si="92"/>
        <v>#REF!</v>
      </c>
      <c r="AD382" s="103" t="e">
        <f t="shared" si="93"/>
        <v>#REF!</v>
      </c>
      <c r="AE382" s="104" t="e">
        <f t="shared" si="94"/>
        <v>#REF!</v>
      </c>
      <c r="AF382" s="104" t="e">
        <f t="shared" si="94"/>
        <v>#REF!</v>
      </c>
      <c r="AH382" s="103" t="e">
        <f t="shared" si="95"/>
        <v>#REF!</v>
      </c>
      <c r="AI382" s="103" t="e">
        <f t="shared" si="96"/>
        <v>#REF!</v>
      </c>
      <c r="AJ382" s="104" t="e">
        <f t="shared" si="97"/>
        <v>#REF!</v>
      </c>
      <c r="AK382" s="104" t="e">
        <f t="shared" si="97"/>
        <v>#REF!</v>
      </c>
    </row>
    <row r="383" spans="1:37">
      <c r="A383" t="s">
        <v>249</v>
      </c>
      <c r="B383">
        <v>140</v>
      </c>
      <c r="S383" s="103">
        <f t="shared" si="86"/>
        <v>0</v>
      </c>
      <c r="T383" s="103">
        <f t="shared" si="87"/>
        <v>0</v>
      </c>
      <c r="U383" s="104">
        <f t="shared" si="88"/>
        <v>0</v>
      </c>
      <c r="V383" s="104">
        <f t="shared" si="88"/>
        <v>0</v>
      </c>
      <c r="X383" s="103" t="e">
        <f t="shared" si="89"/>
        <v>#REF!</v>
      </c>
      <c r="Y383" s="103" t="e">
        <f t="shared" si="90"/>
        <v>#REF!</v>
      </c>
      <c r="Z383" s="104" t="e">
        <f t="shared" si="91"/>
        <v>#REF!</v>
      </c>
      <c r="AA383" s="104" t="e">
        <f t="shared" si="91"/>
        <v>#REF!</v>
      </c>
      <c r="AC383" s="103" t="e">
        <f t="shared" si="92"/>
        <v>#REF!</v>
      </c>
      <c r="AD383" s="103" t="e">
        <f t="shared" si="93"/>
        <v>#REF!</v>
      </c>
      <c r="AE383" s="104" t="e">
        <f t="shared" si="94"/>
        <v>#REF!</v>
      </c>
      <c r="AF383" s="104" t="e">
        <f t="shared" si="94"/>
        <v>#REF!</v>
      </c>
      <c r="AH383" s="103" t="e">
        <f t="shared" si="95"/>
        <v>#REF!</v>
      </c>
      <c r="AI383" s="103" t="e">
        <f t="shared" si="96"/>
        <v>#REF!</v>
      </c>
      <c r="AJ383" s="104" t="e">
        <f t="shared" si="97"/>
        <v>#REF!</v>
      </c>
      <c r="AK383" s="104" t="e">
        <f t="shared" si="97"/>
        <v>#REF!</v>
      </c>
    </row>
    <row r="384" spans="1:37">
      <c r="A384" t="s">
        <v>250</v>
      </c>
      <c r="B384">
        <v>141</v>
      </c>
      <c r="S384" s="103">
        <f t="shared" si="86"/>
        <v>0</v>
      </c>
      <c r="T384" s="103">
        <f t="shared" si="87"/>
        <v>0</v>
      </c>
      <c r="U384" s="104">
        <f t="shared" si="88"/>
        <v>0</v>
      </c>
      <c r="V384" s="104">
        <f t="shared" si="88"/>
        <v>0</v>
      </c>
      <c r="X384" s="103" t="e">
        <f t="shared" si="89"/>
        <v>#REF!</v>
      </c>
      <c r="Y384" s="103" t="e">
        <f t="shared" si="90"/>
        <v>#REF!</v>
      </c>
      <c r="Z384" s="104" t="e">
        <f t="shared" si="91"/>
        <v>#REF!</v>
      </c>
      <c r="AA384" s="104" t="e">
        <f t="shared" si="91"/>
        <v>#REF!</v>
      </c>
      <c r="AC384" s="103" t="e">
        <f t="shared" si="92"/>
        <v>#REF!</v>
      </c>
      <c r="AD384" s="103" t="e">
        <f t="shared" si="93"/>
        <v>#REF!</v>
      </c>
      <c r="AE384" s="104" t="e">
        <f t="shared" si="94"/>
        <v>#REF!</v>
      </c>
      <c r="AF384" s="104" t="e">
        <f t="shared" si="94"/>
        <v>#REF!</v>
      </c>
      <c r="AH384" s="103" t="e">
        <f t="shared" si="95"/>
        <v>#REF!</v>
      </c>
      <c r="AI384" s="103" t="e">
        <f t="shared" si="96"/>
        <v>#REF!</v>
      </c>
      <c r="AJ384" s="104" t="e">
        <f t="shared" si="97"/>
        <v>#REF!</v>
      </c>
      <c r="AK384" s="104" t="e">
        <f t="shared" si="97"/>
        <v>#REF!</v>
      </c>
    </row>
    <row r="385" spans="1:37">
      <c r="A385" t="s">
        <v>251</v>
      </c>
      <c r="B385">
        <v>143</v>
      </c>
      <c r="S385" s="103">
        <f t="shared" si="86"/>
        <v>0</v>
      </c>
      <c r="T385" s="103">
        <f t="shared" si="87"/>
        <v>0</v>
      </c>
      <c r="U385" s="104">
        <f t="shared" si="88"/>
        <v>0</v>
      </c>
      <c r="V385" s="104">
        <f t="shared" si="88"/>
        <v>0</v>
      </c>
      <c r="X385" s="103" t="e">
        <f t="shared" si="89"/>
        <v>#REF!</v>
      </c>
      <c r="Y385" s="103" t="e">
        <f t="shared" si="90"/>
        <v>#REF!</v>
      </c>
      <c r="Z385" s="104" t="e">
        <f t="shared" si="91"/>
        <v>#REF!</v>
      </c>
      <c r="AA385" s="104" t="e">
        <f t="shared" si="91"/>
        <v>#REF!</v>
      </c>
      <c r="AC385" s="103" t="e">
        <f t="shared" si="92"/>
        <v>#REF!</v>
      </c>
      <c r="AD385" s="103" t="e">
        <f t="shared" si="93"/>
        <v>#REF!</v>
      </c>
      <c r="AE385" s="104" t="e">
        <f t="shared" si="94"/>
        <v>#REF!</v>
      </c>
      <c r="AF385" s="104" t="e">
        <f t="shared" si="94"/>
        <v>#REF!</v>
      </c>
      <c r="AH385" s="103" t="e">
        <f t="shared" si="95"/>
        <v>#REF!</v>
      </c>
      <c r="AI385" s="103" t="e">
        <f t="shared" si="96"/>
        <v>#REF!</v>
      </c>
      <c r="AJ385" s="104" t="e">
        <f t="shared" si="97"/>
        <v>#REF!</v>
      </c>
      <c r="AK385" s="104" t="e">
        <f t="shared" si="97"/>
        <v>#REF!</v>
      </c>
    </row>
    <row r="386" spans="1:37">
      <c r="A386" t="s">
        <v>252</v>
      </c>
      <c r="B386">
        <v>144</v>
      </c>
      <c r="S386" s="103">
        <f t="shared" si="86"/>
        <v>0</v>
      </c>
      <c r="T386" s="103">
        <f t="shared" si="87"/>
        <v>0</v>
      </c>
      <c r="U386" s="104">
        <f t="shared" si="88"/>
        <v>0</v>
      </c>
      <c r="V386" s="104">
        <f t="shared" si="88"/>
        <v>0</v>
      </c>
      <c r="X386" s="103" t="e">
        <f t="shared" si="89"/>
        <v>#REF!</v>
      </c>
      <c r="Y386" s="103" t="e">
        <f t="shared" si="90"/>
        <v>#REF!</v>
      </c>
      <c r="Z386" s="104" t="e">
        <f t="shared" si="91"/>
        <v>#REF!</v>
      </c>
      <c r="AA386" s="104" t="e">
        <f t="shared" si="91"/>
        <v>#REF!</v>
      </c>
      <c r="AC386" s="103" t="e">
        <f t="shared" si="92"/>
        <v>#REF!</v>
      </c>
      <c r="AD386" s="103" t="e">
        <f t="shared" si="93"/>
        <v>#REF!</v>
      </c>
      <c r="AE386" s="104" t="e">
        <f t="shared" si="94"/>
        <v>#REF!</v>
      </c>
      <c r="AF386" s="104" t="e">
        <f t="shared" si="94"/>
        <v>#REF!</v>
      </c>
      <c r="AH386" s="103" t="e">
        <f t="shared" si="95"/>
        <v>#REF!</v>
      </c>
      <c r="AI386" s="103" t="e">
        <f t="shared" si="96"/>
        <v>#REF!</v>
      </c>
      <c r="AJ386" s="104" t="e">
        <f t="shared" si="97"/>
        <v>#REF!</v>
      </c>
      <c r="AK386" s="104" t="e">
        <f t="shared" si="97"/>
        <v>#REF!</v>
      </c>
    </row>
    <row r="387" spans="1:37">
      <c r="A387" t="s">
        <v>253</v>
      </c>
      <c r="B387" t="s">
        <v>254</v>
      </c>
      <c r="S387" s="103">
        <f t="shared" si="86"/>
        <v>0</v>
      </c>
      <c r="T387" s="103">
        <f t="shared" si="87"/>
        <v>0</v>
      </c>
      <c r="U387" s="104">
        <f t="shared" si="88"/>
        <v>0</v>
      </c>
      <c r="V387" s="104">
        <f t="shared" si="88"/>
        <v>0</v>
      </c>
      <c r="X387" s="103" t="e">
        <f t="shared" si="89"/>
        <v>#REF!</v>
      </c>
      <c r="Y387" s="103" t="e">
        <f t="shared" si="90"/>
        <v>#REF!</v>
      </c>
      <c r="Z387" s="104" t="e">
        <f t="shared" si="91"/>
        <v>#REF!</v>
      </c>
      <c r="AA387" s="104" t="e">
        <f t="shared" si="91"/>
        <v>#REF!</v>
      </c>
      <c r="AC387" s="103" t="e">
        <f t="shared" si="92"/>
        <v>#REF!</v>
      </c>
      <c r="AD387" s="103" t="e">
        <f t="shared" si="93"/>
        <v>#REF!</v>
      </c>
      <c r="AE387" s="104" t="e">
        <f t="shared" si="94"/>
        <v>#REF!</v>
      </c>
      <c r="AF387" s="104" t="e">
        <f t="shared" si="94"/>
        <v>#REF!</v>
      </c>
      <c r="AH387" s="103" t="e">
        <f t="shared" si="95"/>
        <v>#REF!</v>
      </c>
      <c r="AI387" s="103" t="e">
        <f t="shared" si="96"/>
        <v>#REF!</v>
      </c>
      <c r="AJ387" s="104" t="e">
        <f t="shared" si="97"/>
        <v>#REF!</v>
      </c>
      <c r="AK387" s="104" t="e">
        <f t="shared" si="97"/>
        <v>#REF!</v>
      </c>
    </row>
    <row r="388" spans="1:37">
      <c r="A388" t="s">
        <v>253</v>
      </c>
      <c r="B388" t="s">
        <v>255</v>
      </c>
      <c r="S388" s="103">
        <f t="shared" si="86"/>
        <v>0</v>
      </c>
      <c r="T388" s="103">
        <f t="shared" si="87"/>
        <v>0</v>
      </c>
      <c r="U388" s="104">
        <f t="shared" si="88"/>
        <v>0</v>
      </c>
      <c r="V388" s="104">
        <f t="shared" si="88"/>
        <v>0</v>
      </c>
      <c r="X388" s="103" t="e">
        <f t="shared" si="89"/>
        <v>#REF!</v>
      </c>
      <c r="Y388" s="103" t="e">
        <f t="shared" si="90"/>
        <v>#REF!</v>
      </c>
      <c r="Z388" s="104" t="e">
        <f t="shared" si="91"/>
        <v>#REF!</v>
      </c>
      <c r="AA388" s="104" t="e">
        <f t="shared" si="91"/>
        <v>#REF!</v>
      </c>
      <c r="AC388" s="103" t="e">
        <f t="shared" si="92"/>
        <v>#REF!</v>
      </c>
      <c r="AD388" s="103" t="e">
        <f t="shared" si="93"/>
        <v>#REF!</v>
      </c>
      <c r="AE388" s="104" t="e">
        <f t="shared" si="94"/>
        <v>#REF!</v>
      </c>
      <c r="AF388" s="104" t="e">
        <f t="shared" si="94"/>
        <v>#REF!</v>
      </c>
      <c r="AH388" s="103" t="e">
        <f t="shared" si="95"/>
        <v>#REF!</v>
      </c>
      <c r="AI388" s="103" t="e">
        <f t="shared" si="96"/>
        <v>#REF!</v>
      </c>
      <c r="AJ388" s="104" t="e">
        <f t="shared" si="97"/>
        <v>#REF!</v>
      </c>
      <c r="AK388" s="104" t="e">
        <f t="shared" si="97"/>
        <v>#REF!</v>
      </c>
    </row>
    <row r="389" spans="1:37">
      <c r="A389" t="s">
        <v>253</v>
      </c>
      <c r="B389" t="s">
        <v>256</v>
      </c>
      <c r="S389" s="103">
        <f t="shared" si="86"/>
        <v>0</v>
      </c>
      <c r="T389" s="103">
        <f t="shared" si="87"/>
        <v>0</v>
      </c>
      <c r="U389" s="104">
        <f t="shared" si="88"/>
        <v>0</v>
      </c>
      <c r="V389" s="104">
        <f t="shared" si="88"/>
        <v>0</v>
      </c>
      <c r="X389" s="103" t="e">
        <f t="shared" si="89"/>
        <v>#REF!</v>
      </c>
      <c r="Y389" s="103" t="e">
        <f t="shared" si="90"/>
        <v>#REF!</v>
      </c>
      <c r="Z389" s="104" t="e">
        <f t="shared" si="91"/>
        <v>#REF!</v>
      </c>
      <c r="AA389" s="104" t="e">
        <f t="shared" si="91"/>
        <v>#REF!</v>
      </c>
      <c r="AC389" s="103" t="e">
        <f t="shared" si="92"/>
        <v>#REF!</v>
      </c>
      <c r="AD389" s="103" t="e">
        <f t="shared" si="93"/>
        <v>#REF!</v>
      </c>
      <c r="AE389" s="104" t="e">
        <f t="shared" si="94"/>
        <v>#REF!</v>
      </c>
      <c r="AF389" s="104" t="e">
        <f t="shared" si="94"/>
        <v>#REF!</v>
      </c>
      <c r="AH389" s="103" t="e">
        <f t="shared" si="95"/>
        <v>#REF!</v>
      </c>
      <c r="AI389" s="103" t="e">
        <f t="shared" si="96"/>
        <v>#REF!</v>
      </c>
      <c r="AJ389" s="104" t="e">
        <f t="shared" si="97"/>
        <v>#REF!</v>
      </c>
      <c r="AK389" s="104" t="e">
        <f t="shared" si="97"/>
        <v>#REF!</v>
      </c>
    </row>
    <row r="390" spans="1:37">
      <c r="A390" t="s">
        <v>257</v>
      </c>
      <c r="B390" t="s">
        <v>258</v>
      </c>
      <c r="S390" s="103">
        <f t="shared" si="86"/>
        <v>0</v>
      </c>
      <c r="T390" s="103">
        <f t="shared" si="87"/>
        <v>0</v>
      </c>
      <c r="U390" s="104">
        <f t="shared" si="88"/>
        <v>0</v>
      </c>
      <c r="V390" s="104">
        <f t="shared" si="88"/>
        <v>0</v>
      </c>
      <c r="X390" s="103" t="e">
        <f t="shared" si="89"/>
        <v>#REF!</v>
      </c>
      <c r="Y390" s="103" t="e">
        <f t="shared" si="90"/>
        <v>#REF!</v>
      </c>
      <c r="Z390" s="104" t="e">
        <f t="shared" si="91"/>
        <v>#REF!</v>
      </c>
      <c r="AA390" s="104" t="e">
        <f t="shared" si="91"/>
        <v>#REF!</v>
      </c>
      <c r="AC390" s="103" t="e">
        <f t="shared" si="92"/>
        <v>#REF!</v>
      </c>
      <c r="AD390" s="103" t="e">
        <f t="shared" si="93"/>
        <v>#REF!</v>
      </c>
      <c r="AE390" s="104" t="e">
        <f t="shared" si="94"/>
        <v>#REF!</v>
      </c>
      <c r="AF390" s="104" t="e">
        <f t="shared" si="94"/>
        <v>#REF!</v>
      </c>
      <c r="AH390" s="103" t="e">
        <f t="shared" si="95"/>
        <v>#REF!</v>
      </c>
      <c r="AI390" s="103" t="e">
        <f t="shared" si="96"/>
        <v>#REF!</v>
      </c>
      <c r="AJ390" s="104" t="e">
        <f t="shared" si="97"/>
        <v>#REF!</v>
      </c>
      <c r="AK390" s="104" t="e">
        <f t="shared" si="97"/>
        <v>#REF!</v>
      </c>
    </row>
    <row r="391" spans="1:37">
      <c r="A391" t="s">
        <v>257</v>
      </c>
      <c r="B391" t="s">
        <v>259</v>
      </c>
      <c r="S391" s="103">
        <f t="shared" si="86"/>
        <v>0</v>
      </c>
      <c r="T391" s="103">
        <f t="shared" si="87"/>
        <v>0</v>
      </c>
      <c r="U391" s="104">
        <f t="shared" si="88"/>
        <v>0</v>
      </c>
      <c r="V391" s="104">
        <f t="shared" si="88"/>
        <v>0</v>
      </c>
      <c r="X391" s="103" t="e">
        <f t="shared" si="89"/>
        <v>#REF!</v>
      </c>
      <c r="Y391" s="103" t="e">
        <f t="shared" si="90"/>
        <v>#REF!</v>
      </c>
      <c r="Z391" s="104" t="e">
        <f t="shared" si="91"/>
        <v>#REF!</v>
      </c>
      <c r="AA391" s="104" t="e">
        <f t="shared" si="91"/>
        <v>#REF!</v>
      </c>
      <c r="AC391" s="103" t="e">
        <f t="shared" si="92"/>
        <v>#REF!</v>
      </c>
      <c r="AD391" s="103" t="e">
        <f t="shared" si="93"/>
        <v>#REF!</v>
      </c>
      <c r="AE391" s="104" t="e">
        <f t="shared" si="94"/>
        <v>#REF!</v>
      </c>
      <c r="AF391" s="104" t="e">
        <f t="shared" si="94"/>
        <v>#REF!</v>
      </c>
      <c r="AH391" s="103" t="e">
        <f t="shared" si="95"/>
        <v>#REF!</v>
      </c>
      <c r="AI391" s="103" t="e">
        <f t="shared" si="96"/>
        <v>#REF!</v>
      </c>
      <c r="AJ391" s="104" t="e">
        <f t="shared" si="97"/>
        <v>#REF!</v>
      </c>
      <c r="AK391" s="104" t="e">
        <f t="shared" si="97"/>
        <v>#REF!</v>
      </c>
    </row>
    <row r="392" spans="1:37">
      <c r="A392" t="s">
        <v>257</v>
      </c>
      <c r="B392" t="s">
        <v>260</v>
      </c>
      <c r="S392" s="103">
        <f t="shared" si="86"/>
        <v>0</v>
      </c>
      <c r="T392" s="103">
        <f t="shared" si="87"/>
        <v>0</v>
      </c>
      <c r="U392" s="104">
        <f t="shared" si="88"/>
        <v>0</v>
      </c>
      <c r="V392" s="104">
        <f t="shared" si="88"/>
        <v>0</v>
      </c>
      <c r="X392" s="103" t="e">
        <f t="shared" si="89"/>
        <v>#REF!</v>
      </c>
      <c r="Y392" s="103" t="e">
        <f t="shared" si="90"/>
        <v>#REF!</v>
      </c>
      <c r="Z392" s="104" t="e">
        <f t="shared" si="91"/>
        <v>#REF!</v>
      </c>
      <c r="AA392" s="104" t="e">
        <f t="shared" si="91"/>
        <v>#REF!</v>
      </c>
      <c r="AC392" s="103" t="e">
        <f t="shared" si="92"/>
        <v>#REF!</v>
      </c>
      <c r="AD392" s="103" t="e">
        <f t="shared" si="93"/>
        <v>#REF!</v>
      </c>
      <c r="AE392" s="104" t="e">
        <f t="shared" si="94"/>
        <v>#REF!</v>
      </c>
      <c r="AF392" s="104" t="e">
        <f t="shared" si="94"/>
        <v>#REF!</v>
      </c>
      <c r="AH392" s="103" t="e">
        <f t="shared" si="95"/>
        <v>#REF!</v>
      </c>
      <c r="AI392" s="103" t="e">
        <f t="shared" si="96"/>
        <v>#REF!</v>
      </c>
      <c r="AJ392" s="104" t="e">
        <f t="shared" si="97"/>
        <v>#REF!</v>
      </c>
      <c r="AK392" s="104" t="e">
        <f t="shared" si="97"/>
        <v>#REF!</v>
      </c>
    </row>
    <row r="393" spans="1:37">
      <c r="A393" t="s">
        <v>261</v>
      </c>
      <c r="B393">
        <v>147</v>
      </c>
      <c r="S393" s="103">
        <f t="shared" si="86"/>
        <v>0</v>
      </c>
      <c r="T393" s="103">
        <f t="shared" si="87"/>
        <v>0</v>
      </c>
      <c r="U393" s="104">
        <f t="shared" si="88"/>
        <v>0</v>
      </c>
      <c r="V393" s="104">
        <f t="shared" si="88"/>
        <v>0</v>
      </c>
      <c r="X393" s="103" t="e">
        <f t="shared" si="89"/>
        <v>#REF!</v>
      </c>
      <c r="Y393" s="103" t="e">
        <f t="shared" si="90"/>
        <v>#REF!</v>
      </c>
      <c r="Z393" s="104" t="e">
        <f t="shared" si="91"/>
        <v>#REF!</v>
      </c>
      <c r="AA393" s="104" t="e">
        <f t="shared" si="91"/>
        <v>#REF!</v>
      </c>
      <c r="AC393" s="103" t="e">
        <f t="shared" si="92"/>
        <v>#REF!</v>
      </c>
      <c r="AD393" s="103" t="e">
        <f t="shared" si="93"/>
        <v>#REF!</v>
      </c>
      <c r="AE393" s="104" t="e">
        <f t="shared" si="94"/>
        <v>#REF!</v>
      </c>
      <c r="AF393" s="104" t="e">
        <f t="shared" si="94"/>
        <v>#REF!</v>
      </c>
      <c r="AH393" s="103" t="e">
        <f t="shared" si="95"/>
        <v>#REF!</v>
      </c>
      <c r="AI393" s="103" t="e">
        <f t="shared" si="96"/>
        <v>#REF!</v>
      </c>
      <c r="AJ393" s="104" t="e">
        <f t="shared" si="97"/>
        <v>#REF!</v>
      </c>
      <c r="AK393" s="104" t="e">
        <f t="shared" si="97"/>
        <v>#REF!</v>
      </c>
    </row>
    <row r="394" spans="1:37">
      <c r="A394" t="s">
        <v>262</v>
      </c>
      <c r="B394">
        <v>148</v>
      </c>
      <c r="S394" s="103">
        <f t="shared" si="86"/>
        <v>0</v>
      </c>
      <c r="T394" s="103">
        <f t="shared" si="87"/>
        <v>0</v>
      </c>
      <c r="U394" s="104">
        <f t="shared" si="88"/>
        <v>0</v>
      </c>
      <c r="V394" s="104">
        <f t="shared" si="88"/>
        <v>0</v>
      </c>
      <c r="X394" s="103" t="e">
        <f t="shared" si="89"/>
        <v>#REF!</v>
      </c>
      <c r="Y394" s="103" t="e">
        <f t="shared" si="90"/>
        <v>#REF!</v>
      </c>
      <c r="Z394" s="104" t="e">
        <f t="shared" si="91"/>
        <v>#REF!</v>
      </c>
      <c r="AA394" s="104" t="e">
        <f t="shared" si="91"/>
        <v>#REF!</v>
      </c>
      <c r="AC394" s="103" t="e">
        <f t="shared" si="92"/>
        <v>#REF!</v>
      </c>
      <c r="AD394" s="103" t="e">
        <f t="shared" si="93"/>
        <v>#REF!</v>
      </c>
      <c r="AE394" s="104" t="e">
        <f t="shared" si="94"/>
        <v>#REF!</v>
      </c>
      <c r="AF394" s="104" t="e">
        <f t="shared" si="94"/>
        <v>#REF!</v>
      </c>
      <c r="AH394" s="103" t="e">
        <f t="shared" si="95"/>
        <v>#REF!</v>
      </c>
      <c r="AI394" s="103" t="e">
        <f t="shared" si="96"/>
        <v>#REF!</v>
      </c>
      <c r="AJ394" s="104" t="e">
        <f t="shared" si="97"/>
        <v>#REF!</v>
      </c>
      <c r="AK394" s="104" t="e">
        <f t="shared" si="97"/>
        <v>#REF!</v>
      </c>
    </row>
    <row r="395" spans="1:37">
      <c r="B395" t="s">
        <v>263</v>
      </c>
      <c r="S395" s="103">
        <f t="shared" si="86"/>
        <v>0</v>
      </c>
      <c r="T395" s="103">
        <f t="shared" si="87"/>
        <v>0</v>
      </c>
      <c r="U395" s="104">
        <f t="shared" si="88"/>
        <v>0</v>
      </c>
      <c r="V395" s="104">
        <f t="shared" si="88"/>
        <v>0</v>
      </c>
      <c r="X395" s="103" t="e">
        <f t="shared" si="89"/>
        <v>#REF!</v>
      </c>
      <c r="Y395" s="103" t="e">
        <f t="shared" si="90"/>
        <v>#REF!</v>
      </c>
      <c r="Z395" s="104" t="e">
        <f t="shared" si="91"/>
        <v>#REF!</v>
      </c>
      <c r="AA395" s="104" t="e">
        <f t="shared" si="91"/>
        <v>#REF!</v>
      </c>
      <c r="AC395" s="103" t="e">
        <f t="shared" si="92"/>
        <v>#REF!</v>
      </c>
      <c r="AD395" s="103" t="e">
        <f t="shared" si="93"/>
        <v>#REF!</v>
      </c>
      <c r="AE395" s="104" t="e">
        <f t="shared" si="94"/>
        <v>#REF!</v>
      </c>
      <c r="AF395" s="104" t="e">
        <f t="shared" si="94"/>
        <v>#REF!</v>
      </c>
      <c r="AH395" s="103" t="e">
        <f t="shared" si="95"/>
        <v>#REF!</v>
      </c>
      <c r="AI395" s="103" t="e">
        <f t="shared" si="96"/>
        <v>#REF!</v>
      </c>
      <c r="AJ395" s="104" t="e">
        <f t="shared" si="97"/>
        <v>#REF!</v>
      </c>
      <c r="AK395" s="104" t="e">
        <f t="shared" si="97"/>
        <v>#REF!</v>
      </c>
    </row>
    <row r="396" spans="1:37">
      <c r="B396" t="s">
        <v>264</v>
      </c>
      <c r="S396" s="103">
        <f t="shared" si="86"/>
        <v>0</v>
      </c>
      <c r="T396" s="103">
        <f t="shared" si="87"/>
        <v>0</v>
      </c>
      <c r="U396" s="104">
        <f t="shared" si="88"/>
        <v>0</v>
      </c>
      <c r="V396" s="104">
        <f t="shared" si="88"/>
        <v>0</v>
      </c>
      <c r="X396" s="103" t="e">
        <f t="shared" si="89"/>
        <v>#REF!</v>
      </c>
      <c r="Y396" s="103" t="e">
        <f t="shared" si="90"/>
        <v>#REF!</v>
      </c>
      <c r="Z396" s="104" t="e">
        <f t="shared" si="91"/>
        <v>#REF!</v>
      </c>
      <c r="AA396" s="104" t="e">
        <f t="shared" si="91"/>
        <v>#REF!</v>
      </c>
      <c r="AC396" s="103" t="e">
        <f t="shared" si="92"/>
        <v>#REF!</v>
      </c>
      <c r="AD396" s="103" t="e">
        <f t="shared" si="93"/>
        <v>#REF!</v>
      </c>
      <c r="AE396" s="104" t="e">
        <f t="shared" si="94"/>
        <v>#REF!</v>
      </c>
      <c r="AF396" s="104" t="e">
        <f t="shared" si="94"/>
        <v>#REF!</v>
      </c>
      <c r="AH396" s="103" t="e">
        <f t="shared" si="95"/>
        <v>#REF!</v>
      </c>
      <c r="AI396" s="103" t="e">
        <f t="shared" si="96"/>
        <v>#REF!</v>
      </c>
      <c r="AJ396" s="104" t="e">
        <f t="shared" si="97"/>
        <v>#REF!</v>
      </c>
      <c r="AK396" s="104" t="e">
        <f t="shared" si="97"/>
        <v>#REF!</v>
      </c>
    </row>
    <row r="397" spans="1:37">
      <c r="B397">
        <v>150</v>
      </c>
      <c r="S397" s="103">
        <f t="shared" si="86"/>
        <v>0</v>
      </c>
      <c r="T397" s="103">
        <f t="shared" si="87"/>
        <v>0</v>
      </c>
      <c r="U397" s="104">
        <f t="shared" si="88"/>
        <v>0</v>
      </c>
      <c r="V397" s="104">
        <f t="shared" si="88"/>
        <v>0</v>
      </c>
      <c r="X397" s="103" t="e">
        <f t="shared" si="89"/>
        <v>#REF!</v>
      </c>
      <c r="Y397" s="103" t="e">
        <f t="shared" si="90"/>
        <v>#REF!</v>
      </c>
      <c r="Z397" s="104" t="e">
        <f t="shared" si="91"/>
        <v>#REF!</v>
      </c>
      <c r="AA397" s="104" t="e">
        <f t="shared" si="91"/>
        <v>#REF!</v>
      </c>
      <c r="AC397" s="103" t="e">
        <f t="shared" si="92"/>
        <v>#REF!</v>
      </c>
      <c r="AD397" s="103" t="e">
        <f t="shared" si="93"/>
        <v>#REF!</v>
      </c>
      <c r="AE397" s="104" t="e">
        <f t="shared" si="94"/>
        <v>#REF!</v>
      </c>
      <c r="AF397" s="104" t="e">
        <f t="shared" si="94"/>
        <v>#REF!</v>
      </c>
      <c r="AH397" s="103" t="e">
        <f t="shared" si="95"/>
        <v>#REF!</v>
      </c>
      <c r="AI397" s="103" t="e">
        <f t="shared" si="96"/>
        <v>#REF!</v>
      </c>
      <c r="AJ397" s="104" t="e">
        <f t="shared" si="97"/>
        <v>#REF!</v>
      </c>
      <c r="AK397" s="104" t="e">
        <f t="shared" si="97"/>
        <v>#REF!</v>
      </c>
    </row>
    <row r="398" spans="1:37">
      <c r="B398">
        <v>151</v>
      </c>
      <c r="S398" s="103">
        <f t="shared" si="86"/>
        <v>0</v>
      </c>
      <c r="T398" s="103">
        <f t="shared" si="87"/>
        <v>0</v>
      </c>
      <c r="U398" s="104">
        <f t="shared" si="88"/>
        <v>0</v>
      </c>
      <c r="V398" s="104">
        <f t="shared" si="88"/>
        <v>0</v>
      </c>
      <c r="X398" s="103" t="e">
        <f t="shared" si="89"/>
        <v>#REF!</v>
      </c>
      <c r="Y398" s="103" t="e">
        <f t="shared" si="90"/>
        <v>#REF!</v>
      </c>
      <c r="Z398" s="104" t="e">
        <f t="shared" si="91"/>
        <v>#REF!</v>
      </c>
      <c r="AA398" s="104" t="e">
        <f t="shared" si="91"/>
        <v>#REF!</v>
      </c>
      <c r="AC398" s="103" t="e">
        <f t="shared" si="92"/>
        <v>#REF!</v>
      </c>
      <c r="AD398" s="103" t="e">
        <f t="shared" si="93"/>
        <v>#REF!</v>
      </c>
      <c r="AE398" s="104" t="e">
        <f t="shared" si="94"/>
        <v>#REF!</v>
      </c>
      <c r="AF398" s="104" t="e">
        <f t="shared" si="94"/>
        <v>#REF!</v>
      </c>
      <c r="AH398" s="103" t="e">
        <f t="shared" si="95"/>
        <v>#REF!</v>
      </c>
      <c r="AI398" s="103" t="e">
        <f t="shared" si="96"/>
        <v>#REF!</v>
      </c>
      <c r="AJ398" s="104" t="e">
        <f t="shared" si="97"/>
        <v>#REF!</v>
      </c>
      <c r="AK398" s="104" t="e">
        <f t="shared" si="97"/>
        <v>#REF!</v>
      </c>
    </row>
    <row r="399" spans="1:37">
      <c r="B399">
        <v>152</v>
      </c>
      <c r="S399" s="103">
        <f t="shared" si="86"/>
        <v>0</v>
      </c>
      <c r="T399" s="103">
        <f t="shared" si="87"/>
        <v>0</v>
      </c>
      <c r="U399" s="104">
        <f t="shared" si="88"/>
        <v>0</v>
      </c>
      <c r="V399" s="104">
        <f t="shared" si="88"/>
        <v>0</v>
      </c>
      <c r="X399" s="103" t="e">
        <f t="shared" si="89"/>
        <v>#REF!</v>
      </c>
      <c r="Y399" s="103" t="e">
        <f t="shared" si="90"/>
        <v>#REF!</v>
      </c>
      <c r="Z399" s="104" t="e">
        <f t="shared" si="91"/>
        <v>#REF!</v>
      </c>
      <c r="AA399" s="104" t="e">
        <f t="shared" si="91"/>
        <v>#REF!</v>
      </c>
      <c r="AC399" s="103" t="e">
        <f t="shared" si="92"/>
        <v>#REF!</v>
      </c>
      <c r="AD399" s="103" t="e">
        <f t="shared" si="93"/>
        <v>#REF!</v>
      </c>
      <c r="AE399" s="104" t="e">
        <f t="shared" si="94"/>
        <v>#REF!</v>
      </c>
      <c r="AF399" s="104" t="e">
        <f t="shared" si="94"/>
        <v>#REF!</v>
      </c>
      <c r="AH399" s="103" t="e">
        <f t="shared" si="95"/>
        <v>#REF!</v>
      </c>
      <c r="AI399" s="103" t="e">
        <f t="shared" si="96"/>
        <v>#REF!</v>
      </c>
      <c r="AJ399" s="104" t="e">
        <f t="shared" si="97"/>
        <v>#REF!</v>
      </c>
      <c r="AK399" s="104" t="e">
        <f t="shared" si="97"/>
        <v>#REF!</v>
      </c>
    </row>
    <row r="400" spans="1:37">
      <c r="B400">
        <v>152</v>
      </c>
      <c r="S400" s="103">
        <f t="shared" si="86"/>
        <v>0</v>
      </c>
      <c r="T400" s="103">
        <f t="shared" si="87"/>
        <v>0</v>
      </c>
      <c r="U400" s="104">
        <f t="shared" si="88"/>
        <v>0</v>
      </c>
      <c r="V400" s="104">
        <f t="shared" si="88"/>
        <v>0</v>
      </c>
      <c r="X400" s="103" t="e">
        <f t="shared" si="89"/>
        <v>#REF!</v>
      </c>
      <c r="Y400" s="103" t="e">
        <f t="shared" si="90"/>
        <v>#REF!</v>
      </c>
      <c r="Z400" s="104" t="e">
        <f t="shared" si="91"/>
        <v>#REF!</v>
      </c>
      <c r="AA400" s="104" t="e">
        <f t="shared" si="91"/>
        <v>#REF!</v>
      </c>
      <c r="AC400" s="103" t="e">
        <f t="shared" si="92"/>
        <v>#REF!</v>
      </c>
      <c r="AD400" s="103" t="e">
        <f t="shared" si="93"/>
        <v>#REF!</v>
      </c>
      <c r="AE400" s="104" t="e">
        <f t="shared" si="94"/>
        <v>#REF!</v>
      </c>
      <c r="AF400" s="104" t="e">
        <f t="shared" si="94"/>
        <v>#REF!</v>
      </c>
      <c r="AH400" s="103" t="e">
        <f t="shared" si="95"/>
        <v>#REF!</v>
      </c>
      <c r="AI400" s="103" t="e">
        <f t="shared" si="96"/>
        <v>#REF!</v>
      </c>
      <c r="AJ400" s="104" t="e">
        <f t="shared" si="97"/>
        <v>#REF!</v>
      </c>
      <c r="AK400" s="104" t="e">
        <f t="shared" si="97"/>
        <v>#REF!</v>
      </c>
    </row>
    <row r="401" spans="1:37">
      <c r="B401">
        <v>152</v>
      </c>
      <c r="S401" s="103">
        <f t="shared" si="86"/>
        <v>0</v>
      </c>
      <c r="T401" s="103">
        <f t="shared" si="87"/>
        <v>0</v>
      </c>
      <c r="U401" s="104">
        <f t="shared" si="88"/>
        <v>0</v>
      </c>
      <c r="V401" s="104">
        <f t="shared" si="88"/>
        <v>0</v>
      </c>
      <c r="X401" s="103" t="e">
        <f t="shared" si="89"/>
        <v>#REF!</v>
      </c>
      <c r="Y401" s="103" t="e">
        <f t="shared" si="90"/>
        <v>#REF!</v>
      </c>
      <c r="Z401" s="104" t="e">
        <f t="shared" si="91"/>
        <v>#REF!</v>
      </c>
      <c r="AA401" s="104" t="e">
        <f t="shared" si="91"/>
        <v>#REF!</v>
      </c>
      <c r="AC401" s="103" t="e">
        <f t="shared" si="92"/>
        <v>#REF!</v>
      </c>
      <c r="AD401" s="103" t="e">
        <f t="shared" si="93"/>
        <v>#REF!</v>
      </c>
      <c r="AE401" s="104" t="e">
        <f t="shared" si="94"/>
        <v>#REF!</v>
      </c>
      <c r="AF401" s="104" t="e">
        <f t="shared" si="94"/>
        <v>#REF!</v>
      </c>
      <c r="AH401" s="103" t="e">
        <f t="shared" si="95"/>
        <v>#REF!</v>
      </c>
      <c r="AI401" s="103" t="e">
        <f t="shared" si="96"/>
        <v>#REF!</v>
      </c>
      <c r="AJ401" s="104" t="e">
        <f t="shared" si="97"/>
        <v>#REF!</v>
      </c>
      <c r="AK401" s="104" t="e">
        <f t="shared" si="97"/>
        <v>#REF!</v>
      </c>
    </row>
    <row r="402" spans="1:37">
      <c r="A402" t="s">
        <v>265</v>
      </c>
      <c r="B402">
        <v>153</v>
      </c>
      <c r="S402" s="103">
        <f t="shared" si="86"/>
        <v>0</v>
      </c>
      <c r="T402" s="103">
        <f t="shared" si="87"/>
        <v>0</v>
      </c>
      <c r="U402" s="104">
        <f t="shared" si="88"/>
        <v>0</v>
      </c>
      <c r="V402" s="104">
        <f t="shared" si="88"/>
        <v>0</v>
      </c>
      <c r="X402" s="103" t="e">
        <f t="shared" si="89"/>
        <v>#REF!</v>
      </c>
      <c r="Y402" s="103" t="e">
        <f t="shared" si="90"/>
        <v>#REF!</v>
      </c>
      <c r="Z402" s="104" t="e">
        <f t="shared" si="91"/>
        <v>#REF!</v>
      </c>
      <c r="AA402" s="104" t="e">
        <f t="shared" si="91"/>
        <v>#REF!</v>
      </c>
      <c r="AC402" s="103" t="e">
        <f t="shared" si="92"/>
        <v>#REF!</v>
      </c>
      <c r="AD402" s="103" t="e">
        <f t="shared" si="93"/>
        <v>#REF!</v>
      </c>
      <c r="AE402" s="104" t="e">
        <f t="shared" si="94"/>
        <v>#REF!</v>
      </c>
      <c r="AF402" s="104" t="e">
        <f t="shared" si="94"/>
        <v>#REF!</v>
      </c>
      <c r="AH402" s="103" t="e">
        <f t="shared" si="95"/>
        <v>#REF!</v>
      </c>
      <c r="AI402" s="103" t="e">
        <f t="shared" si="96"/>
        <v>#REF!</v>
      </c>
      <c r="AJ402" s="104" t="e">
        <f t="shared" si="97"/>
        <v>#REF!</v>
      </c>
      <c r="AK402" s="104" t="e">
        <f t="shared" si="97"/>
        <v>#REF!</v>
      </c>
    </row>
    <row r="403" spans="1:37">
      <c r="A403" t="s">
        <v>266</v>
      </c>
      <c r="B403">
        <v>154</v>
      </c>
      <c r="S403" s="103">
        <f t="shared" si="86"/>
        <v>0</v>
      </c>
      <c r="T403" s="103">
        <f t="shared" si="87"/>
        <v>0</v>
      </c>
      <c r="U403" s="104">
        <f t="shared" si="88"/>
        <v>0</v>
      </c>
      <c r="V403" s="104">
        <f t="shared" si="88"/>
        <v>0</v>
      </c>
      <c r="X403" s="103" t="e">
        <f t="shared" si="89"/>
        <v>#REF!</v>
      </c>
      <c r="Y403" s="103" t="e">
        <f t="shared" si="90"/>
        <v>#REF!</v>
      </c>
      <c r="Z403" s="104" t="e">
        <f t="shared" si="91"/>
        <v>#REF!</v>
      </c>
      <c r="AA403" s="104" t="e">
        <f t="shared" si="91"/>
        <v>#REF!</v>
      </c>
      <c r="AC403" s="103" t="e">
        <f t="shared" si="92"/>
        <v>#REF!</v>
      </c>
      <c r="AD403" s="103" t="e">
        <f t="shared" si="93"/>
        <v>#REF!</v>
      </c>
      <c r="AE403" s="104" t="e">
        <f t="shared" si="94"/>
        <v>#REF!</v>
      </c>
      <c r="AF403" s="104" t="e">
        <f t="shared" si="94"/>
        <v>#REF!</v>
      </c>
      <c r="AH403" s="103" t="e">
        <f t="shared" si="95"/>
        <v>#REF!</v>
      </c>
      <c r="AI403" s="103" t="e">
        <f t="shared" si="96"/>
        <v>#REF!</v>
      </c>
      <c r="AJ403" s="104" t="e">
        <f t="shared" si="97"/>
        <v>#REF!</v>
      </c>
      <c r="AK403" s="104" t="e">
        <f t="shared" si="97"/>
        <v>#REF!</v>
      </c>
    </row>
    <row r="404" spans="1:37">
      <c r="A404" t="s">
        <v>267</v>
      </c>
      <c r="B404">
        <v>155</v>
      </c>
      <c r="S404" s="103">
        <f t="shared" si="86"/>
        <v>0</v>
      </c>
      <c r="T404" s="103">
        <f t="shared" si="87"/>
        <v>0</v>
      </c>
      <c r="U404" s="104">
        <f t="shared" si="88"/>
        <v>0</v>
      </c>
      <c r="V404" s="104">
        <f t="shared" si="88"/>
        <v>0</v>
      </c>
      <c r="X404" s="103" t="e">
        <f t="shared" si="89"/>
        <v>#REF!</v>
      </c>
      <c r="Y404" s="103" t="e">
        <f t="shared" si="90"/>
        <v>#REF!</v>
      </c>
      <c r="Z404" s="104" t="e">
        <f t="shared" si="91"/>
        <v>#REF!</v>
      </c>
      <c r="AA404" s="104" t="e">
        <f t="shared" si="91"/>
        <v>#REF!</v>
      </c>
      <c r="AC404" s="103" t="e">
        <f t="shared" si="92"/>
        <v>#REF!</v>
      </c>
      <c r="AD404" s="103" t="e">
        <f t="shared" si="93"/>
        <v>#REF!</v>
      </c>
      <c r="AE404" s="104" t="e">
        <f t="shared" si="94"/>
        <v>#REF!</v>
      </c>
      <c r="AF404" s="104" t="e">
        <f t="shared" si="94"/>
        <v>#REF!</v>
      </c>
      <c r="AH404" s="103" t="e">
        <f t="shared" si="95"/>
        <v>#REF!</v>
      </c>
      <c r="AI404" s="103" t="e">
        <f t="shared" si="96"/>
        <v>#REF!</v>
      </c>
      <c r="AJ404" s="104" t="e">
        <f t="shared" si="97"/>
        <v>#REF!</v>
      </c>
      <c r="AK404" s="104" t="e">
        <f t="shared" si="97"/>
        <v>#REF!</v>
      </c>
    </row>
    <row r="405" spans="1:37">
      <c r="A405" t="s">
        <v>268</v>
      </c>
      <c r="B405">
        <v>157</v>
      </c>
      <c r="S405" s="103">
        <f t="shared" si="86"/>
        <v>0</v>
      </c>
      <c r="T405" s="103">
        <f t="shared" si="87"/>
        <v>0</v>
      </c>
      <c r="U405" s="104">
        <f t="shared" si="88"/>
        <v>0</v>
      </c>
      <c r="V405" s="104">
        <f t="shared" si="88"/>
        <v>0</v>
      </c>
      <c r="X405" s="103" t="e">
        <f t="shared" si="89"/>
        <v>#REF!</v>
      </c>
      <c r="Y405" s="103" t="e">
        <f t="shared" si="90"/>
        <v>#REF!</v>
      </c>
      <c r="Z405" s="104" t="e">
        <f t="shared" si="91"/>
        <v>#REF!</v>
      </c>
      <c r="AA405" s="104" t="e">
        <f t="shared" si="91"/>
        <v>#REF!</v>
      </c>
      <c r="AC405" s="103" t="e">
        <f t="shared" si="92"/>
        <v>#REF!</v>
      </c>
      <c r="AD405" s="103" t="e">
        <f t="shared" si="93"/>
        <v>#REF!</v>
      </c>
      <c r="AE405" s="104" t="e">
        <f t="shared" si="94"/>
        <v>#REF!</v>
      </c>
      <c r="AF405" s="104" t="e">
        <f t="shared" si="94"/>
        <v>#REF!</v>
      </c>
      <c r="AH405" s="103" t="e">
        <f t="shared" si="95"/>
        <v>#REF!</v>
      </c>
      <c r="AI405" s="103" t="e">
        <f t="shared" si="96"/>
        <v>#REF!</v>
      </c>
      <c r="AJ405" s="104" t="e">
        <f t="shared" si="97"/>
        <v>#REF!</v>
      </c>
      <c r="AK405" s="104" t="e">
        <f t="shared" si="97"/>
        <v>#REF!</v>
      </c>
    </row>
    <row r="406" spans="1:37">
      <c r="A406" t="s">
        <v>269</v>
      </c>
      <c r="B406">
        <v>158</v>
      </c>
      <c r="S406" s="103">
        <f t="shared" ref="S406:S469" si="98">IF($A406&lt;&gt;"(DC)", $E406*$R$7, $E406)</f>
        <v>0</v>
      </c>
      <c r="T406" s="103">
        <f t="shared" ref="T406:T469" si="99">IF($A406&lt;&gt;"(DC)", $F406*$R$7, $F406)</f>
        <v>0</v>
      </c>
      <c r="U406" s="104">
        <f t="shared" ref="U406:V469" si="100">IF(AND($D406="",S406=""),"",IF($D406="",S406,$D406+S406))</f>
        <v>0</v>
      </c>
      <c r="V406" s="104">
        <f t="shared" si="100"/>
        <v>0</v>
      </c>
      <c r="X406" s="103" t="e">
        <f t="shared" ref="X406:X469" si="101">IF($A406&lt;&gt;"(DC)", $E406*$W$7, $E406)</f>
        <v>#REF!</v>
      </c>
      <c r="Y406" s="103" t="e">
        <f t="shared" ref="Y406:Y469" si="102">IF($A406&lt;&gt;"(DC)", $F406*$W$7, $F406)</f>
        <v>#REF!</v>
      </c>
      <c r="Z406" s="104" t="e">
        <f t="shared" ref="Z406:AA469" si="103">IF(AND($D406="",X406=""),"",IF($D406="",X406,$D406+X406))</f>
        <v>#REF!</v>
      </c>
      <c r="AA406" s="104" t="e">
        <f t="shared" si="103"/>
        <v>#REF!</v>
      </c>
      <c r="AC406" s="103" t="e">
        <f t="shared" ref="AC406:AC469" si="104">IF($A406&lt;&gt;"(DC)", $E406*$W$7, $E406)</f>
        <v>#REF!</v>
      </c>
      <c r="AD406" s="103" t="e">
        <f t="shared" ref="AD406:AD469" si="105">IF($A406&lt;&gt;"(DC)", $F406*$W$7, $F406)</f>
        <v>#REF!</v>
      </c>
      <c r="AE406" s="104" t="e">
        <f t="shared" ref="AE406:AF469" si="106">IF(AND($D406="",AC406=""),"",IF($D406="",AC406,$D406+AC406))</f>
        <v>#REF!</v>
      </c>
      <c r="AF406" s="104" t="e">
        <f t="shared" si="106"/>
        <v>#REF!</v>
      </c>
      <c r="AH406" s="103" t="e">
        <f t="shared" ref="AH406:AH469" si="107">IF($A406&lt;&gt;"(DC)", $E406*$AG$7, $E406)</f>
        <v>#REF!</v>
      </c>
      <c r="AI406" s="103" t="e">
        <f t="shared" ref="AI406:AI469" si="108">IF($A406&lt;&gt;"(DC)", $F406*$AG$7, $F406)</f>
        <v>#REF!</v>
      </c>
      <c r="AJ406" s="104" t="e">
        <f t="shared" ref="AJ406:AK469" si="109">IF(AND($D406="",AH406=""),"",IF($D406="",AH406,$D406+AH406))</f>
        <v>#REF!</v>
      </c>
      <c r="AK406" s="104" t="e">
        <f t="shared" si="109"/>
        <v>#REF!</v>
      </c>
    </row>
    <row r="407" spans="1:37">
      <c r="S407" s="103">
        <f t="shared" si="98"/>
        <v>0</v>
      </c>
      <c r="T407" s="103">
        <f t="shared" si="99"/>
        <v>0</v>
      </c>
      <c r="U407" s="104">
        <f t="shared" si="100"/>
        <v>0</v>
      </c>
      <c r="V407" s="104">
        <f t="shared" si="100"/>
        <v>0</v>
      </c>
      <c r="X407" s="103" t="e">
        <f t="shared" si="101"/>
        <v>#REF!</v>
      </c>
      <c r="Y407" s="103" t="e">
        <f t="shared" si="102"/>
        <v>#REF!</v>
      </c>
      <c r="Z407" s="104" t="e">
        <f t="shared" si="103"/>
        <v>#REF!</v>
      </c>
      <c r="AA407" s="104" t="e">
        <f t="shared" si="103"/>
        <v>#REF!</v>
      </c>
      <c r="AC407" s="103" t="e">
        <f t="shared" si="104"/>
        <v>#REF!</v>
      </c>
      <c r="AD407" s="103" t="e">
        <f t="shared" si="105"/>
        <v>#REF!</v>
      </c>
      <c r="AE407" s="104" t="e">
        <f t="shared" si="106"/>
        <v>#REF!</v>
      </c>
      <c r="AF407" s="104" t="e">
        <f t="shared" si="106"/>
        <v>#REF!</v>
      </c>
      <c r="AH407" s="103" t="e">
        <f t="shared" si="107"/>
        <v>#REF!</v>
      </c>
      <c r="AI407" s="103" t="e">
        <f t="shared" si="108"/>
        <v>#REF!</v>
      </c>
      <c r="AJ407" s="104" t="e">
        <f t="shared" si="109"/>
        <v>#REF!</v>
      </c>
      <c r="AK407" s="104" t="e">
        <f t="shared" si="109"/>
        <v>#REF!</v>
      </c>
    </row>
    <row r="408" spans="1:37">
      <c r="S408" s="103">
        <f t="shared" si="98"/>
        <v>0</v>
      </c>
      <c r="T408" s="103">
        <f t="shared" si="99"/>
        <v>0</v>
      </c>
      <c r="U408" s="104">
        <f t="shared" si="100"/>
        <v>0</v>
      </c>
      <c r="V408" s="104">
        <f t="shared" si="100"/>
        <v>0</v>
      </c>
      <c r="X408" s="103" t="e">
        <f t="shared" si="101"/>
        <v>#REF!</v>
      </c>
      <c r="Y408" s="103" t="e">
        <f t="shared" si="102"/>
        <v>#REF!</v>
      </c>
      <c r="Z408" s="104" t="e">
        <f t="shared" si="103"/>
        <v>#REF!</v>
      </c>
      <c r="AA408" s="104" t="e">
        <f t="shared" si="103"/>
        <v>#REF!</v>
      </c>
      <c r="AC408" s="103" t="e">
        <f t="shared" si="104"/>
        <v>#REF!</v>
      </c>
      <c r="AD408" s="103" t="e">
        <f t="shared" si="105"/>
        <v>#REF!</v>
      </c>
      <c r="AE408" s="104" t="e">
        <f t="shared" si="106"/>
        <v>#REF!</v>
      </c>
      <c r="AF408" s="104" t="e">
        <f t="shared" si="106"/>
        <v>#REF!</v>
      </c>
      <c r="AH408" s="103" t="e">
        <f t="shared" si="107"/>
        <v>#REF!</v>
      </c>
      <c r="AI408" s="103" t="e">
        <f t="shared" si="108"/>
        <v>#REF!</v>
      </c>
      <c r="AJ408" s="104" t="e">
        <f t="shared" si="109"/>
        <v>#REF!</v>
      </c>
      <c r="AK408" s="104" t="e">
        <f t="shared" si="109"/>
        <v>#REF!</v>
      </c>
    </row>
    <row r="409" spans="1:37">
      <c r="S409" s="103">
        <f t="shared" si="98"/>
        <v>0</v>
      </c>
      <c r="T409" s="103">
        <f t="shared" si="99"/>
        <v>0</v>
      </c>
      <c r="U409" s="104">
        <f t="shared" si="100"/>
        <v>0</v>
      </c>
      <c r="V409" s="104">
        <f t="shared" si="100"/>
        <v>0</v>
      </c>
      <c r="X409" s="103" t="e">
        <f t="shared" si="101"/>
        <v>#REF!</v>
      </c>
      <c r="Y409" s="103" t="e">
        <f t="shared" si="102"/>
        <v>#REF!</v>
      </c>
      <c r="Z409" s="104" t="e">
        <f t="shared" si="103"/>
        <v>#REF!</v>
      </c>
      <c r="AA409" s="104" t="e">
        <f t="shared" si="103"/>
        <v>#REF!</v>
      </c>
      <c r="AC409" s="103" t="e">
        <f t="shared" si="104"/>
        <v>#REF!</v>
      </c>
      <c r="AD409" s="103" t="e">
        <f t="shared" si="105"/>
        <v>#REF!</v>
      </c>
      <c r="AE409" s="104" t="e">
        <f t="shared" si="106"/>
        <v>#REF!</v>
      </c>
      <c r="AF409" s="104" t="e">
        <f t="shared" si="106"/>
        <v>#REF!</v>
      </c>
      <c r="AH409" s="103" t="e">
        <f t="shared" si="107"/>
        <v>#REF!</v>
      </c>
      <c r="AI409" s="103" t="e">
        <f t="shared" si="108"/>
        <v>#REF!</v>
      </c>
      <c r="AJ409" s="104" t="e">
        <f t="shared" si="109"/>
        <v>#REF!</v>
      </c>
      <c r="AK409" s="104" t="e">
        <f t="shared" si="109"/>
        <v>#REF!</v>
      </c>
    </row>
    <row r="410" spans="1:37">
      <c r="S410" s="103">
        <f t="shared" si="98"/>
        <v>0</v>
      </c>
      <c r="T410" s="103">
        <f t="shared" si="99"/>
        <v>0</v>
      </c>
      <c r="U410" s="104">
        <f t="shared" si="100"/>
        <v>0</v>
      </c>
      <c r="V410" s="104">
        <f t="shared" si="100"/>
        <v>0</v>
      </c>
      <c r="X410" s="103" t="e">
        <f t="shared" si="101"/>
        <v>#REF!</v>
      </c>
      <c r="Y410" s="103" t="e">
        <f t="shared" si="102"/>
        <v>#REF!</v>
      </c>
      <c r="Z410" s="104" t="e">
        <f t="shared" si="103"/>
        <v>#REF!</v>
      </c>
      <c r="AA410" s="104" t="e">
        <f t="shared" si="103"/>
        <v>#REF!</v>
      </c>
      <c r="AC410" s="103" t="e">
        <f t="shared" si="104"/>
        <v>#REF!</v>
      </c>
      <c r="AD410" s="103" t="e">
        <f t="shared" si="105"/>
        <v>#REF!</v>
      </c>
      <c r="AE410" s="104" t="e">
        <f t="shared" si="106"/>
        <v>#REF!</v>
      </c>
      <c r="AF410" s="104" t="e">
        <f t="shared" si="106"/>
        <v>#REF!</v>
      </c>
      <c r="AH410" s="103" t="e">
        <f t="shared" si="107"/>
        <v>#REF!</v>
      </c>
      <c r="AI410" s="103" t="e">
        <f t="shared" si="108"/>
        <v>#REF!</v>
      </c>
      <c r="AJ410" s="104" t="e">
        <f t="shared" si="109"/>
        <v>#REF!</v>
      </c>
      <c r="AK410" s="104" t="e">
        <f t="shared" si="109"/>
        <v>#REF!</v>
      </c>
    </row>
    <row r="411" spans="1:37">
      <c r="S411" s="103">
        <f t="shared" si="98"/>
        <v>0</v>
      </c>
      <c r="T411" s="103">
        <f t="shared" si="99"/>
        <v>0</v>
      </c>
      <c r="U411" s="104">
        <f t="shared" si="100"/>
        <v>0</v>
      </c>
      <c r="V411" s="104">
        <f t="shared" si="100"/>
        <v>0</v>
      </c>
      <c r="X411" s="103" t="e">
        <f t="shared" si="101"/>
        <v>#REF!</v>
      </c>
      <c r="Y411" s="103" t="e">
        <f t="shared" si="102"/>
        <v>#REF!</v>
      </c>
      <c r="Z411" s="104" t="e">
        <f t="shared" si="103"/>
        <v>#REF!</v>
      </c>
      <c r="AA411" s="104" t="e">
        <f t="shared" si="103"/>
        <v>#REF!</v>
      </c>
      <c r="AC411" s="103" t="e">
        <f t="shared" si="104"/>
        <v>#REF!</v>
      </c>
      <c r="AD411" s="103" t="e">
        <f t="shared" si="105"/>
        <v>#REF!</v>
      </c>
      <c r="AE411" s="104" t="e">
        <f t="shared" si="106"/>
        <v>#REF!</v>
      </c>
      <c r="AF411" s="104" t="e">
        <f t="shared" si="106"/>
        <v>#REF!</v>
      </c>
      <c r="AH411" s="103" t="e">
        <f t="shared" si="107"/>
        <v>#REF!</v>
      </c>
      <c r="AI411" s="103" t="e">
        <f t="shared" si="108"/>
        <v>#REF!</v>
      </c>
      <c r="AJ411" s="104" t="e">
        <f t="shared" si="109"/>
        <v>#REF!</v>
      </c>
      <c r="AK411" s="104" t="e">
        <f t="shared" si="109"/>
        <v>#REF!</v>
      </c>
    </row>
    <row r="412" spans="1:37">
      <c r="S412" s="103">
        <f t="shared" si="98"/>
        <v>0</v>
      </c>
      <c r="T412" s="103">
        <f t="shared" si="99"/>
        <v>0</v>
      </c>
      <c r="U412" s="104">
        <f t="shared" si="100"/>
        <v>0</v>
      </c>
      <c r="V412" s="104">
        <f t="shared" si="100"/>
        <v>0</v>
      </c>
      <c r="X412" s="103" t="e">
        <f t="shared" si="101"/>
        <v>#REF!</v>
      </c>
      <c r="Y412" s="103" t="e">
        <f t="shared" si="102"/>
        <v>#REF!</v>
      </c>
      <c r="Z412" s="104" t="e">
        <f t="shared" si="103"/>
        <v>#REF!</v>
      </c>
      <c r="AA412" s="104" t="e">
        <f t="shared" si="103"/>
        <v>#REF!</v>
      </c>
      <c r="AC412" s="103" t="e">
        <f t="shared" si="104"/>
        <v>#REF!</v>
      </c>
      <c r="AD412" s="103" t="e">
        <f t="shared" si="105"/>
        <v>#REF!</v>
      </c>
      <c r="AE412" s="104" t="e">
        <f t="shared" si="106"/>
        <v>#REF!</v>
      </c>
      <c r="AF412" s="104" t="e">
        <f t="shared" si="106"/>
        <v>#REF!</v>
      </c>
      <c r="AH412" s="103" t="e">
        <f t="shared" si="107"/>
        <v>#REF!</v>
      </c>
      <c r="AI412" s="103" t="e">
        <f t="shared" si="108"/>
        <v>#REF!</v>
      </c>
      <c r="AJ412" s="104" t="e">
        <f t="shared" si="109"/>
        <v>#REF!</v>
      </c>
      <c r="AK412" s="104" t="e">
        <f t="shared" si="109"/>
        <v>#REF!</v>
      </c>
    </row>
    <row r="413" spans="1:37">
      <c r="S413" s="103">
        <f t="shared" si="98"/>
        <v>0</v>
      </c>
      <c r="T413" s="103">
        <f t="shared" si="99"/>
        <v>0</v>
      </c>
      <c r="U413" s="104">
        <f t="shared" si="100"/>
        <v>0</v>
      </c>
      <c r="V413" s="104">
        <f t="shared" si="100"/>
        <v>0</v>
      </c>
      <c r="X413" s="103" t="e">
        <f t="shared" si="101"/>
        <v>#REF!</v>
      </c>
      <c r="Y413" s="103" t="e">
        <f t="shared" si="102"/>
        <v>#REF!</v>
      </c>
      <c r="Z413" s="104" t="e">
        <f t="shared" si="103"/>
        <v>#REF!</v>
      </c>
      <c r="AA413" s="104" t="e">
        <f t="shared" si="103"/>
        <v>#REF!</v>
      </c>
      <c r="AC413" s="103" t="e">
        <f t="shared" si="104"/>
        <v>#REF!</v>
      </c>
      <c r="AD413" s="103" t="e">
        <f t="shared" si="105"/>
        <v>#REF!</v>
      </c>
      <c r="AE413" s="104" t="e">
        <f t="shared" si="106"/>
        <v>#REF!</v>
      </c>
      <c r="AF413" s="104" t="e">
        <f t="shared" si="106"/>
        <v>#REF!</v>
      </c>
      <c r="AH413" s="103" t="e">
        <f t="shared" si="107"/>
        <v>#REF!</v>
      </c>
      <c r="AI413" s="103" t="e">
        <f t="shared" si="108"/>
        <v>#REF!</v>
      </c>
      <c r="AJ413" s="104" t="e">
        <f t="shared" si="109"/>
        <v>#REF!</v>
      </c>
      <c r="AK413" s="104" t="e">
        <f t="shared" si="109"/>
        <v>#REF!</v>
      </c>
    </row>
    <row r="414" spans="1:37">
      <c r="S414" s="103">
        <f t="shared" si="98"/>
        <v>0</v>
      </c>
      <c r="T414" s="103">
        <f t="shared" si="99"/>
        <v>0</v>
      </c>
      <c r="U414" s="104">
        <f t="shared" si="100"/>
        <v>0</v>
      </c>
      <c r="V414" s="104">
        <f t="shared" si="100"/>
        <v>0</v>
      </c>
      <c r="X414" s="103" t="e">
        <f t="shared" si="101"/>
        <v>#REF!</v>
      </c>
      <c r="Y414" s="103" t="e">
        <f t="shared" si="102"/>
        <v>#REF!</v>
      </c>
      <c r="Z414" s="104" t="e">
        <f t="shared" si="103"/>
        <v>#REF!</v>
      </c>
      <c r="AA414" s="104" t="e">
        <f t="shared" si="103"/>
        <v>#REF!</v>
      </c>
      <c r="AC414" s="103" t="e">
        <f t="shared" si="104"/>
        <v>#REF!</v>
      </c>
      <c r="AD414" s="103" t="e">
        <f t="shared" si="105"/>
        <v>#REF!</v>
      </c>
      <c r="AE414" s="104" t="e">
        <f t="shared" si="106"/>
        <v>#REF!</v>
      </c>
      <c r="AF414" s="104" t="e">
        <f t="shared" si="106"/>
        <v>#REF!</v>
      </c>
      <c r="AH414" s="103" t="e">
        <f t="shared" si="107"/>
        <v>#REF!</v>
      </c>
      <c r="AI414" s="103" t="e">
        <f t="shared" si="108"/>
        <v>#REF!</v>
      </c>
      <c r="AJ414" s="104" t="e">
        <f t="shared" si="109"/>
        <v>#REF!</v>
      </c>
      <c r="AK414" s="104" t="e">
        <f t="shared" si="109"/>
        <v>#REF!</v>
      </c>
    </row>
    <row r="415" spans="1:37">
      <c r="S415" s="103">
        <f t="shared" si="98"/>
        <v>0</v>
      </c>
      <c r="T415" s="103">
        <f t="shared" si="99"/>
        <v>0</v>
      </c>
      <c r="U415" s="104">
        <f t="shared" si="100"/>
        <v>0</v>
      </c>
      <c r="V415" s="104">
        <f t="shared" si="100"/>
        <v>0</v>
      </c>
      <c r="X415" s="103" t="e">
        <f t="shared" si="101"/>
        <v>#REF!</v>
      </c>
      <c r="Y415" s="103" t="e">
        <f t="shared" si="102"/>
        <v>#REF!</v>
      </c>
      <c r="Z415" s="104" t="e">
        <f t="shared" si="103"/>
        <v>#REF!</v>
      </c>
      <c r="AA415" s="104" t="e">
        <f t="shared" si="103"/>
        <v>#REF!</v>
      </c>
      <c r="AC415" s="103" t="e">
        <f t="shared" si="104"/>
        <v>#REF!</v>
      </c>
      <c r="AD415" s="103" t="e">
        <f t="shared" si="105"/>
        <v>#REF!</v>
      </c>
      <c r="AE415" s="104" t="e">
        <f t="shared" si="106"/>
        <v>#REF!</v>
      </c>
      <c r="AF415" s="104" t="e">
        <f t="shared" si="106"/>
        <v>#REF!</v>
      </c>
      <c r="AH415" s="103" t="e">
        <f t="shared" si="107"/>
        <v>#REF!</v>
      </c>
      <c r="AI415" s="103" t="e">
        <f t="shared" si="108"/>
        <v>#REF!</v>
      </c>
      <c r="AJ415" s="104" t="e">
        <f t="shared" si="109"/>
        <v>#REF!</v>
      </c>
      <c r="AK415" s="104" t="e">
        <f t="shared" si="109"/>
        <v>#REF!</v>
      </c>
    </row>
    <row r="416" spans="1:37">
      <c r="S416" s="103">
        <f t="shared" si="98"/>
        <v>0</v>
      </c>
      <c r="T416" s="103">
        <f t="shared" si="99"/>
        <v>0</v>
      </c>
      <c r="U416" s="104">
        <f t="shared" si="100"/>
        <v>0</v>
      </c>
      <c r="V416" s="104">
        <f t="shared" si="100"/>
        <v>0</v>
      </c>
      <c r="X416" s="103" t="e">
        <f t="shared" si="101"/>
        <v>#REF!</v>
      </c>
      <c r="Y416" s="103" t="e">
        <f t="shared" si="102"/>
        <v>#REF!</v>
      </c>
      <c r="Z416" s="104" t="e">
        <f t="shared" si="103"/>
        <v>#REF!</v>
      </c>
      <c r="AA416" s="104" t="e">
        <f t="shared" si="103"/>
        <v>#REF!</v>
      </c>
      <c r="AC416" s="103" t="e">
        <f t="shared" si="104"/>
        <v>#REF!</v>
      </c>
      <c r="AD416" s="103" t="e">
        <f t="shared" si="105"/>
        <v>#REF!</v>
      </c>
      <c r="AE416" s="104" t="e">
        <f t="shared" si="106"/>
        <v>#REF!</v>
      </c>
      <c r="AF416" s="104" t="e">
        <f t="shared" si="106"/>
        <v>#REF!</v>
      </c>
      <c r="AH416" s="103" t="e">
        <f t="shared" si="107"/>
        <v>#REF!</v>
      </c>
      <c r="AI416" s="103" t="e">
        <f t="shared" si="108"/>
        <v>#REF!</v>
      </c>
      <c r="AJ416" s="104" t="e">
        <f t="shared" si="109"/>
        <v>#REF!</v>
      </c>
      <c r="AK416" s="104" t="e">
        <f t="shared" si="109"/>
        <v>#REF!</v>
      </c>
    </row>
    <row r="417" spans="19:37">
      <c r="S417" s="103">
        <f t="shared" si="98"/>
        <v>0</v>
      </c>
      <c r="T417" s="103">
        <f t="shared" si="99"/>
        <v>0</v>
      </c>
      <c r="U417" s="104">
        <f t="shared" si="100"/>
        <v>0</v>
      </c>
      <c r="V417" s="104">
        <f t="shared" si="100"/>
        <v>0</v>
      </c>
      <c r="X417" s="103" t="e">
        <f t="shared" si="101"/>
        <v>#REF!</v>
      </c>
      <c r="Y417" s="103" t="e">
        <f t="shared" si="102"/>
        <v>#REF!</v>
      </c>
      <c r="Z417" s="104" t="e">
        <f t="shared" si="103"/>
        <v>#REF!</v>
      </c>
      <c r="AA417" s="104" t="e">
        <f t="shared" si="103"/>
        <v>#REF!</v>
      </c>
      <c r="AC417" s="103" t="e">
        <f t="shared" si="104"/>
        <v>#REF!</v>
      </c>
      <c r="AD417" s="103" t="e">
        <f t="shared" si="105"/>
        <v>#REF!</v>
      </c>
      <c r="AE417" s="104" t="e">
        <f t="shared" si="106"/>
        <v>#REF!</v>
      </c>
      <c r="AF417" s="104" t="e">
        <f t="shared" si="106"/>
        <v>#REF!</v>
      </c>
      <c r="AH417" s="103" t="e">
        <f t="shared" si="107"/>
        <v>#REF!</v>
      </c>
      <c r="AI417" s="103" t="e">
        <f t="shared" si="108"/>
        <v>#REF!</v>
      </c>
      <c r="AJ417" s="104" t="e">
        <f t="shared" si="109"/>
        <v>#REF!</v>
      </c>
      <c r="AK417" s="104" t="e">
        <f t="shared" si="109"/>
        <v>#REF!</v>
      </c>
    </row>
    <row r="418" spans="19:37">
      <c r="S418" s="103">
        <f t="shared" si="98"/>
        <v>0</v>
      </c>
      <c r="T418" s="103">
        <f t="shared" si="99"/>
        <v>0</v>
      </c>
      <c r="U418" s="104">
        <f t="shared" si="100"/>
        <v>0</v>
      </c>
      <c r="V418" s="104">
        <f t="shared" si="100"/>
        <v>0</v>
      </c>
      <c r="X418" s="103" t="e">
        <f t="shared" si="101"/>
        <v>#REF!</v>
      </c>
      <c r="Y418" s="103" t="e">
        <f t="shared" si="102"/>
        <v>#REF!</v>
      </c>
      <c r="Z418" s="104" t="e">
        <f t="shared" si="103"/>
        <v>#REF!</v>
      </c>
      <c r="AA418" s="104" t="e">
        <f t="shared" si="103"/>
        <v>#REF!</v>
      </c>
      <c r="AC418" s="103" t="e">
        <f t="shared" si="104"/>
        <v>#REF!</v>
      </c>
      <c r="AD418" s="103" t="e">
        <f t="shared" si="105"/>
        <v>#REF!</v>
      </c>
      <c r="AE418" s="104" t="e">
        <f t="shared" si="106"/>
        <v>#REF!</v>
      </c>
      <c r="AF418" s="104" t="e">
        <f t="shared" si="106"/>
        <v>#REF!</v>
      </c>
      <c r="AH418" s="103" t="e">
        <f t="shared" si="107"/>
        <v>#REF!</v>
      </c>
      <c r="AI418" s="103" t="e">
        <f t="shared" si="108"/>
        <v>#REF!</v>
      </c>
      <c r="AJ418" s="104" t="e">
        <f t="shared" si="109"/>
        <v>#REF!</v>
      </c>
      <c r="AK418" s="104" t="e">
        <f t="shared" si="109"/>
        <v>#REF!</v>
      </c>
    </row>
    <row r="419" spans="19:37">
      <c r="S419" s="103">
        <f t="shared" si="98"/>
        <v>0</v>
      </c>
      <c r="T419" s="103">
        <f t="shared" si="99"/>
        <v>0</v>
      </c>
      <c r="U419" s="104">
        <f t="shared" si="100"/>
        <v>0</v>
      </c>
      <c r="V419" s="104">
        <f t="shared" si="100"/>
        <v>0</v>
      </c>
      <c r="X419" s="103" t="e">
        <f t="shared" si="101"/>
        <v>#REF!</v>
      </c>
      <c r="Y419" s="103" t="e">
        <f t="shared" si="102"/>
        <v>#REF!</v>
      </c>
      <c r="Z419" s="104" t="e">
        <f t="shared" si="103"/>
        <v>#REF!</v>
      </c>
      <c r="AA419" s="104" t="e">
        <f t="shared" si="103"/>
        <v>#REF!</v>
      </c>
      <c r="AC419" s="103" t="e">
        <f t="shared" si="104"/>
        <v>#REF!</v>
      </c>
      <c r="AD419" s="103" t="e">
        <f t="shared" si="105"/>
        <v>#REF!</v>
      </c>
      <c r="AE419" s="104" t="e">
        <f t="shared" si="106"/>
        <v>#REF!</v>
      </c>
      <c r="AF419" s="104" t="e">
        <f t="shared" si="106"/>
        <v>#REF!</v>
      </c>
      <c r="AH419" s="103" t="e">
        <f t="shared" si="107"/>
        <v>#REF!</v>
      </c>
      <c r="AI419" s="103" t="e">
        <f t="shared" si="108"/>
        <v>#REF!</v>
      </c>
      <c r="AJ419" s="104" t="e">
        <f t="shared" si="109"/>
        <v>#REF!</v>
      </c>
      <c r="AK419" s="104" t="e">
        <f t="shared" si="109"/>
        <v>#REF!</v>
      </c>
    </row>
    <row r="420" spans="19:37">
      <c r="S420" s="103">
        <f t="shared" si="98"/>
        <v>0</v>
      </c>
      <c r="T420" s="103">
        <f t="shared" si="99"/>
        <v>0</v>
      </c>
      <c r="U420" s="104">
        <f t="shared" si="100"/>
        <v>0</v>
      </c>
      <c r="V420" s="104">
        <f t="shared" si="100"/>
        <v>0</v>
      </c>
      <c r="X420" s="103" t="e">
        <f t="shared" si="101"/>
        <v>#REF!</v>
      </c>
      <c r="Y420" s="103" t="e">
        <f t="shared" si="102"/>
        <v>#REF!</v>
      </c>
      <c r="Z420" s="104" t="e">
        <f t="shared" si="103"/>
        <v>#REF!</v>
      </c>
      <c r="AA420" s="104" t="e">
        <f t="shared" si="103"/>
        <v>#REF!</v>
      </c>
      <c r="AC420" s="103" t="e">
        <f t="shared" si="104"/>
        <v>#REF!</v>
      </c>
      <c r="AD420" s="103" t="e">
        <f t="shared" si="105"/>
        <v>#REF!</v>
      </c>
      <c r="AE420" s="104" t="e">
        <f t="shared" si="106"/>
        <v>#REF!</v>
      </c>
      <c r="AF420" s="104" t="e">
        <f t="shared" si="106"/>
        <v>#REF!</v>
      </c>
      <c r="AH420" s="103" t="e">
        <f t="shared" si="107"/>
        <v>#REF!</v>
      </c>
      <c r="AI420" s="103" t="e">
        <f t="shared" si="108"/>
        <v>#REF!</v>
      </c>
      <c r="AJ420" s="104" t="e">
        <f t="shared" si="109"/>
        <v>#REF!</v>
      </c>
      <c r="AK420" s="104" t="e">
        <f t="shared" si="109"/>
        <v>#REF!</v>
      </c>
    </row>
    <row r="421" spans="19:37">
      <c r="S421" s="103">
        <f t="shared" si="98"/>
        <v>0</v>
      </c>
      <c r="T421" s="103">
        <f t="shared" si="99"/>
        <v>0</v>
      </c>
      <c r="U421" s="104">
        <f t="shared" si="100"/>
        <v>0</v>
      </c>
      <c r="V421" s="104">
        <f t="shared" si="100"/>
        <v>0</v>
      </c>
      <c r="X421" s="103" t="e">
        <f t="shared" si="101"/>
        <v>#REF!</v>
      </c>
      <c r="Y421" s="103" t="e">
        <f t="shared" si="102"/>
        <v>#REF!</v>
      </c>
      <c r="Z421" s="104" t="e">
        <f t="shared" si="103"/>
        <v>#REF!</v>
      </c>
      <c r="AA421" s="104" t="e">
        <f t="shared" si="103"/>
        <v>#REF!</v>
      </c>
      <c r="AC421" s="103" t="e">
        <f t="shared" si="104"/>
        <v>#REF!</v>
      </c>
      <c r="AD421" s="103" t="e">
        <f t="shared" si="105"/>
        <v>#REF!</v>
      </c>
      <c r="AE421" s="104" t="e">
        <f t="shared" si="106"/>
        <v>#REF!</v>
      </c>
      <c r="AF421" s="104" t="e">
        <f t="shared" si="106"/>
        <v>#REF!</v>
      </c>
      <c r="AH421" s="103" t="e">
        <f t="shared" si="107"/>
        <v>#REF!</v>
      </c>
      <c r="AI421" s="103" t="e">
        <f t="shared" si="108"/>
        <v>#REF!</v>
      </c>
      <c r="AJ421" s="104" t="e">
        <f t="shared" si="109"/>
        <v>#REF!</v>
      </c>
      <c r="AK421" s="104" t="e">
        <f t="shared" si="109"/>
        <v>#REF!</v>
      </c>
    </row>
    <row r="422" spans="19:37">
      <c r="S422" s="103">
        <f t="shared" si="98"/>
        <v>0</v>
      </c>
      <c r="T422" s="103">
        <f t="shared" si="99"/>
        <v>0</v>
      </c>
      <c r="U422" s="104">
        <f t="shared" si="100"/>
        <v>0</v>
      </c>
      <c r="V422" s="104">
        <f t="shared" si="100"/>
        <v>0</v>
      </c>
      <c r="X422" s="103" t="e">
        <f t="shared" si="101"/>
        <v>#REF!</v>
      </c>
      <c r="Y422" s="103" t="e">
        <f t="shared" si="102"/>
        <v>#REF!</v>
      </c>
      <c r="Z422" s="104" t="e">
        <f t="shared" si="103"/>
        <v>#REF!</v>
      </c>
      <c r="AA422" s="104" t="e">
        <f t="shared" si="103"/>
        <v>#REF!</v>
      </c>
      <c r="AC422" s="103" t="e">
        <f t="shared" si="104"/>
        <v>#REF!</v>
      </c>
      <c r="AD422" s="103" t="e">
        <f t="shared" si="105"/>
        <v>#REF!</v>
      </c>
      <c r="AE422" s="104" t="e">
        <f t="shared" si="106"/>
        <v>#REF!</v>
      </c>
      <c r="AF422" s="104" t="e">
        <f t="shared" si="106"/>
        <v>#REF!</v>
      </c>
      <c r="AH422" s="103" t="e">
        <f t="shared" si="107"/>
        <v>#REF!</v>
      </c>
      <c r="AI422" s="103" t="e">
        <f t="shared" si="108"/>
        <v>#REF!</v>
      </c>
      <c r="AJ422" s="104" t="e">
        <f t="shared" si="109"/>
        <v>#REF!</v>
      </c>
      <c r="AK422" s="104" t="e">
        <f t="shared" si="109"/>
        <v>#REF!</v>
      </c>
    </row>
    <row r="423" spans="19:37">
      <c r="S423" s="103">
        <f t="shared" si="98"/>
        <v>0</v>
      </c>
      <c r="T423" s="103">
        <f t="shared" si="99"/>
        <v>0</v>
      </c>
      <c r="U423" s="104">
        <f t="shared" si="100"/>
        <v>0</v>
      </c>
      <c r="V423" s="104">
        <f t="shared" si="100"/>
        <v>0</v>
      </c>
      <c r="X423" s="103" t="e">
        <f t="shared" si="101"/>
        <v>#REF!</v>
      </c>
      <c r="Y423" s="103" t="e">
        <f t="shared" si="102"/>
        <v>#REF!</v>
      </c>
      <c r="Z423" s="104" t="e">
        <f t="shared" si="103"/>
        <v>#REF!</v>
      </c>
      <c r="AA423" s="104" t="e">
        <f t="shared" si="103"/>
        <v>#REF!</v>
      </c>
      <c r="AC423" s="103" t="e">
        <f t="shared" si="104"/>
        <v>#REF!</v>
      </c>
      <c r="AD423" s="103" t="e">
        <f t="shared" si="105"/>
        <v>#REF!</v>
      </c>
      <c r="AE423" s="104" t="e">
        <f t="shared" si="106"/>
        <v>#REF!</v>
      </c>
      <c r="AF423" s="104" t="e">
        <f t="shared" si="106"/>
        <v>#REF!</v>
      </c>
      <c r="AH423" s="103" t="e">
        <f t="shared" si="107"/>
        <v>#REF!</v>
      </c>
      <c r="AI423" s="103" t="e">
        <f t="shared" si="108"/>
        <v>#REF!</v>
      </c>
      <c r="AJ423" s="104" t="e">
        <f t="shared" si="109"/>
        <v>#REF!</v>
      </c>
      <c r="AK423" s="104" t="e">
        <f t="shared" si="109"/>
        <v>#REF!</v>
      </c>
    </row>
    <row r="424" spans="19:37">
      <c r="S424" s="103">
        <f t="shared" si="98"/>
        <v>0</v>
      </c>
      <c r="T424" s="103">
        <f t="shared" si="99"/>
        <v>0</v>
      </c>
      <c r="U424" s="104">
        <f t="shared" si="100"/>
        <v>0</v>
      </c>
      <c r="V424" s="104">
        <f t="shared" si="100"/>
        <v>0</v>
      </c>
      <c r="X424" s="103" t="e">
        <f t="shared" si="101"/>
        <v>#REF!</v>
      </c>
      <c r="Y424" s="103" t="e">
        <f t="shared" si="102"/>
        <v>#REF!</v>
      </c>
      <c r="Z424" s="104" t="e">
        <f t="shared" si="103"/>
        <v>#REF!</v>
      </c>
      <c r="AA424" s="104" t="e">
        <f t="shared" si="103"/>
        <v>#REF!</v>
      </c>
      <c r="AC424" s="103" t="e">
        <f t="shared" si="104"/>
        <v>#REF!</v>
      </c>
      <c r="AD424" s="103" t="e">
        <f t="shared" si="105"/>
        <v>#REF!</v>
      </c>
      <c r="AE424" s="104" t="e">
        <f t="shared" si="106"/>
        <v>#REF!</v>
      </c>
      <c r="AF424" s="104" t="e">
        <f t="shared" si="106"/>
        <v>#REF!</v>
      </c>
      <c r="AH424" s="103" t="e">
        <f t="shared" si="107"/>
        <v>#REF!</v>
      </c>
      <c r="AI424" s="103" t="e">
        <f t="shared" si="108"/>
        <v>#REF!</v>
      </c>
      <c r="AJ424" s="104" t="e">
        <f t="shared" si="109"/>
        <v>#REF!</v>
      </c>
      <c r="AK424" s="104" t="e">
        <f t="shared" si="109"/>
        <v>#REF!</v>
      </c>
    </row>
    <row r="425" spans="19:37">
      <c r="S425" s="103">
        <f t="shared" si="98"/>
        <v>0</v>
      </c>
      <c r="T425" s="103">
        <f t="shared" si="99"/>
        <v>0</v>
      </c>
      <c r="U425" s="104">
        <f t="shared" si="100"/>
        <v>0</v>
      </c>
      <c r="V425" s="104">
        <f t="shared" si="100"/>
        <v>0</v>
      </c>
      <c r="X425" s="103" t="e">
        <f t="shared" si="101"/>
        <v>#REF!</v>
      </c>
      <c r="Y425" s="103" t="e">
        <f t="shared" si="102"/>
        <v>#REF!</v>
      </c>
      <c r="Z425" s="104" t="e">
        <f t="shared" si="103"/>
        <v>#REF!</v>
      </c>
      <c r="AA425" s="104" t="e">
        <f t="shared" si="103"/>
        <v>#REF!</v>
      </c>
      <c r="AC425" s="103" t="e">
        <f t="shared" si="104"/>
        <v>#REF!</v>
      </c>
      <c r="AD425" s="103" t="e">
        <f t="shared" si="105"/>
        <v>#REF!</v>
      </c>
      <c r="AE425" s="104" t="e">
        <f t="shared" si="106"/>
        <v>#REF!</v>
      </c>
      <c r="AF425" s="104" t="e">
        <f t="shared" si="106"/>
        <v>#REF!</v>
      </c>
      <c r="AH425" s="103" t="e">
        <f t="shared" si="107"/>
        <v>#REF!</v>
      </c>
      <c r="AI425" s="103" t="e">
        <f t="shared" si="108"/>
        <v>#REF!</v>
      </c>
      <c r="AJ425" s="104" t="e">
        <f t="shared" si="109"/>
        <v>#REF!</v>
      </c>
      <c r="AK425" s="104" t="e">
        <f t="shared" si="109"/>
        <v>#REF!</v>
      </c>
    </row>
    <row r="426" spans="19:37">
      <c r="S426" s="103">
        <f t="shared" si="98"/>
        <v>0</v>
      </c>
      <c r="T426" s="103">
        <f t="shared" si="99"/>
        <v>0</v>
      </c>
      <c r="U426" s="104">
        <f t="shared" si="100"/>
        <v>0</v>
      </c>
      <c r="V426" s="104">
        <f t="shared" si="100"/>
        <v>0</v>
      </c>
      <c r="X426" s="103" t="e">
        <f t="shared" si="101"/>
        <v>#REF!</v>
      </c>
      <c r="Y426" s="103" t="e">
        <f t="shared" si="102"/>
        <v>#REF!</v>
      </c>
      <c r="Z426" s="104" t="e">
        <f t="shared" si="103"/>
        <v>#REF!</v>
      </c>
      <c r="AA426" s="104" t="e">
        <f t="shared" si="103"/>
        <v>#REF!</v>
      </c>
      <c r="AC426" s="103" t="e">
        <f t="shared" si="104"/>
        <v>#REF!</v>
      </c>
      <c r="AD426" s="103" t="e">
        <f t="shared" si="105"/>
        <v>#REF!</v>
      </c>
      <c r="AE426" s="104" t="e">
        <f t="shared" si="106"/>
        <v>#REF!</v>
      </c>
      <c r="AF426" s="104" t="e">
        <f t="shared" si="106"/>
        <v>#REF!</v>
      </c>
      <c r="AH426" s="103" t="e">
        <f t="shared" si="107"/>
        <v>#REF!</v>
      </c>
      <c r="AI426" s="103" t="e">
        <f t="shared" si="108"/>
        <v>#REF!</v>
      </c>
      <c r="AJ426" s="104" t="e">
        <f t="shared" si="109"/>
        <v>#REF!</v>
      </c>
      <c r="AK426" s="104" t="e">
        <f t="shared" si="109"/>
        <v>#REF!</v>
      </c>
    </row>
    <row r="427" spans="19:37">
      <c r="S427" s="103">
        <f t="shared" si="98"/>
        <v>0</v>
      </c>
      <c r="T427" s="103">
        <f t="shared" si="99"/>
        <v>0</v>
      </c>
      <c r="U427" s="104">
        <f t="shared" si="100"/>
        <v>0</v>
      </c>
      <c r="V427" s="104">
        <f t="shared" si="100"/>
        <v>0</v>
      </c>
      <c r="X427" s="103" t="e">
        <f t="shared" si="101"/>
        <v>#REF!</v>
      </c>
      <c r="Y427" s="103" t="e">
        <f t="shared" si="102"/>
        <v>#REF!</v>
      </c>
      <c r="Z427" s="104" t="e">
        <f t="shared" si="103"/>
        <v>#REF!</v>
      </c>
      <c r="AA427" s="104" t="e">
        <f t="shared" si="103"/>
        <v>#REF!</v>
      </c>
      <c r="AC427" s="103" t="e">
        <f t="shared" si="104"/>
        <v>#REF!</v>
      </c>
      <c r="AD427" s="103" t="e">
        <f t="shared" si="105"/>
        <v>#REF!</v>
      </c>
      <c r="AE427" s="104" t="e">
        <f t="shared" si="106"/>
        <v>#REF!</v>
      </c>
      <c r="AF427" s="104" t="e">
        <f t="shared" si="106"/>
        <v>#REF!</v>
      </c>
      <c r="AH427" s="103" t="e">
        <f t="shared" si="107"/>
        <v>#REF!</v>
      </c>
      <c r="AI427" s="103" t="e">
        <f t="shared" si="108"/>
        <v>#REF!</v>
      </c>
      <c r="AJ427" s="104" t="e">
        <f t="shared" si="109"/>
        <v>#REF!</v>
      </c>
      <c r="AK427" s="104" t="e">
        <f t="shared" si="109"/>
        <v>#REF!</v>
      </c>
    </row>
    <row r="428" spans="19:37">
      <c r="S428" s="103">
        <f t="shared" si="98"/>
        <v>0</v>
      </c>
      <c r="T428" s="103">
        <f t="shared" si="99"/>
        <v>0</v>
      </c>
      <c r="U428" s="104">
        <f t="shared" si="100"/>
        <v>0</v>
      </c>
      <c r="V428" s="104">
        <f t="shared" si="100"/>
        <v>0</v>
      </c>
      <c r="X428" s="103" t="e">
        <f t="shared" si="101"/>
        <v>#REF!</v>
      </c>
      <c r="Y428" s="103" t="e">
        <f t="shared" si="102"/>
        <v>#REF!</v>
      </c>
      <c r="Z428" s="104" t="e">
        <f t="shared" si="103"/>
        <v>#REF!</v>
      </c>
      <c r="AA428" s="104" t="e">
        <f t="shared" si="103"/>
        <v>#REF!</v>
      </c>
      <c r="AC428" s="103" t="e">
        <f t="shared" si="104"/>
        <v>#REF!</v>
      </c>
      <c r="AD428" s="103" t="e">
        <f t="shared" si="105"/>
        <v>#REF!</v>
      </c>
      <c r="AE428" s="104" t="e">
        <f t="shared" si="106"/>
        <v>#REF!</v>
      </c>
      <c r="AF428" s="104" t="e">
        <f t="shared" si="106"/>
        <v>#REF!</v>
      </c>
      <c r="AH428" s="103" t="e">
        <f t="shared" si="107"/>
        <v>#REF!</v>
      </c>
      <c r="AI428" s="103" t="e">
        <f t="shared" si="108"/>
        <v>#REF!</v>
      </c>
      <c r="AJ428" s="104" t="e">
        <f t="shared" si="109"/>
        <v>#REF!</v>
      </c>
      <c r="AK428" s="104" t="e">
        <f t="shared" si="109"/>
        <v>#REF!</v>
      </c>
    </row>
    <row r="429" spans="19:37">
      <c r="S429" s="103">
        <f t="shared" si="98"/>
        <v>0</v>
      </c>
      <c r="T429" s="103">
        <f t="shared" si="99"/>
        <v>0</v>
      </c>
      <c r="U429" s="104">
        <f t="shared" si="100"/>
        <v>0</v>
      </c>
      <c r="V429" s="104">
        <f t="shared" si="100"/>
        <v>0</v>
      </c>
      <c r="X429" s="103" t="e">
        <f t="shared" si="101"/>
        <v>#REF!</v>
      </c>
      <c r="Y429" s="103" t="e">
        <f t="shared" si="102"/>
        <v>#REF!</v>
      </c>
      <c r="Z429" s="104" t="e">
        <f t="shared" si="103"/>
        <v>#REF!</v>
      </c>
      <c r="AA429" s="104" t="e">
        <f t="shared" si="103"/>
        <v>#REF!</v>
      </c>
      <c r="AC429" s="103" t="e">
        <f t="shared" si="104"/>
        <v>#REF!</v>
      </c>
      <c r="AD429" s="103" t="e">
        <f t="shared" si="105"/>
        <v>#REF!</v>
      </c>
      <c r="AE429" s="104" t="e">
        <f t="shared" si="106"/>
        <v>#REF!</v>
      </c>
      <c r="AF429" s="104" t="e">
        <f t="shared" si="106"/>
        <v>#REF!</v>
      </c>
      <c r="AH429" s="103" t="e">
        <f t="shared" si="107"/>
        <v>#REF!</v>
      </c>
      <c r="AI429" s="103" t="e">
        <f t="shared" si="108"/>
        <v>#REF!</v>
      </c>
      <c r="AJ429" s="104" t="e">
        <f t="shared" si="109"/>
        <v>#REF!</v>
      </c>
      <c r="AK429" s="104" t="e">
        <f t="shared" si="109"/>
        <v>#REF!</v>
      </c>
    </row>
    <row r="430" spans="19:37">
      <c r="S430" s="103">
        <f t="shared" si="98"/>
        <v>0</v>
      </c>
      <c r="T430" s="103">
        <f t="shared" si="99"/>
        <v>0</v>
      </c>
      <c r="U430" s="104">
        <f t="shared" si="100"/>
        <v>0</v>
      </c>
      <c r="V430" s="104">
        <f t="shared" si="100"/>
        <v>0</v>
      </c>
      <c r="X430" s="103" t="e">
        <f t="shared" si="101"/>
        <v>#REF!</v>
      </c>
      <c r="Y430" s="103" t="e">
        <f t="shared" si="102"/>
        <v>#REF!</v>
      </c>
      <c r="Z430" s="104" t="e">
        <f t="shared" si="103"/>
        <v>#REF!</v>
      </c>
      <c r="AA430" s="104" t="e">
        <f t="shared" si="103"/>
        <v>#REF!</v>
      </c>
      <c r="AC430" s="103" t="e">
        <f t="shared" si="104"/>
        <v>#REF!</v>
      </c>
      <c r="AD430" s="103" t="e">
        <f t="shared" si="105"/>
        <v>#REF!</v>
      </c>
      <c r="AE430" s="104" t="e">
        <f t="shared" si="106"/>
        <v>#REF!</v>
      </c>
      <c r="AF430" s="104" t="e">
        <f t="shared" si="106"/>
        <v>#REF!</v>
      </c>
      <c r="AH430" s="103" t="e">
        <f t="shared" si="107"/>
        <v>#REF!</v>
      </c>
      <c r="AI430" s="103" t="e">
        <f t="shared" si="108"/>
        <v>#REF!</v>
      </c>
      <c r="AJ430" s="104" t="e">
        <f t="shared" si="109"/>
        <v>#REF!</v>
      </c>
      <c r="AK430" s="104" t="e">
        <f t="shared" si="109"/>
        <v>#REF!</v>
      </c>
    </row>
    <row r="431" spans="19:37">
      <c r="S431" s="103">
        <f t="shared" si="98"/>
        <v>0</v>
      </c>
      <c r="T431" s="103">
        <f t="shared" si="99"/>
        <v>0</v>
      </c>
      <c r="U431" s="104">
        <f t="shared" si="100"/>
        <v>0</v>
      </c>
      <c r="V431" s="104">
        <f t="shared" si="100"/>
        <v>0</v>
      </c>
      <c r="X431" s="103" t="e">
        <f t="shared" si="101"/>
        <v>#REF!</v>
      </c>
      <c r="Y431" s="103" t="e">
        <f t="shared" si="102"/>
        <v>#REF!</v>
      </c>
      <c r="Z431" s="104" t="e">
        <f t="shared" si="103"/>
        <v>#REF!</v>
      </c>
      <c r="AA431" s="104" t="e">
        <f t="shared" si="103"/>
        <v>#REF!</v>
      </c>
      <c r="AC431" s="103" t="e">
        <f t="shared" si="104"/>
        <v>#REF!</v>
      </c>
      <c r="AD431" s="103" t="e">
        <f t="shared" si="105"/>
        <v>#REF!</v>
      </c>
      <c r="AE431" s="104" t="e">
        <f t="shared" si="106"/>
        <v>#REF!</v>
      </c>
      <c r="AF431" s="104" t="e">
        <f t="shared" si="106"/>
        <v>#REF!</v>
      </c>
      <c r="AH431" s="103" t="e">
        <f t="shared" si="107"/>
        <v>#REF!</v>
      </c>
      <c r="AI431" s="103" t="e">
        <f t="shared" si="108"/>
        <v>#REF!</v>
      </c>
      <c r="AJ431" s="104" t="e">
        <f t="shared" si="109"/>
        <v>#REF!</v>
      </c>
      <c r="AK431" s="104" t="e">
        <f t="shared" si="109"/>
        <v>#REF!</v>
      </c>
    </row>
    <row r="432" spans="19:37">
      <c r="S432" s="103">
        <f t="shared" si="98"/>
        <v>0</v>
      </c>
      <c r="T432" s="103">
        <f t="shared" si="99"/>
        <v>0</v>
      </c>
      <c r="U432" s="104">
        <f t="shared" si="100"/>
        <v>0</v>
      </c>
      <c r="V432" s="104">
        <f t="shared" si="100"/>
        <v>0</v>
      </c>
      <c r="X432" s="103" t="e">
        <f t="shared" si="101"/>
        <v>#REF!</v>
      </c>
      <c r="Y432" s="103" t="e">
        <f t="shared" si="102"/>
        <v>#REF!</v>
      </c>
      <c r="Z432" s="104" t="e">
        <f t="shared" si="103"/>
        <v>#REF!</v>
      </c>
      <c r="AA432" s="104" t="e">
        <f t="shared" si="103"/>
        <v>#REF!</v>
      </c>
      <c r="AC432" s="103" t="e">
        <f t="shared" si="104"/>
        <v>#REF!</v>
      </c>
      <c r="AD432" s="103" t="e">
        <f t="shared" si="105"/>
        <v>#REF!</v>
      </c>
      <c r="AE432" s="104" t="e">
        <f t="shared" si="106"/>
        <v>#REF!</v>
      </c>
      <c r="AF432" s="104" t="e">
        <f t="shared" si="106"/>
        <v>#REF!</v>
      </c>
      <c r="AH432" s="103" t="e">
        <f t="shared" si="107"/>
        <v>#REF!</v>
      </c>
      <c r="AI432" s="103" t="e">
        <f t="shared" si="108"/>
        <v>#REF!</v>
      </c>
      <c r="AJ432" s="104" t="e">
        <f t="shared" si="109"/>
        <v>#REF!</v>
      </c>
      <c r="AK432" s="104" t="e">
        <f t="shared" si="109"/>
        <v>#REF!</v>
      </c>
    </row>
    <row r="433" spans="19:37">
      <c r="S433" s="103">
        <f t="shared" si="98"/>
        <v>0</v>
      </c>
      <c r="T433" s="103">
        <f t="shared" si="99"/>
        <v>0</v>
      </c>
      <c r="U433" s="104">
        <f t="shared" si="100"/>
        <v>0</v>
      </c>
      <c r="V433" s="104">
        <f t="shared" si="100"/>
        <v>0</v>
      </c>
      <c r="X433" s="103" t="e">
        <f t="shared" si="101"/>
        <v>#REF!</v>
      </c>
      <c r="Y433" s="103" t="e">
        <f t="shared" si="102"/>
        <v>#REF!</v>
      </c>
      <c r="Z433" s="104" t="e">
        <f t="shared" si="103"/>
        <v>#REF!</v>
      </c>
      <c r="AA433" s="104" t="e">
        <f t="shared" si="103"/>
        <v>#REF!</v>
      </c>
      <c r="AC433" s="103" t="e">
        <f t="shared" si="104"/>
        <v>#REF!</v>
      </c>
      <c r="AD433" s="103" t="e">
        <f t="shared" si="105"/>
        <v>#REF!</v>
      </c>
      <c r="AE433" s="104" t="e">
        <f t="shared" si="106"/>
        <v>#REF!</v>
      </c>
      <c r="AF433" s="104" t="e">
        <f t="shared" si="106"/>
        <v>#REF!</v>
      </c>
      <c r="AH433" s="103" t="e">
        <f t="shared" si="107"/>
        <v>#REF!</v>
      </c>
      <c r="AI433" s="103" t="e">
        <f t="shared" si="108"/>
        <v>#REF!</v>
      </c>
      <c r="AJ433" s="104" t="e">
        <f t="shared" si="109"/>
        <v>#REF!</v>
      </c>
      <c r="AK433" s="104" t="e">
        <f t="shared" si="109"/>
        <v>#REF!</v>
      </c>
    </row>
    <row r="434" spans="19:37">
      <c r="S434" s="103">
        <f t="shared" si="98"/>
        <v>0</v>
      </c>
      <c r="T434" s="103">
        <f t="shared" si="99"/>
        <v>0</v>
      </c>
      <c r="U434" s="104">
        <f t="shared" si="100"/>
        <v>0</v>
      </c>
      <c r="V434" s="104">
        <f t="shared" si="100"/>
        <v>0</v>
      </c>
      <c r="X434" s="103" t="e">
        <f t="shared" si="101"/>
        <v>#REF!</v>
      </c>
      <c r="Y434" s="103" t="e">
        <f t="shared" si="102"/>
        <v>#REF!</v>
      </c>
      <c r="Z434" s="104" t="e">
        <f t="shared" si="103"/>
        <v>#REF!</v>
      </c>
      <c r="AA434" s="104" t="e">
        <f t="shared" si="103"/>
        <v>#REF!</v>
      </c>
      <c r="AC434" s="103" t="e">
        <f t="shared" si="104"/>
        <v>#REF!</v>
      </c>
      <c r="AD434" s="103" t="e">
        <f t="shared" si="105"/>
        <v>#REF!</v>
      </c>
      <c r="AE434" s="104" t="e">
        <f t="shared" si="106"/>
        <v>#REF!</v>
      </c>
      <c r="AF434" s="104" t="e">
        <f t="shared" si="106"/>
        <v>#REF!</v>
      </c>
      <c r="AH434" s="103" t="e">
        <f t="shared" si="107"/>
        <v>#REF!</v>
      </c>
      <c r="AI434" s="103" t="e">
        <f t="shared" si="108"/>
        <v>#REF!</v>
      </c>
      <c r="AJ434" s="104" t="e">
        <f t="shared" si="109"/>
        <v>#REF!</v>
      </c>
      <c r="AK434" s="104" t="e">
        <f t="shared" si="109"/>
        <v>#REF!</v>
      </c>
    </row>
    <row r="435" spans="19:37">
      <c r="S435" s="103">
        <f t="shared" si="98"/>
        <v>0</v>
      </c>
      <c r="T435" s="103">
        <f t="shared" si="99"/>
        <v>0</v>
      </c>
      <c r="U435" s="104">
        <f t="shared" si="100"/>
        <v>0</v>
      </c>
      <c r="V435" s="104">
        <f t="shared" si="100"/>
        <v>0</v>
      </c>
      <c r="X435" s="103" t="e">
        <f t="shared" si="101"/>
        <v>#REF!</v>
      </c>
      <c r="Y435" s="103" t="e">
        <f t="shared" si="102"/>
        <v>#REF!</v>
      </c>
      <c r="Z435" s="104" t="e">
        <f t="shared" si="103"/>
        <v>#REF!</v>
      </c>
      <c r="AA435" s="104" t="e">
        <f t="shared" si="103"/>
        <v>#REF!</v>
      </c>
      <c r="AC435" s="103" t="e">
        <f t="shared" si="104"/>
        <v>#REF!</v>
      </c>
      <c r="AD435" s="103" t="e">
        <f t="shared" si="105"/>
        <v>#REF!</v>
      </c>
      <c r="AE435" s="104" t="e">
        <f t="shared" si="106"/>
        <v>#REF!</v>
      </c>
      <c r="AF435" s="104" t="e">
        <f t="shared" si="106"/>
        <v>#REF!</v>
      </c>
      <c r="AH435" s="103" t="e">
        <f t="shared" si="107"/>
        <v>#REF!</v>
      </c>
      <c r="AI435" s="103" t="e">
        <f t="shared" si="108"/>
        <v>#REF!</v>
      </c>
      <c r="AJ435" s="104" t="e">
        <f t="shared" si="109"/>
        <v>#REF!</v>
      </c>
      <c r="AK435" s="104" t="e">
        <f t="shared" si="109"/>
        <v>#REF!</v>
      </c>
    </row>
    <row r="436" spans="19:37">
      <c r="S436" s="103">
        <f t="shared" si="98"/>
        <v>0</v>
      </c>
      <c r="T436" s="103">
        <f t="shared" si="99"/>
        <v>0</v>
      </c>
      <c r="U436" s="104">
        <f t="shared" si="100"/>
        <v>0</v>
      </c>
      <c r="V436" s="104">
        <f t="shared" si="100"/>
        <v>0</v>
      </c>
      <c r="X436" s="103" t="e">
        <f t="shared" si="101"/>
        <v>#REF!</v>
      </c>
      <c r="Y436" s="103" t="e">
        <f t="shared" si="102"/>
        <v>#REF!</v>
      </c>
      <c r="Z436" s="104" t="e">
        <f t="shared" si="103"/>
        <v>#REF!</v>
      </c>
      <c r="AA436" s="104" t="e">
        <f t="shared" si="103"/>
        <v>#REF!</v>
      </c>
      <c r="AC436" s="103" t="e">
        <f t="shared" si="104"/>
        <v>#REF!</v>
      </c>
      <c r="AD436" s="103" t="e">
        <f t="shared" si="105"/>
        <v>#REF!</v>
      </c>
      <c r="AE436" s="104" t="e">
        <f t="shared" si="106"/>
        <v>#REF!</v>
      </c>
      <c r="AF436" s="104" t="e">
        <f t="shared" si="106"/>
        <v>#REF!</v>
      </c>
      <c r="AH436" s="103" t="e">
        <f t="shared" si="107"/>
        <v>#REF!</v>
      </c>
      <c r="AI436" s="103" t="e">
        <f t="shared" si="108"/>
        <v>#REF!</v>
      </c>
      <c r="AJ436" s="104" t="e">
        <f t="shared" si="109"/>
        <v>#REF!</v>
      </c>
      <c r="AK436" s="104" t="e">
        <f t="shared" si="109"/>
        <v>#REF!</v>
      </c>
    </row>
    <row r="437" spans="19:37">
      <c r="S437" s="103">
        <f t="shared" si="98"/>
        <v>0</v>
      </c>
      <c r="T437" s="103">
        <f t="shared" si="99"/>
        <v>0</v>
      </c>
      <c r="U437" s="104">
        <f t="shared" si="100"/>
        <v>0</v>
      </c>
      <c r="V437" s="104">
        <f t="shared" si="100"/>
        <v>0</v>
      </c>
      <c r="X437" s="103" t="e">
        <f t="shared" si="101"/>
        <v>#REF!</v>
      </c>
      <c r="Y437" s="103" t="e">
        <f t="shared" si="102"/>
        <v>#REF!</v>
      </c>
      <c r="Z437" s="104" t="e">
        <f t="shared" si="103"/>
        <v>#REF!</v>
      </c>
      <c r="AA437" s="104" t="e">
        <f t="shared" si="103"/>
        <v>#REF!</v>
      </c>
      <c r="AC437" s="103" t="e">
        <f t="shared" si="104"/>
        <v>#REF!</v>
      </c>
      <c r="AD437" s="103" t="e">
        <f t="shared" si="105"/>
        <v>#REF!</v>
      </c>
      <c r="AE437" s="104" t="e">
        <f t="shared" si="106"/>
        <v>#REF!</v>
      </c>
      <c r="AF437" s="104" t="e">
        <f t="shared" si="106"/>
        <v>#REF!</v>
      </c>
      <c r="AH437" s="103" t="e">
        <f t="shared" si="107"/>
        <v>#REF!</v>
      </c>
      <c r="AI437" s="103" t="e">
        <f t="shared" si="108"/>
        <v>#REF!</v>
      </c>
      <c r="AJ437" s="104" t="e">
        <f t="shared" si="109"/>
        <v>#REF!</v>
      </c>
      <c r="AK437" s="104" t="e">
        <f t="shared" si="109"/>
        <v>#REF!</v>
      </c>
    </row>
    <row r="438" spans="19:37">
      <c r="S438" s="103">
        <f t="shared" si="98"/>
        <v>0</v>
      </c>
      <c r="T438" s="103">
        <f t="shared" si="99"/>
        <v>0</v>
      </c>
      <c r="U438" s="104">
        <f t="shared" si="100"/>
        <v>0</v>
      </c>
      <c r="V438" s="104">
        <f t="shared" si="100"/>
        <v>0</v>
      </c>
      <c r="X438" s="103" t="e">
        <f t="shared" si="101"/>
        <v>#REF!</v>
      </c>
      <c r="Y438" s="103" t="e">
        <f t="shared" si="102"/>
        <v>#REF!</v>
      </c>
      <c r="Z438" s="104" t="e">
        <f t="shared" si="103"/>
        <v>#REF!</v>
      </c>
      <c r="AA438" s="104" t="e">
        <f t="shared" si="103"/>
        <v>#REF!</v>
      </c>
      <c r="AC438" s="103" t="e">
        <f t="shared" si="104"/>
        <v>#REF!</v>
      </c>
      <c r="AD438" s="103" t="e">
        <f t="shared" si="105"/>
        <v>#REF!</v>
      </c>
      <c r="AE438" s="104" t="e">
        <f t="shared" si="106"/>
        <v>#REF!</v>
      </c>
      <c r="AF438" s="104" t="e">
        <f t="shared" si="106"/>
        <v>#REF!</v>
      </c>
      <c r="AH438" s="103" t="e">
        <f t="shared" si="107"/>
        <v>#REF!</v>
      </c>
      <c r="AI438" s="103" t="e">
        <f t="shared" si="108"/>
        <v>#REF!</v>
      </c>
      <c r="AJ438" s="104" t="e">
        <f t="shared" si="109"/>
        <v>#REF!</v>
      </c>
      <c r="AK438" s="104" t="e">
        <f t="shared" si="109"/>
        <v>#REF!</v>
      </c>
    </row>
    <row r="439" spans="19:37">
      <c r="S439" s="103">
        <f t="shared" si="98"/>
        <v>0</v>
      </c>
      <c r="T439" s="103">
        <f t="shared" si="99"/>
        <v>0</v>
      </c>
      <c r="U439" s="104">
        <f t="shared" si="100"/>
        <v>0</v>
      </c>
      <c r="V439" s="104">
        <f t="shared" si="100"/>
        <v>0</v>
      </c>
      <c r="X439" s="103" t="e">
        <f t="shared" si="101"/>
        <v>#REF!</v>
      </c>
      <c r="Y439" s="103" t="e">
        <f t="shared" si="102"/>
        <v>#REF!</v>
      </c>
      <c r="Z439" s="104" t="e">
        <f t="shared" si="103"/>
        <v>#REF!</v>
      </c>
      <c r="AA439" s="104" t="e">
        <f t="shared" si="103"/>
        <v>#REF!</v>
      </c>
      <c r="AC439" s="103" t="e">
        <f t="shared" si="104"/>
        <v>#REF!</v>
      </c>
      <c r="AD439" s="103" t="e">
        <f t="shared" si="105"/>
        <v>#REF!</v>
      </c>
      <c r="AE439" s="104" t="e">
        <f t="shared" si="106"/>
        <v>#REF!</v>
      </c>
      <c r="AF439" s="104" t="e">
        <f t="shared" si="106"/>
        <v>#REF!</v>
      </c>
      <c r="AH439" s="103" t="e">
        <f t="shared" si="107"/>
        <v>#REF!</v>
      </c>
      <c r="AI439" s="103" t="e">
        <f t="shared" si="108"/>
        <v>#REF!</v>
      </c>
      <c r="AJ439" s="104" t="e">
        <f t="shared" si="109"/>
        <v>#REF!</v>
      </c>
      <c r="AK439" s="104" t="e">
        <f t="shared" si="109"/>
        <v>#REF!</v>
      </c>
    </row>
    <row r="440" spans="19:37">
      <c r="S440" s="103">
        <f t="shared" si="98"/>
        <v>0</v>
      </c>
      <c r="T440" s="103">
        <f t="shared" si="99"/>
        <v>0</v>
      </c>
      <c r="U440" s="104">
        <f t="shared" si="100"/>
        <v>0</v>
      </c>
      <c r="V440" s="104">
        <f t="shared" si="100"/>
        <v>0</v>
      </c>
      <c r="X440" s="103" t="e">
        <f t="shared" si="101"/>
        <v>#REF!</v>
      </c>
      <c r="Y440" s="103" t="e">
        <f t="shared" si="102"/>
        <v>#REF!</v>
      </c>
      <c r="Z440" s="104" t="e">
        <f t="shared" si="103"/>
        <v>#REF!</v>
      </c>
      <c r="AA440" s="104" t="e">
        <f t="shared" si="103"/>
        <v>#REF!</v>
      </c>
      <c r="AC440" s="103" t="e">
        <f t="shared" si="104"/>
        <v>#REF!</v>
      </c>
      <c r="AD440" s="103" t="e">
        <f t="shared" si="105"/>
        <v>#REF!</v>
      </c>
      <c r="AE440" s="104" t="e">
        <f t="shared" si="106"/>
        <v>#REF!</v>
      </c>
      <c r="AF440" s="104" t="e">
        <f t="shared" si="106"/>
        <v>#REF!</v>
      </c>
      <c r="AH440" s="103" t="e">
        <f t="shared" si="107"/>
        <v>#REF!</v>
      </c>
      <c r="AI440" s="103" t="e">
        <f t="shared" si="108"/>
        <v>#REF!</v>
      </c>
      <c r="AJ440" s="104" t="e">
        <f t="shared" si="109"/>
        <v>#REF!</v>
      </c>
      <c r="AK440" s="104" t="e">
        <f t="shared" si="109"/>
        <v>#REF!</v>
      </c>
    </row>
    <row r="441" spans="19:37">
      <c r="S441" s="103">
        <f t="shared" si="98"/>
        <v>0</v>
      </c>
      <c r="T441" s="103">
        <f t="shared" si="99"/>
        <v>0</v>
      </c>
      <c r="U441" s="104">
        <f t="shared" si="100"/>
        <v>0</v>
      </c>
      <c r="V441" s="104">
        <f t="shared" si="100"/>
        <v>0</v>
      </c>
      <c r="X441" s="103" t="e">
        <f t="shared" si="101"/>
        <v>#REF!</v>
      </c>
      <c r="Y441" s="103" t="e">
        <f t="shared" si="102"/>
        <v>#REF!</v>
      </c>
      <c r="Z441" s="104" t="e">
        <f t="shared" si="103"/>
        <v>#REF!</v>
      </c>
      <c r="AA441" s="104" t="e">
        <f t="shared" si="103"/>
        <v>#REF!</v>
      </c>
      <c r="AC441" s="103" t="e">
        <f t="shared" si="104"/>
        <v>#REF!</v>
      </c>
      <c r="AD441" s="103" t="e">
        <f t="shared" si="105"/>
        <v>#REF!</v>
      </c>
      <c r="AE441" s="104" t="e">
        <f t="shared" si="106"/>
        <v>#REF!</v>
      </c>
      <c r="AF441" s="104" t="e">
        <f t="shared" si="106"/>
        <v>#REF!</v>
      </c>
      <c r="AH441" s="103" t="e">
        <f t="shared" si="107"/>
        <v>#REF!</v>
      </c>
      <c r="AI441" s="103" t="e">
        <f t="shared" si="108"/>
        <v>#REF!</v>
      </c>
      <c r="AJ441" s="104" t="e">
        <f t="shared" si="109"/>
        <v>#REF!</v>
      </c>
      <c r="AK441" s="104" t="e">
        <f t="shared" si="109"/>
        <v>#REF!</v>
      </c>
    </row>
    <row r="442" spans="19:37">
      <c r="S442" s="103">
        <f t="shared" si="98"/>
        <v>0</v>
      </c>
      <c r="T442" s="103">
        <f t="shared" si="99"/>
        <v>0</v>
      </c>
      <c r="U442" s="104">
        <f t="shared" si="100"/>
        <v>0</v>
      </c>
      <c r="V442" s="104">
        <f t="shared" si="100"/>
        <v>0</v>
      </c>
      <c r="X442" s="103" t="e">
        <f t="shared" si="101"/>
        <v>#REF!</v>
      </c>
      <c r="Y442" s="103" t="e">
        <f t="shared" si="102"/>
        <v>#REF!</v>
      </c>
      <c r="Z442" s="104" t="e">
        <f t="shared" si="103"/>
        <v>#REF!</v>
      </c>
      <c r="AA442" s="104" t="e">
        <f t="shared" si="103"/>
        <v>#REF!</v>
      </c>
      <c r="AC442" s="103" t="e">
        <f t="shared" si="104"/>
        <v>#REF!</v>
      </c>
      <c r="AD442" s="103" t="e">
        <f t="shared" si="105"/>
        <v>#REF!</v>
      </c>
      <c r="AE442" s="104" t="e">
        <f t="shared" si="106"/>
        <v>#REF!</v>
      </c>
      <c r="AF442" s="104" t="e">
        <f t="shared" si="106"/>
        <v>#REF!</v>
      </c>
      <c r="AH442" s="103" t="e">
        <f t="shared" si="107"/>
        <v>#REF!</v>
      </c>
      <c r="AI442" s="103" t="e">
        <f t="shared" si="108"/>
        <v>#REF!</v>
      </c>
      <c r="AJ442" s="104" t="e">
        <f t="shared" si="109"/>
        <v>#REF!</v>
      </c>
      <c r="AK442" s="104" t="e">
        <f t="shared" si="109"/>
        <v>#REF!</v>
      </c>
    </row>
    <row r="443" spans="19:37">
      <c r="S443" s="103">
        <f t="shared" si="98"/>
        <v>0</v>
      </c>
      <c r="T443" s="103">
        <f t="shared" si="99"/>
        <v>0</v>
      </c>
      <c r="U443" s="104">
        <f t="shared" si="100"/>
        <v>0</v>
      </c>
      <c r="V443" s="104">
        <f t="shared" si="100"/>
        <v>0</v>
      </c>
      <c r="X443" s="103" t="e">
        <f t="shared" si="101"/>
        <v>#REF!</v>
      </c>
      <c r="Y443" s="103" t="e">
        <f t="shared" si="102"/>
        <v>#REF!</v>
      </c>
      <c r="Z443" s="104" t="e">
        <f t="shared" si="103"/>
        <v>#REF!</v>
      </c>
      <c r="AA443" s="104" t="e">
        <f t="shared" si="103"/>
        <v>#REF!</v>
      </c>
      <c r="AC443" s="103" t="e">
        <f t="shared" si="104"/>
        <v>#REF!</v>
      </c>
      <c r="AD443" s="103" t="e">
        <f t="shared" si="105"/>
        <v>#REF!</v>
      </c>
      <c r="AE443" s="104" t="e">
        <f t="shared" si="106"/>
        <v>#REF!</v>
      </c>
      <c r="AF443" s="104" t="e">
        <f t="shared" si="106"/>
        <v>#REF!</v>
      </c>
      <c r="AH443" s="103" t="e">
        <f t="shared" si="107"/>
        <v>#REF!</v>
      </c>
      <c r="AI443" s="103" t="e">
        <f t="shared" si="108"/>
        <v>#REF!</v>
      </c>
      <c r="AJ443" s="104" t="e">
        <f t="shared" si="109"/>
        <v>#REF!</v>
      </c>
      <c r="AK443" s="104" t="e">
        <f t="shared" si="109"/>
        <v>#REF!</v>
      </c>
    </row>
    <row r="444" spans="19:37">
      <c r="S444" s="103">
        <f t="shared" si="98"/>
        <v>0</v>
      </c>
      <c r="T444" s="103">
        <f t="shared" si="99"/>
        <v>0</v>
      </c>
      <c r="U444" s="104">
        <f t="shared" si="100"/>
        <v>0</v>
      </c>
      <c r="V444" s="104">
        <f t="shared" si="100"/>
        <v>0</v>
      </c>
      <c r="X444" s="103" t="e">
        <f t="shared" si="101"/>
        <v>#REF!</v>
      </c>
      <c r="Y444" s="103" t="e">
        <f t="shared" si="102"/>
        <v>#REF!</v>
      </c>
      <c r="Z444" s="104" t="e">
        <f t="shared" si="103"/>
        <v>#REF!</v>
      </c>
      <c r="AA444" s="104" t="e">
        <f t="shared" si="103"/>
        <v>#REF!</v>
      </c>
      <c r="AC444" s="103" t="e">
        <f t="shared" si="104"/>
        <v>#REF!</v>
      </c>
      <c r="AD444" s="103" t="e">
        <f t="shared" si="105"/>
        <v>#REF!</v>
      </c>
      <c r="AE444" s="104" t="e">
        <f t="shared" si="106"/>
        <v>#REF!</v>
      </c>
      <c r="AF444" s="104" t="e">
        <f t="shared" si="106"/>
        <v>#REF!</v>
      </c>
      <c r="AH444" s="103" t="e">
        <f t="shared" si="107"/>
        <v>#REF!</v>
      </c>
      <c r="AI444" s="103" t="e">
        <f t="shared" si="108"/>
        <v>#REF!</v>
      </c>
      <c r="AJ444" s="104" t="e">
        <f t="shared" si="109"/>
        <v>#REF!</v>
      </c>
      <c r="AK444" s="104" t="e">
        <f t="shared" si="109"/>
        <v>#REF!</v>
      </c>
    </row>
    <row r="445" spans="19:37">
      <c r="S445" s="103">
        <f t="shared" si="98"/>
        <v>0</v>
      </c>
      <c r="T445" s="103">
        <f t="shared" si="99"/>
        <v>0</v>
      </c>
      <c r="U445" s="104">
        <f t="shared" si="100"/>
        <v>0</v>
      </c>
      <c r="V445" s="104">
        <f t="shared" si="100"/>
        <v>0</v>
      </c>
      <c r="X445" s="103" t="e">
        <f t="shared" si="101"/>
        <v>#REF!</v>
      </c>
      <c r="Y445" s="103" t="e">
        <f t="shared" si="102"/>
        <v>#REF!</v>
      </c>
      <c r="Z445" s="104" t="e">
        <f t="shared" si="103"/>
        <v>#REF!</v>
      </c>
      <c r="AA445" s="104" t="e">
        <f t="shared" si="103"/>
        <v>#REF!</v>
      </c>
      <c r="AC445" s="103" t="e">
        <f t="shared" si="104"/>
        <v>#REF!</v>
      </c>
      <c r="AD445" s="103" t="e">
        <f t="shared" si="105"/>
        <v>#REF!</v>
      </c>
      <c r="AE445" s="104" t="e">
        <f t="shared" si="106"/>
        <v>#REF!</v>
      </c>
      <c r="AF445" s="104" t="e">
        <f t="shared" si="106"/>
        <v>#REF!</v>
      </c>
      <c r="AH445" s="103" t="e">
        <f t="shared" si="107"/>
        <v>#REF!</v>
      </c>
      <c r="AI445" s="103" t="e">
        <f t="shared" si="108"/>
        <v>#REF!</v>
      </c>
      <c r="AJ445" s="104" t="e">
        <f t="shared" si="109"/>
        <v>#REF!</v>
      </c>
      <c r="AK445" s="104" t="e">
        <f t="shared" si="109"/>
        <v>#REF!</v>
      </c>
    </row>
    <row r="446" spans="19:37">
      <c r="S446" s="103">
        <f t="shared" si="98"/>
        <v>0</v>
      </c>
      <c r="T446" s="103">
        <f t="shared" si="99"/>
        <v>0</v>
      </c>
      <c r="U446" s="104">
        <f t="shared" si="100"/>
        <v>0</v>
      </c>
      <c r="V446" s="104">
        <f t="shared" si="100"/>
        <v>0</v>
      </c>
      <c r="X446" s="103" t="e">
        <f t="shared" si="101"/>
        <v>#REF!</v>
      </c>
      <c r="Y446" s="103" t="e">
        <f t="shared" si="102"/>
        <v>#REF!</v>
      </c>
      <c r="Z446" s="104" t="e">
        <f t="shared" si="103"/>
        <v>#REF!</v>
      </c>
      <c r="AA446" s="104" t="e">
        <f t="shared" si="103"/>
        <v>#REF!</v>
      </c>
      <c r="AC446" s="103" t="e">
        <f t="shared" si="104"/>
        <v>#REF!</v>
      </c>
      <c r="AD446" s="103" t="e">
        <f t="shared" si="105"/>
        <v>#REF!</v>
      </c>
      <c r="AE446" s="104" t="e">
        <f t="shared" si="106"/>
        <v>#REF!</v>
      </c>
      <c r="AF446" s="104" t="e">
        <f t="shared" si="106"/>
        <v>#REF!</v>
      </c>
      <c r="AH446" s="103" t="e">
        <f t="shared" si="107"/>
        <v>#REF!</v>
      </c>
      <c r="AI446" s="103" t="e">
        <f t="shared" si="108"/>
        <v>#REF!</v>
      </c>
      <c r="AJ446" s="104" t="e">
        <f t="shared" si="109"/>
        <v>#REF!</v>
      </c>
      <c r="AK446" s="104" t="e">
        <f t="shared" si="109"/>
        <v>#REF!</v>
      </c>
    </row>
    <row r="447" spans="19:37">
      <c r="S447" s="103">
        <f t="shared" si="98"/>
        <v>0</v>
      </c>
      <c r="T447" s="103">
        <f t="shared" si="99"/>
        <v>0</v>
      </c>
      <c r="U447" s="104">
        <f t="shared" si="100"/>
        <v>0</v>
      </c>
      <c r="V447" s="104">
        <f t="shared" si="100"/>
        <v>0</v>
      </c>
      <c r="X447" s="103" t="e">
        <f t="shared" si="101"/>
        <v>#REF!</v>
      </c>
      <c r="Y447" s="103" t="e">
        <f t="shared" si="102"/>
        <v>#REF!</v>
      </c>
      <c r="Z447" s="104" t="e">
        <f t="shared" si="103"/>
        <v>#REF!</v>
      </c>
      <c r="AA447" s="104" t="e">
        <f t="shared" si="103"/>
        <v>#REF!</v>
      </c>
      <c r="AC447" s="103" t="e">
        <f t="shared" si="104"/>
        <v>#REF!</v>
      </c>
      <c r="AD447" s="103" t="e">
        <f t="shared" si="105"/>
        <v>#REF!</v>
      </c>
      <c r="AE447" s="104" t="e">
        <f t="shared" si="106"/>
        <v>#REF!</v>
      </c>
      <c r="AF447" s="104" t="e">
        <f t="shared" si="106"/>
        <v>#REF!</v>
      </c>
      <c r="AH447" s="103" t="e">
        <f t="shared" si="107"/>
        <v>#REF!</v>
      </c>
      <c r="AI447" s="103" t="e">
        <f t="shared" si="108"/>
        <v>#REF!</v>
      </c>
      <c r="AJ447" s="104" t="e">
        <f t="shared" si="109"/>
        <v>#REF!</v>
      </c>
      <c r="AK447" s="104" t="e">
        <f t="shared" si="109"/>
        <v>#REF!</v>
      </c>
    </row>
    <row r="448" spans="19:37">
      <c r="S448" s="103">
        <f t="shared" si="98"/>
        <v>0</v>
      </c>
      <c r="T448" s="103">
        <f t="shared" si="99"/>
        <v>0</v>
      </c>
      <c r="U448" s="104">
        <f t="shared" si="100"/>
        <v>0</v>
      </c>
      <c r="V448" s="104">
        <f t="shared" si="100"/>
        <v>0</v>
      </c>
      <c r="X448" s="103" t="e">
        <f t="shared" si="101"/>
        <v>#REF!</v>
      </c>
      <c r="Y448" s="103" t="e">
        <f t="shared" si="102"/>
        <v>#REF!</v>
      </c>
      <c r="Z448" s="104" t="e">
        <f t="shared" si="103"/>
        <v>#REF!</v>
      </c>
      <c r="AA448" s="104" t="e">
        <f t="shared" si="103"/>
        <v>#REF!</v>
      </c>
      <c r="AC448" s="103" t="e">
        <f t="shared" si="104"/>
        <v>#REF!</v>
      </c>
      <c r="AD448" s="103" t="e">
        <f t="shared" si="105"/>
        <v>#REF!</v>
      </c>
      <c r="AE448" s="104" t="e">
        <f t="shared" si="106"/>
        <v>#REF!</v>
      </c>
      <c r="AF448" s="104" t="e">
        <f t="shared" si="106"/>
        <v>#REF!</v>
      </c>
      <c r="AH448" s="103" t="e">
        <f t="shared" si="107"/>
        <v>#REF!</v>
      </c>
      <c r="AI448" s="103" t="e">
        <f t="shared" si="108"/>
        <v>#REF!</v>
      </c>
      <c r="AJ448" s="104" t="e">
        <f t="shared" si="109"/>
        <v>#REF!</v>
      </c>
      <c r="AK448" s="104" t="e">
        <f t="shared" si="109"/>
        <v>#REF!</v>
      </c>
    </row>
    <row r="449" spans="19:37">
      <c r="S449" s="103">
        <f t="shared" si="98"/>
        <v>0</v>
      </c>
      <c r="T449" s="103">
        <f t="shared" si="99"/>
        <v>0</v>
      </c>
      <c r="U449" s="104">
        <f t="shared" si="100"/>
        <v>0</v>
      </c>
      <c r="V449" s="104">
        <f t="shared" si="100"/>
        <v>0</v>
      </c>
      <c r="X449" s="103" t="e">
        <f t="shared" si="101"/>
        <v>#REF!</v>
      </c>
      <c r="Y449" s="103" t="e">
        <f t="shared" si="102"/>
        <v>#REF!</v>
      </c>
      <c r="Z449" s="104" t="e">
        <f t="shared" si="103"/>
        <v>#REF!</v>
      </c>
      <c r="AA449" s="104" t="e">
        <f t="shared" si="103"/>
        <v>#REF!</v>
      </c>
      <c r="AC449" s="103" t="e">
        <f t="shared" si="104"/>
        <v>#REF!</v>
      </c>
      <c r="AD449" s="103" t="e">
        <f t="shared" si="105"/>
        <v>#REF!</v>
      </c>
      <c r="AE449" s="104" t="e">
        <f t="shared" si="106"/>
        <v>#REF!</v>
      </c>
      <c r="AF449" s="104" t="e">
        <f t="shared" si="106"/>
        <v>#REF!</v>
      </c>
      <c r="AH449" s="103" t="e">
        <f t="shared" si="107"/>
        <v>#REF!</v>
      </c>
      <c r="AI449" s="103" t="e">
        <f t="shared" si="108"/>
        <v>#REF!</v>
      </c>
      <c r="AJ449" s="104" t="e">
        <f t="shared" si="109"/>
        <v>#REF!</v>
      </c>
      <c r="AK449" s="104" t="e">
        <f t="shared" si="109"/>
        <v>#REF!</v>
      </c>
    </row>
    <row r="450" spans="19:37">
      <c r="S450" s="103">
        <f t="shared" si="98"/>
        <v>0</v>
      </c>
      <c r="T450" s="103">
        <f t="shared" si="99"/>
        <v>0</v>
      </c>
      <c r="U450" s="104">
        <f t="shared" si="100"/>
        <v>0</v>
      </c>
      <c r="V450" s="104">
        <f t="shared" si="100"/>
        <v>0</v>
      </c>
      <c r="X450" s="103" t="e">
        <f t="shared" si="101"/>
        <v>#REF!</v>
      </c>
      <c r="Y450" s="103" t="e">
        <f t="shared" si="102"/>
        <v>#REF!</v>
      </c>
      <c r="Z450" s="104" t="e">
        <f t="shared" si="103"/>
        <v>#REF!</v>
      </c>
      <c r="AA450" s="104" t="e">
        <f t="shared" si="103"/>
        <v>#REF!</v>
      </c>
      <c r="AC450" s="103" t="e">
        <f t="shared" si="104"/>
        <v>#REF!</v>
      </c>
      <c r="AD450" s="103" t="e">
        <f t="shared" si="105"/>
        <v>#REF!</v>
      </c>
      <c r="AE450" s="104" t="e">
        <f t="shared" si="106"/>
        <v>#REF!</v>
      </c>
      <c r="AF450" s="104" t="e">
        <f t="shared" si="106"/>
        <v>#REF!</v>
      </c>
      <c r="AH450" s="103" t="e">
        <f t="shared" si="107"/>
        <v>#REF!</v>
      </c>
      <c r="AI450" s="103" t="e">
        <f t="shared" si="108"/>
        <v>#REF!</v>
      </c>
      <c r="AJ450" s="104" t="e">
        <f t="shared" si="109"/>
        <v>#REF!</v>
      </c>
      <c r="AK450" s="104" t="e">
        <f t="shared" si="109"/>
        <v>#REF!</v>
      </c>
    </row>
    <row r="451" spans="19:37">
      <c r="S451" s="103">
        <f t="shared" si="98"/>
        <v>0</v>
      </c>
      <c r="T451" s="103">
        <f t="shared" si="99"/>
        <v>0</v>
      </c>
      <c r="U451" s="104">
        <f t="shared" si="100"/>
        <v>0</v>
      </c>
      <c r="V451" s="104">
        <f t="shared" si="100"/>
        <v>0</v>
      </c>
      <c r="X451" s="103" t="e">
        <f t="shared" si="101"/>
        <v>#REF!</v>
      </c>
      <c r="Y451" s="103" t="e">
        <f t="shared" si="102"/>
        <v>#REF!</v>
      </c>
      <c r="Z451" s="104" t="e">
        <f t="shared" si="103"/>
        <v>#REF!</v>
      </c>
      <c r="AA451" s="104" t="e">
        <f t="shared" si="103"/>
        <v>#REF!</v>
      </c>
      <c r="AC451" s="103" t="e">
        <f t="shared" si="104"/>
        <v>#REF!</v>
      </c>
      <c r="AD451" s="103" t="e">
        <f t="shared" si="105"/>
        <v>#REF!</v>
      </c>
      <c r="AE451" s="104" t="e">
        <f t="shared" si="106"/>
        <v>#REF!</v>
      </c>
      <c r="AF451" s="104" t="e">
        <f t="shared" si="106"/>
        <v>#REF!</v>
      </c>
      <c r="AH451" s="103" t="e">
        <f t="shared" si="107"/>
        <v>#REF!</v>
      </c>
      <c r="AI451" s="103" t="e">
        <f t="shared" si="108"/>
        <v>#REF!</v>
      </c>
      <c r="AJ451" s="104" t="e">
        <f t="shared" si="109"/>
        <v>#REF!</v>
      </c>
      <c r="AK451" s="104" t="e">
        <f t="shared" si="109"/>
        <v>#REF!</v>
      </c>
    </row>
    <row r="452" spans="19:37">
      <c r="S452" s="103">
        <f t="shared" si="98"/>
        <v>0</v>
      </c>
      <c r="T452" s="103">
        <f t="shared" si="99"/>
        <v>0</v>
      </c>
      <c r="U452" s="104">
        <f t="shared" si="100"/>
        <v>0</v>
      </c>
      <c r="V452" s="104">
        <f t="shared" si="100"/>
        <v>0</v>
      </c>
      <c r="X452" s="103" t="e">
        <f t="shared" si="101"/>
        <v>#REF!</v>
      </c>
      <c r="Y452" s="103" t="e">
        <f t="shared" si="102"/>
        <v>#REF!</v>
      </c>
      <c r="Z452" s="104" t="e">
        <f t="shared" si="103"/>
        <v>#REF!</v>
      </c>
      <c r="AA452" s="104" t="e">
        <f t="shared" si="103"/>
        <v>#REF!</v>
      </c>
      <c r="AC452" s="103" t="e">
        <f t="shared" si="104"/>
        <v>#REF!</v>
      </c>
      <c r="AD452" s="103" t="e">
        <f t="shared" si="105"/>
        <v>#REF!</v>
      </c>
      <c r="AE452" s="104" t="e">
        <f t="shared" si="106"/>
        <v>#REF!</v>
      </c>
      <c r="AF452" s="104" t="e">
        <f t="shared" si="106"/>
        <v>#REF!</v>
      </c>
      <c r="AH452" s="103" t="e">
        <f t="shared" si="107"/>
        <v>#REF!</v>
      </c>
      <c r="AI452" s="103" t="e">
        <f t="shared" si="108"/>
        <v>#REF!</v>
      </c>
      <c r="AJ452" s="104" t="e">
        <f t="shared" si="109"/>
        <v>#REF!</v>
      </c>
      <c r="AK452" s="104" t="e">
        <f t="shared" si="109"/>
        <v>#REF!</v>
      </c>
    </row>
    <row r="453" spans="19:37">
      <c r="S453" s="103">
        <f t="shared" si="98"/>
        <v>0</v>
      </c>
      <c r="T453" s="103">
        <f t="shared" si="99"/>
        <v>0</v>
      </c>
      <c r="U453" s="104">
        <f t="shared" si="100"/>
        <v>0</v>
      </c>
      <c r="V453" s="104">
        <f t="shared" si="100"/>
        <v>0</v>
      </c>
      <c r="X453" s="103" t="e">
        <f t="shared" si="101"/>
        <v>#REF!</v>
      </c>
      <c r="Y453" s="103" t="e">
        <f t="shared" si="102"/>
        <v>#REF!</v>
      </c>
      <c r="Z453" s="104" t="e">
        <f t="shared" si="103"/>
        <v>#REF!</v>
      </c>
      <c r="AA453" s="104" t="e">
        <f t="shared" si="103"/>
        <v>#REF!</v>
      </c>
      <c r="AC453" s="103" t="e">
        <f t="shared" si="104"/>
        <v>#REF!</v>
      </c>
      <c r="AD453" s="103" t="e">
        <f t="shared" si="105"/>
        <v>#REF!</v>
      </c>
      <c r="AE453" s="104" t="e">
        <f t="shared" si="106"/>
        <v>#REF!</v>
      </c>
      <c r="AF453" s="104" t="e">
        <f t="shared" si="106"/>
        <v>#REF!</v>
      </c>
      <c r="AH453" s="103" t="e">
        <f t="shared" si="107"/>
        <v>#REF!</v>
      </c>
      <c r="AI453" s="103" t="e">
        <f t="shared" si="108"/>
        <v>#REF!</v>
      </c>
      <c r="AJ453" s="104" t="e">
        <f t="shared" si="109"/>
        <v>#REF!</v>
      </c>
      <c r="AK453" s="104" t="e">
        <f t="shared" si="109"/>
        <v>#REF!</v>
      </c>
    </row>
    <row r="454" spans="19:37">
      <c r="S454" s="103">
        <f t="shared" si="98"/>
        <v>0</v>
      </c>
      <c r="T454" s="103">
        <f t="shared" si="99"/>
        <v>0</v>
      </c>
      <c r="U454" s="104">
        <f t="shared" si="100"/>
        <v>0</v>
      </c>
      <c r="V454" s="104">
        <f t="shared" si="100"/>
        <v>0</v>
      </c>
      <c r="X454" s="103" t="e">
        <f t="shared" si="101"/>
        <v>#REF!</v>
      </c>
      <c r="Y454" s="103" t="e">
        <f t="shared" si="102"/>
        <v>#REF!</v>
      </c>
      <c r="Z454" s="104" t="e">
        <f t="shared" si="103"/>
        <v>#REF!</v>
      </c>
      <c r="AA454" s="104" t="e">
        <f t="shared" si="103"/>
        <v>#REF!</v>
      </c>
      <c r="AC454" s="103" t="e">
        <f t="shared" si="104"/>
        <v>#REF!</v>
      </c>
      <c r="AD454" s="103" t="e">
        <f t="shared" si="105"/>
        <v>#REF!</v>
      </c>
      <c r="AE454" s="104" t="e">
        <f t="shared" si="106"/>
        <v>#REF!</v>
      </c>
      <c r="AF454" s="104" t="e">
        <f t="shared" si="106"/>
        <v>#REF!</v>
      </c>
      <c r="AH454" s="103" t="e">
        <f t="shared" si="107"/>
        <v>#REF!</v>
      </c>
      <c r="AI454" s="103" t="e">
        <f t="shared" si="108"/>
        <v>#REF!</v>
      </c>
      <c r="AJ454" s="104" t="e">
        <f t="shared" si="109"/>
        <v>#REF!</v>
      </c>
      <c r="AK454" s="104" t="e">
        <f t="shared" si="109"/>
        <v>#REF!</v>
      </c>
    </row>
    <row r="455" spans="19:37">
      <c r="S455" s="103">
        <f t="shared" si="98"/>
        <v>0</v>
      </c>
      <c r="T455" s="103">
        <f t="shared" si="99"/>
        <v>0</v>
      </c>
      <c r="U455" s="104">
        <f t="shared" si="100"/>
        <v>0</v>
      </c>
      <c r="V455" s="104">
        <f t="shared" si="100"/>
        <v>0</v>
      </c>
      <c r="X455" s="103" t="e">
        <f t="shared" si="101"/>
        <v>#REF!</v>
      </c>
      <c r="Y455" s="103" t="e">
        <f t="shared" si="102"/>
        <v>#REF!</v>
      </c>
      <c r="Z455" s="104" t="e">
        <f t="shared" si="103"/>
        <v>#REF!</v>
      </c>
      <c r="AA455" s="104" t="e">
        <f t="shared" si="103"/>
        <v>#REF!</v>
      </c>
      <c r="AC455" s="103" t="e">
        <f t="shared" si="104"/>
        <v>#REF!</v>
      </c>
      <c r="AD455" s="103" t="e">
        <f t="shared" si="105"/>
        <v>#REF!</v>
      </c>
      <c r="AE455" s="104" t="e">
        <f t="shared" si="106"/>
        <v>#REF!</v>
      </c>
      <c r="AF455" s="104" t="e">
        <f t="shared" si="106"/>
        <v>#REF!</v>
      </c>
      <c r="AH455" s="103" t="e">
        <f t="shared" si="107"/>
        <v>#REF!</v>
      </c>
      <c r="AI455" s="103" t="e">
        <f t="shared" si="108"/>
        <v>#REF!</v>
      </c>
      <c r="AJ455" s="104" t="e">
        <f t="shared" si="109"/>
        <v>#REF!</v>
      </c>
      <c r="AK455" s="104" t="e">
        <f t="shared" si="109"/>
        <v>#REF!</v>
      </c>
    </row>
    <row r="456" spans="19:37">
      <c r="S456" s="103">
        <f t="shared" si="98"/>
        <v>0</v>
      </c>
      <c r="T456" s="103">
        <f t="shared" si="99"/>
        <v>0</v>
      </c>
      <c r="U456" s="104">
        <f t="shared" si="100"/>
        <v>0</v>
      </c>
      <c r="V456" s="104">
        <f t="shared" si="100"/>
        <v>0</v>
      </c>
      <c r="X456" s="103" t="e">
        <f t="shared" si="101"/>
        <v>#REF!</v>
      </c>
      <c r="Y456" s="103" t="e">
        <f t="shared" si="102"/>
        <v>#REF!</v>
      </c>
      <c r="Z456" s="104" t="e">
        <f t="shared" si="103"/>
        <v>#REF!</v>
      </c>
      <c r="AA456" s="104" t="e">
        <f t="shared" si="103"/>
        <v>#REF!</v>
      </c>
      <c r="AC456" s="103" t="e">
        <f t="shared" si="104"/>
        <v>#REF!</v>
      </c>
      <c r="AD456" s="103" t="e">
        <f t="shared" si="105"/>
        <v>#REF!</v>
      </c>
      <c r="AE456" s="104" t="e">
        <f t="shared" si="106"/>
        <v>#REF!</v>
      </c>
      <c r="AF456" s="104" t="e">
        <f t="shared" si="106"/>
        <v>#REF!</v>
      </c>
      <c r="AH456" s="103" t="e">
        <f t="shared" si="107"/>
        <v>#REF!</v>
      </c>
      <c r="AI456" s="103" t="e">
        <f t="shared" si="108"/>
        <v>#REF!</v>
      </c>
      <c r="AJ456" s="104" t="e">
        <f t="shared" si="109"/>
        <v>#REF!</v>
      </c>
      <c r="AK456" s="104" t="e">
        <f t="shared" si="109"/>
        <v>#REF!</v>
      </c>
    </row>
    <row r="457" spans="19:37">
      <c r="S457" s="103">
        <f t="shared" si="98"/>
        <v>0</v>
      </c>
      <c r="T457" s="103">
        <f t="shared" si="99"/>
        <v>0</v>
      </c>
      <c r="U457" s="104">
        <f t="shared" si="100"/>
        <v>0</v>
      </c>
      <c r="V457" s="104">
        <f t="shared" si="100"/>
        <v>0</v>
      </c>
      <c r="X457" s="103" t="e">
        <f t="shared" si="101"/>
        <v>#REF!</v>
      </c>
      <c r="Y457" s="103" t="e">
        <f t="shared" si="102"/>
        <v>#REF!</v>
      </c>
      <c r="Z457" s="104" t="e">
        <f t="shared" si="103"/>
        <v>#REF!</v>
      </c>
      <c r="AA457" s="104" t="e">
        <f t="shared" si="103"/>
        <v>#REF!</v>
      </c>
      <c r="AC457" s="103" t="e">
        <f t="shared" si="104"/>
        <v>#REF!</v>
      </c>
      <c r="AD457" s="103" t="e">
        <f t="shared" si="105"/>
        <v>#REF!</v>
      </c>
      <c r="AE457" s="104" t="e">
        <f t="shared" si="106"/>
        <v>#REF!</v>
      </c>
      <c r="AF457" s="104" t="e">
        <f t="shared" si="106"/>
        <v>#REF!</v>
      </c>
      <c r="AH457" s="103" t="e">
        <f t="shared" si="107"/>
        <v>#REF!</v>
      </c>
      <c r="AI457" s="103" t="e">
        <f t="shared" si="108"/>
        <v>#REF!</v>
      </c>
      <c r="AJ457" s="104" t="e">
        <f t="shared" si="109"/>
        <v>#REF!</v>
      </c>
      <c r="AK457" s="104" t="e">
        <f t="shared" si="109"/>
        <v>#REF!</v>
      </c>
    </row>
    <row r="458" spans="19:37">
      <c r="S458" s="103">
        <f t="shared" si="98"/>
        <v>0</v>
      </c>
      <c r="T458" s="103">
        <f t="shared" si="99"/>
        <v>0</v>
      </c>
      <c r="U458" s="104">
        <f t="shared" si="100"/>
        <v>0</v>
      </c>
      <c r="V458" s="104">
        <f t="shared" si="100"/>
        <v>0</v>
      </c>
      <c r="X458" s="103" t="e">
        <f t="shared" si="101"/>
        <v>#REF!</v>
      </c>
      <c r="Y458" s="103" t="e">
        <f t="shared" si="102"/>
        <v>#REF!</v>
      </c>
      <c r="Z458" s="104" t="e">
        <f t="shared" si="103"/>
        <v>#REF!</v>
      </c>
      <c r="AA458" s="104" t="e">
        <f t="shared" si="103"/>
        <v>#REF!</v>
      </c>
      <c r="AC458" s="103" t="e">
        <f t="shared" si="104"/>
        <v>#REF!</v>
      </c>
      <c r="AD458" s="103" t="e">
        <f t="shared" si="105"/>
        <v>#REF!</v>
      </c>
      <c r="AE458" s="104" t="e">
        <f t="shared" si="106"/>
        <v>#REF!</v>
      </c>
      <c r="AF458" s="104" t="e">
        <f t="shared" si="106"/>
        <v>#REF!</v>
      </c>
      <c r="AH458" s="103" t="e">
        <f t="shared" si="107"/>
        <v>#REF!</v>
      </c>
      <c r="AI458" s="103" t="e">
        <f t="shared" si="108"/>
        <v>#REF!</v>
      </c>
      <c r="AJ458" s="104" t="e">
        <f t="shared" si="109"/>
        <v>#REF!</v>
      </c>
      <c r="AK458" s="104" t="e">
        <f t="shared" si="109"/>
        <v>#REF!</v>
      </c>
    </row>
    <row r="459" spans="19:37">
      <c r="S459" s="103">
        <f t="shared" si="98"/>
        <v>0</v>
      </c>
      <c r="T459" s="103">
        <f t="shared" si="99"/>
        <v>0</v>
      </c>
      <c r="U459" s="104">
        <f t="shared" si="100"/>
        <v>0</v>
      </c>
      <c r="V459" s="104">
        <f t="shared" si="100"/>
        <v>0</v>
      </c>
      <c r="X459" s="103" t="e">
        <f t="shared" si="101"/>
        <v>#REF!</v>
      </c>
      <c r="Y459" s="103" t="e">
        <f t="shared" si="102"/>
        <v>#REF!</v>
      </c>
      <c r="Z459" s="104" t="e">
        <f t="shared" si="103"/>
        <v>#REF!</v>
      </c>
      <c r="AA459" s="104" t="e">
        <f t="shared" si="103"/>
        <v>#REF!</v>
      </c>
      <c r="AC459" s="103" t="e">
        <f t="shared" si="104"/>
        <v>#REF!</v>
      </c>
      <c r="AD459" s="103" t="e">
        <f t="shared" si="105"/>
        <v>#REF!</v>
      </c>
      <c r="AE459" s="104" t="e">
        <f t="shared" si="106"/>
        <v>#REF!</v>
      </c>
      <c r="AF459" s="104" t="e">
        <f t="shared" si="106"/>
        <v>#REF!</v>
      </c>
      <c r="AH459" s="103" t="e">
        <f t="shared" si="107"/>
        <v>#REF!</v>
      </c>
      <c r="AI459" s="103" t="e">
        <f t="shared" si="108"/>
        <v>#REF!</v>
      </c>
      <c r="AJ459" s="104" t="e">
        <f t="shared" si="109"/>
        <v>#REF!</v>
      </c>
      <c r="AK459" s="104" t="e">
        <f t="shared" si="109"/>
        <v>#REF!</v>
      </c>
    </row>
    <row r="460" spans="19:37">
      <c r="S460" s="103">
        <f t="shared" si="98"/>
        <v>0</v>
      </c>
      <c r="T460" s="103">
        <f t="shared" si="99"/>
        <v>0</v>
      </c>
      <c r="U460" s="104">
        <f t="shared" si="100"/>
        <v>0</v>
      </c>
      <c r="V460" s="104">
        <f t="shared" si="100"/>
        <v>0</v>
      </c>
      <c r="X460" s="103" t="e">
        <f t="shared" si="101"/>
        <v>#REF!</v>
      </c>
      <c r="Y460" s="103" t="e">
        <f t="shared" si="102"/>
        <v>#REF!</v>
      </c>
      <c r="Z460" s="104" t="e">
        <f t="shared" si="103"/>
        <v>#REF!</v>
      </c>
      <c r="AA460" s="104" t="e">
        <f t="shared" si="103"/>
        <v>#REF!</v>
      </c>
      <c r="AC460" s="103" t="e">
        <f t="shared" si="104"/>
        <v>#REF!</v>
      </c>
      <c r="AD460" s="103" t="e">
        <f t="shared" si="105"/>
        <v>#REF!</v>
      </c>
      <c r="AE460" s="104" t="e">
        <f t="shared" si="106"/>
        <v>#REF!</v>
      </c>
      <c r="AF460" s="104" t="e">
        <f t="shared" si="106"/>
        <v>#REF!</v>
      </c>
      <c r="AH460" s="103" t="e">
        <f t="shared" si="107"/>
        <v>#REF!</v>
      </c>
      <c r="AI460" s="103" t="e">
        <f t="shared" si="108"/>
        <v>#REF!</v>
      </c>
      <c r="AJ460" s="104" t="e">
        <f t="shared" si="109"/>
        <v>#REF!</v>
      </c>
      <c r="AK460" s="104" t="e">
        <f t="shared" si="109"/>
        <v>#REF!</v>
      </c>
    </row>
    <row r="461" spans="19:37">
      <c r="S461" s="103">
        <f t="shared" si="98"/>
        <v>0</v>
      </c>
      <c r="T461" s="103">
        <f t="shared" si="99"/>
        <v>0</v>
      </c>
      <c r="U461" s="104">
        <f t="shared" si="100"/>
        <v>0</v>
      </c>
      <c r="V461" s="104">
        <f t="shared" si="100"/>
        <v>0</v>
      </c>
      <c r="X461" s="103" t="e">
        <f t="shared" si="101"/>
        <v>#REF!</v>
      </c>
      <c r="Y461" s="103" t="e">
        <f t="shared" si="102"/>
        <v>#REF!</v>
      </c>
      <c r="Z461" s="104" t="e">
        <f t="shared" si="103"/>
        <v>#REF!</v>
      </c>
      <c r="AA461" s="104" t="e">
        <f t="shared" si="103"/>
        <v>#REF!</v>
      </c>
      <c r="AC461" s="103" t="e">
        <f t="shared" si="104"/>
        <v>#REF!</v>
      </c>
      <c r="AD461" s="103" t="e">
        <f t="shared" si="105"/>
        <v>#REF!</v>
      </c>
      <c r="AE461" s="104" t="e">
        <f t="shared" si="106"/>
        <v>#REF!</v>
      </c>
      <c r="AF461" s="104" t="e">
        <f t="shared" si="106"/>
        <v>#REF!</v>
      </c>
      <c r="AH461" s="103" t="e">
        <f t="shared" si="107"/>
        <v>#REF!</v>
      </c>
      <c r="AI461" s="103" t="e">
        <f t="shared" si="108"/>
        <v>#REF!</v>
      </c>
      <c r="AJ461" s="104" t="e">
        <f t="shared" si="109"/>
        <v>#REF!</v>
      </c>
      <c r="AK461" s="104" t="e">
        <f t="shared" si="109"/>
        <v>#REF!</v>
      </c>
    </row>
    <row r="462" spans="19:37">
      <c r="S462" s="103">
        <f t="shared" si="98"/>
        <v>0</v>
      </c>
      <c r="T462" s="103">
        <f t="shared" si="99"/>
        <v>0</v>
      </c>
      <c r="U462" s="104">
        <f t="shared" si="100"/>
        <v>0</v>
      </c>
      <c r="V462" s="104">
        <f t="shared" si="100"/>
        <v>0</v>
      </c>
      <c r="X462" s="103" t="e">
        <f t="shared" si="101"/>
        <v>#REF!</v>
      </c>
      <c r="Y462" s="103" t="e">
        <f t="shared" si="102"/>
        <v>#REF!</v>
      </c>
      <c r="Z462" s="104" t="e">
        <f t="shared" si="103"/>
        <v>#REF!</v>
      </c>
      <c r="AA462" s="104" t="e">
        <f t="shared" si="103"/>
        <v>#REF!</v>
      </c>
      <c r="AC462" s="103" t="e">
        <f t="shared" si="104"/>
        <v>#REF!</v>
      </c>
      <c r="AD462" s="103" t="e">
        <f t="shared" si="105"/>
        <v>#REF!</v>
      </c>
      <c r="AE462" s="104" t="e">
        <f t="shared" si="106"/>
        <v>#REF!</v>
      </c>
      <c r="AF462" s="104" t="e">
        <f t="shared" si="106"/>
        <v>#REF!</v>
      </c>
      <c r="AH462" s="103" t="e">
        <f t="shared" si="107"/>
        <v>#REF!</v>
      </c>
      <c r="AI462" s="103" t="e">
        <f t="shared" si="108"/>
        <v>#REF!</v>
      </c>
      <c r="AJ462" s="104" t="e">
        <f t="shared" si="109"/>
        <v>#REF!</v>
      </c>
      <c r="AK462" s="104" t="e">
        <f t="shared" si="109"/>
        <v>#REF!</v>
      </c>
    </row>
    <row r="463" spans="19:37">
      <c r="S463" s="103">
        <f t="shared" si="98"/>
        <v>0</v>
      </c>
      <c r="T463" s="103">
        <f t="shared" si="99"/>
        <v>0</v>
      </c>
      <c r="U463" s="104">
        <f t="shared" si="100"/>
        <v>0</v>
      </c>
      <c r="V463" s="104">
        <f t="shared" si="100"/>
        <v>0</v>
      </c>
      <c r="X463" s="103" t="e">
        <f t="shared" si="101"/>
        <v>#REF!</v>
      </c>
      <c r="Y463" s="103" t="e">
        <f t="shared" si="102"/>
        <v>#REF!</v>
      </c>
      <c r="Z463" s="104" t="e">
        <f t="shared" si="103"/>
        <v>#REF!</v>
      </c>
      <c r="AA463" s="104" t="e">
        <f t="shared" si="103"/>
        <v>#REF!</v>
      </c>
      <c r="AC463" s="103" t="e">
        <f t="shared" si="104"/>
        <v>#REF!</v>
      </c>
      <c r="AD463" s="103" t="e">
        <f t="shared" si="105"/>
        <v>#REF!</v>
      </c>
      <c r="AE463" s="104" t="e">
        <f t="shared" si="106"/>
        <v>#REF!</v>
      </c>
      <c r="AF463" s="104" t="e">
        <f t="shared" si="106"/>
        <v>#REF!</v>
      </c>
      <c r="AH463" s="103" t="e">
        <f t="shared" si="107"/>
        <v>#REF!</v>
      </c>
      <c r="AI463" s="103" t="e">
        <f t="shared" si="108"/>
        <v>#REF!</v>
      </c>
      <c r="AJ463" s="104" t="e">
        <f t="shared" si="109"/>
        <v>#REF!</v>
      </c>
      <c r="AK463" s="104" t="e">
        <f t="shared" si="109"/>
        <v>#REF!</v>
      </c>
    </row>
    <row r="464" spans="19:37">
      <c r="S464" s="103">
        <f t="shared" si="98"/>
        <v>0</v>
      </c>
      <c r="T464" s="103">
        <f t="shared" si="99"/>
        <v>0</v>
      </c>
      <c r="U464" s="104">
        <f t="shared" si="100"/>
        <v>0</v>
      </c>
      <c r="V464" s="104">
        <f t="shared" si="100"/>
        <v>0</v>
      </c>
      <c r="X464" s="103" t="e">
        <f t="shared" si="101"/>
        <v>#REF!</v>
      </c>
      <c r="Y464" s="103" t="e">
        <f t="shared" si="102"/>
        <v>#REF!</v>
      </c>
      <c r="Z464" s="104" t="e">
        <f t="shared" si="103"/>
        <v>#REF!</v>
      </c>
      <c r="AA464" s="104" t="e">
        <f t="shared" si="103"/>
        <v>#REF!</v>
      </c>
      <c r="AC464" s="103" t="e">
        <f t="shared" si="104"/>
        <v>#REF!</v>
      </c>
      <c r="AD464" s="103" t="e">
        <f t="shared" si="105"/>
        <v>#REF!</v>
      </c>
      <c r="AE464" s="104" t="e">
        <f t="shared" si="106"/>
        <v>#REF!</v>
      </c>
      <c r="AF464" s="104" t="e">
        <f t="shared" si="106"/>
        <v>#REF!</v>
      </c>
      <c r="AH464" s="103" t="e">
        <f t="shared" si="107"/>
        <v>#REF!</v>
      </c>
      <c r="AI464" s="103" t="e">
        <f t="shared" si="108"/>
        <v>#REF!</v>
      </c>
      <c r="AJ464" s="104" t="e">
        <f t="shared" si="109"/>
        <v>#REF!</v>
      </c>
      <c r="AK464" s="104" t="e">
        <f t="shared" si="109"/>
        <v>#REF!</v>
      </c>
    </row>
    <row r="465" spans="19:37">
      <c r="S465" s="103">
        <f t="shared" si="98"/>
        <v>0</v>
      </c>
      <c r="T465" s="103">
        <f t="shared" si="99"/>
        <v>0</v>
      </c>
      <c r="U465" s="104">
        <f t="shared" si="100"/>
        <v>0</v>
      </c>
      <c r="V465" s="104">
        <f t="shared" si="100"/>
        <v>0</v>
      </c>
      <c r="X465" s="103" t="e">
        <f t="shared" si="101"/>
        <v>#REF!</v>
      </c>
      <c r="Y465" s="103" t="e">
        <f t="shared" si="102"/>
        <v>#REF!</v>
      </c>
      <c r="Z465" s="104" t="e">
        <f t="shared" si="103"/>
        <v>#REF!</v>
      </c>
      <c r="AA465" s="104" t="e">
        <f t="shared" si="103"/>
        <v>#REF!</v>
      </c>
      <c r="AC465" s="103" t="e">
        <f t="shared" si="104"/>
        <v>#REF!</v>
      </c>
      <c r="AD465" s="103" t="e">
        <f t="shared" si="105"/>
        <v>#REF!</v>
      </c>
      <c r="AE465" s="104" t="e">
        <f t="shared" si="106"/>
        <v>#REF!</v>
      </c>
      <c r="AF465" s="104" t="e">
        <f t="shared" si="106"/>
        <v>#REF!</v>
      </c>
      <c r="AH465" s="103" t="e">
        <f t="shared" si="107"/>
        <v>#REF!</v>
      </c>
      <c r="AI465" s="103" t="e">
        <f t="shared" si="108"/>
        <v>#REF!</v>
      </c>
      <c r="AJ465" s="104" t="e">
        <f t="shared" si="109"/>
        <v>#REF!</v>
      </c>
      <c r="AK465" s="104" t="e">
        <f t="shared" si="109"/>
        <v>#REF!</v>
      </c>
    </row>
    <row r="466" spans="19:37">
      <c r="S466" s="103">
        <f t="shared" si="98"/>
        <v>0</v>
      </c>
      <c r="T466" s="103">
        <f t="shared" si="99"/>
        <v>0</v>
      </c>
      <c r="U466" s="104">
        <f t="shared" si="100"/>
        <v>0</v>
      </c>
      <c r="V466" s="104">
        <f t="shared" si="100"/>
        <v>0</v>
      </c>
      <c r="X466" s="103" t="e">
        <f t="shared" si="101"/>
        <v>#REF!</v>
      </c>
      <c r="Y466" s="103" t="e">
        <f t="shared" si="102"/>
        <v>#REF!</v>
      </c>
      <c r="Z466" s="104" t="e">
        <f t="shared" si="103"/>
        <v>#REF!</v>
      </c>
      <c r="AA466" s="104" t="e">
        <f t="shared" si="103"/>
        <v>#REF!</v>
      </c>
      <c r="AC466" s="103" t="e">
        <f t="shared" si="104"/>
        <v>#REF!</v>
      </c>
      <c r="AD466" s="103" t="e">
        <f t="shared" si="105"/>
        <v>#REF!</v>
      </c>
      <c r="AE466" s="104" t="e">
        <f t="shared" si="106"/>
        <v>#REF!</v>
      </c>
      <c r="AF466" s="104" t="e">
        <f t="shared" si="106"/>
        <v>#REF!</v>
      </c>
      <c r="AH466" s="103" t="e">
        <f t="shared" si="107"/>
        <v>#REF!</v>
      </c>
      <c r="AI466" s="103" t="e">
        <f t="shared" si="108"/>
        <v>#REF!</v>
      </c>
      <c r="AJ466" s="104" t="e">
        <f t="shared" si="109"/>
        <v>#REF!</v>
      </c>
      <c r="AK466" s="104" t="e">
        <f t="shared" si="109"/>
        <v>#REF!</v>
      </c>
    </row>
    <row r="467" spans="19:37">
      <c r="S467" s="103">
        <f t="shared" si="98"/>
        <v>0</v>
      </c>
      <c r="T467" s="103">
        <f t="shared" si="99"/>
        <v>0</v>
      </c>
      <c r="U467" s="104">
        <f t="shared" si="100"/>
        <v>0</v>
      </c>
      <c r="V467" s="104">
        <f t="shared" si="100"/>
        <v>0</v>
      </c>
      <c r="X467" s="103" t="e">
        <f t="shared" si="101"/>
        <v>#REF!</v>
      </c>
      <c r="Y467" s="103" t="e">
        <f t="shared" si="102"/>
        <v>#REF!</v>
      </c>
      <c r="Z467" s="104" t="e">
        <f t="shared" si="103"/>
        <v>#REF!</v>
      </c>
      <c r="AA467" s="104" t="e">
        <f t="shared" si="103"/>
        <v>#REF!</v>
      </c>
      <c r="AC467" s="103" t="e">
        <f t="shared" si="104"/>
        <v>#REF!</v>
      </c>
      <c r="AD467" s="103" t="e">
        <f t="shared" si="105"/>
        <v>#REF!</v>
      </c>
      <c r="AE467" s="104" t="e">
        <f t="shared" si="106"/>
        <v>#REF!</v>
      </c>
      <c r="AF467" s="104" t="e">
        <f t="shared" si="106"/>
        <v>#REF!</v>
      </c>
      <c r="AH467" s="103" t="e">
        <f t="shared" si="107"/>
        <v>#REF!</v>
      </c>
      <c r="AI467" s="103" t="e">
        <f t="shared" si="108"/>
        <v>#REF!</v>
      </c>
      <c r="AJ467" s="104" t="e">
        <f t="shared" si="109"/>
        <v>#REF!</v>
      </c>
      <c r="AK467" s="104" t="e">
        <f t="shared" si="109"/>
        <v>#REF!</v>
      </c>
    </row>
    <row r="468" spans="19:37">
      <c r="S468" s="103">
        <f t="shared" si="98"/>
        <v>0</v>
      </c>
      <c r="T468" s="103">
        <f t="shared" si="99"/>
        <v>0</v>
      </c>
      <c r="U468" s="104">
        <f t="shared" si="100"/>
        <v>0</v>
      </c>
      <c r="V468" s="104">
        <f t="shared" si="100"/>
        <v>0</v>
      </c>
      <c r="X468" s="103" t="e">
        <f t="shared" si="101"/>
        <v>#REF!</v>
      </c>
      <c r="Y468" s="103" t="e">
        <f t="shared" si="102"/>
        <v>#REF!</v>
      </c>
      <c r="Z468" s="104" t="e">
        <f t="shared" si="103"/>
        <v>#REF!</v>
      </c>
      <c r="AA468" s="104" t="e">
        <f t="shared" si="103"/>
        <v>#REF!</v>
      </c>
      <c r="AC468" s="103" t="e">
        <f t="shared" si="104"/>
        <v>#REF!</v>
      </c>
      <c r="AD468" s="103" t="e">
        <f t="shared" si="105"/>
        <v>#REF!</v>
      </c>
      <c r="AE468" s="104" t="e">
        <f t="shared" si="106"/>
        <v>#REF!</v>
      </c>
      <c r="AF468" s="104" t="e">
        <f t="shared" si="106"/>
        <v>#REF!</v>
      </c>
      <c r="AH468" s="103" t="e">
        <f t="shared" si="107"/>
        <v>#REF!</v>
      </c>
      <c r="AI468" s="103" t="e">
        <f t="shared" si="108"/>
        <v>#REF!</v>
      </c>
      <c r="AJ468" s="104" t="e">
        <f t="shared" si="109"/>
        <v>#REF!</v>
      </c>
      <c r="AK468" s="104" t="e">
        <f t="shared" si="109"/>
        <v>#REF!</v>
      </c>
    </row>
    <row r="469" spans="19:37">
      <c r="S469" s="103">
        <f t="shared" si="98"/>
        <v>0</v>
      </c>
      <c r="T469" s="103">
        <f t="shared" si="99"/>
        <v>0</v>
      </c>
      <c r="U469" s="104">
        <f t="shared" si="100"/>
        <v>0</v>
      </c>
      <c r="V469" s="104">
        <f t="shared" si="100"/>
        <v>0</v>
      </c>
      <c r="X469" s="103" t="e">
        <f t="shared" si="101"/>
        <v>#REF!</v>
      </c>
      <c r="Y469" s="103" t="e">
        <f t="shared" si="102"/>
        <v>#REF!</v>
      </c>
      <c r="Z469" s="104" t="e">
        <f t="shared" si="103"/>
        <v>#REF!</v>
      </c>
      <c r="AA469" s="104" t="e">
        <f t="shared" si="103"/>
        <v>#REF!</v>
      </c>
      <c r="AC469" s="103" t="e">
        <f t="shared" si="104"/>
        <v>#REF!</v>
      </c>
      <c r="AD469" s="103" t="e">
        <f t="shared" si="105"/>
        <v>#REF!</v>
      </c>
      <c r="AE469" s="104" t="e">
        <f t="shared" si="106"/>
        <v>#REF!</v>
      </c>
      <c r="AF469" s="104" t="e">
        <f t="shared" si="106"/>
        <v>#REF!</v>
      </c>
      <c r="AH469" s="103" t="e">
        <f t="shared" si="107"/>
        <v>#REF!</v>
      </c>
      <c r="AI469" s="103" t="e">
        <f t="shared" si="108"/>
        <v>#REF!</v>
      </c>
      <c r="AJ469" s="104" t="e">
        <f t="shared" si="109"/>
        <v>#REF!</v>
      </c>
      <c r="AK469" s="104" t="e">
        <f t="shared" si="109"/>
        <v>#REF!</v>
      </c>
    </row>
    <row r="470" spans="19:37">
      <c r="S470" s="103">
        <f t="shared" ref="S470:S533" si="110">IF($A470&lt;&gt;"(DC)", $E470*$R$7, $E470)</f>
        <v>0</v>
      </c>
      <c r="T470" s="103">
        <f t="shared" ref="T470:T533" si="111">IF($A470&lt;&gt;"(DC)", $F470*$R$7, $F470)</f>
        <v>0</v>
      </c>
      <c r="U470" s="104">
        <f t="shared" ref="U470:V533" si="112">IF(AND($D470="",S470=""),"",IF($D470="",S470,$D470+S470))</f>
        <v>0</v>
      </c>
      <c r="V470" s="104">
        <f t="shared" si="112"/>
        <v>0</v>
      </c>
      <c r="X470" s="103" t="e">
        <f t="shared" ref="X470:X533" si="113">IF($A470&lt;&gt;"(DC)", $E470*$W$7, $E470)</f>
        <v>#REF!</v>
      </c>
      <c r="Y470" s="103" t="e">
        <f t="shared" ref="Y470:Y533" si="114">IF($A470&lt;&gt;"(DC)", $F470*$W$7, $F470)</f>
        <v>#REF!</v>
      </c>
      <c r="Z470" s="104" t="e">
        <f t="shared" ref="Z470:AA533" si="115">IF(AND($D470="",X470=""),"",IF($D470="",X470,$D470+X470))</f>
        <v>#REF!</v>
      </c>
      <c r="AA470" s="104" t="e">
        <f t="shared" si="115"/>
        <v>#REF!</v>
      </c>
      <c r="AC470" s="103" t="e">
        <f t="shared" ref="AC470:AC533" si="116">IF($A470&lt;&gt;"(DC)", $E470*$W$7, $E470)</f>
        <v>#REF!</v>
      </c>
      <c r="AD470" s="103" t="e">
        <f t="shared" ref="AD470:AD533" si="117">IF($A470&lt;&gt;"(DC)", $F470*$W$7, $F470)</f>
        <v>#REF!</v>
      </c>
      <c r="AE470" s="104" t="e">
        <f t="shared" ref="AE470:AF533" si="118">IF(AND($D470="",AC470=""),"",IF($D470="",AC470,$D470+AC470))</f>
        <v>#REF!</v>
      </c>
      <c r="AF470" s="104" t="e">
        <f t="shared" si="118"/>
        <v>#REF!</v>
      </c>
      <c r="AH470" s="103" t="e">
        <f t="shared" ref="AH470:AH533" si="119">IF($A470&lt;&gt;"(DC)", $E470*$AG$7, $E470)</f>
        <v>#REF!</v>
      </c>
      <c r="AI470" s="103" t="e">
        <f t="shared" ref="AI470:AI533" si="120">IF($A470&lt;&gt;"(DC)", $F470*$AG$7, $F470)</f>
        <v>#REF!</v>
      </c>
      <c r="AJ470" s="104" t="e">
        <f t="shared" ref="AJ470:AK533" si="121">IF(AND($D470="",AH470=""),"",IF($D470="",AH470,$D470+AH470))</f>
        <v>#REF!</v>
      </c>
      <c r="AK470" s="104" t="e">
        <f t="shared" si="121"/>
        <v>#REF!</v>
      </c>
    </row>
    <row r="471" spans="19:37">
      <c r="S471" s="103">
        <f t="shared" si="110"/>
        <v>0</v>
      </c>
      <c r="T471" s="103">
        <f t="shared" si="111"/>
        <v>0</v>
      </c>
      <c r="U471" s="104">
        <f t="shared" si="112"/>
        <v>0</v>
      </c>
      <c r="V471" s="104">
        <f t="shared" si="112"/>
        <v>0</v>
      </c>
      <c r="X471" s="103" t="e">
        <f t="shared" si="113"/>
        <v>#REF!</v>
      </c>
      <c r="Y471" s="103" t="e">
        <f t="shared" si="114"/>
        <v>#REF!</v>
      </c>
      <c r="Z471" s="104" t="e">
        <f t="shared" si="115"/>
        <v>#REF!</v>
      </c>
      <c r="AA471" s="104" t="e">
        <f t="shared" si="115"/>
        <v>#REF!</v>
      </c>
      <c r="AC471" s="103" t="e">
        <f t="shared" si="116"/>
        <v>#REF!</v>
      </c>
      <c r="AD471" s="103" t="e">
        <f t="shared" si="117"/>
        <v>#REF!</v>
      </c>
      <c r="AE471" s="104" t="e">
        <f t="shared" si="118"/>
        <v>#REF!</v>
      </c>
      <c r="AF471" s="104" t="e">
        <f t="shared" si="118"/>
        <v>#REF!</v>
      </c>
      <c r="AH471" s="103" t="e">
        <f t="shared" si="119"/>
        <v>#REF!</v>
      </c>
      <c r="AI471" s="103" t="e">
        <f t="shared" si="120"/>
        <v>#REF!</v>
      </c>
      <c r="AJ471" s="104" t="e">
        <f t="shared" si="121"/>
        <v>#REF!</v>
      </c>
      <c r="AK471" s="104" t="e">
        <f t="shared" si="121"/>
        <v>#REF!</v>
      </c>
    </row>
    <row r="472" spans="19:37">
      <c r="S472" s="103">
        <f t="shared" si="110"/>
        <v>0</v>
      </c>
      <c r="T472" s="103">
        <f t="shared" si="111"/>
        <v>0</v>
      </c>
      <c r="U472" s="104">
        <f t="shared" si="112"/>
        <v>0</v>
      </c>
      <c r="V472" s="104">
        <f t="shared" si="112"/>
        <v>0</v>
      </c>
      <c r="X472" s="103" t="e">
        <f t="shared" si="113"/>
        <v>#REF!</v>
      </c>
      <c r="Y472" s="103" t="e">
        <f t="shared" si="114"/>
        <v>#REF!</v>
      </c>
      <c r="Z472" s="104" t="e">
        <f t="shared" si="115"/>
        <v>#REF!</v>
      </c>
      <c r="AA472" s="104" t="e">
        <f t="shared" si="115"/>
        <v>#REF!</v>
      </c>
      <c r="AC472" s="103" t="e">
        <f t="shared" si="116"/>
        <v>#REF!</v>
      </c>
      <c r="AD472" s="103" t="e">
        <f t="shared" si="117"/>
        <v>#REF!</v>
      </c>
      <c r="AE472" s="104" t="e">
        <f t="shared" si="118"/>
        <v>#REF!</v>
      </c>
      <c r="AF472" s="104" t="e">
        <f t="shared" si="118"/>
        <v>#REF!</v>
      </c>
      <c r="AH472" s="103" t="e">
        <f t="shared" si="119"/>
        <v>#REF!</v>
      </c>
      <c r="AI472" s="103" t="e">
        <f t="shared" si="120"/>
        <v>#REF!</v>
      </c>
      <c r="AJ472" s="104" t="e">
        <f t="shared" si="121"/>
        <v>#REF!</v>
      </c>
      <c r="AK472" s="104" t="e">
        <f t="shared" si="121"/>
        <v>#REF!</v>
      </c>
    </row>
    <row r="473" spans="19:37">
      <c r="S473" s="103">
        <f t="shared" si="110"/>
        <v>0</v>
      </c>
      <c r="T473" s="103">
        <f t="shared" si="111"/>
        <v>0</v>
      </c>
      <c r="U473" s="104">
        <f t="shared" si="112"/>
        <v>0</v>
      </c>
      <c r="V473" s="104">
        <f t="shared" si="112"/>
        <v>0</v>
      </c>
      <c r="X473" s="103" t="e">
        <f t="shared" si="113"/>
        <v>#REF!</v>
      </c>
      <c r="Y473" s="103" t="e">
        <f t="shared" si="114"/>
        <v>#REF!</v>
      </c>
      <c r="Z473" s="104" t="e">
        <f t="shared" si="115"/>
        <v>#REF!</v>
      </c>
      <c r="AA473" s="104" t="e">
        <f t="shared" si="115"/>
        <v>#REF!</v>
      </c>
      <c r="AC473" s="103" t="e">
        <f t="shared" si="116"/>
        <v>#REF!</v>
      </c>
      <c r="AD473" s="103" t="e">
        <f t="shared" si="117"/>
        <v>#REF!</v>
      </c>
      <c r="AE473" s="104" t="e">
        <f t="shared" si="118"/>
        <v>#REF!</v>
      </c>
      <c r="AF473" s="104" t="e">
        <f t="shared" si="118"/>
        <v>#REF!</v>
      </c>
      <c r="AH473" s="103" t="e">
        <f t="shared" si="119"/>
        <v>#REF!</v>
      </c>
      <c r="AI473" s="103" t="e">
        <f t="shared" si="120"/>
        <v>#REF!</v>
      </c>
      <c r="AJ473" s="104" t="e">
        <f t="shared" si="121"/>
        <v>#REF!</v>
      </c>
      <c r="AK473" s="104" t="e">
        <f t="shared" si="121"/>
        <v>#REF!</v>
      </c>
    </row>
    <row r="474" spans="19:37">
      <c r="S474" s="103">
        <f t="shared" si="110"/>
        <v>0</v>
      </c>
      <c r="T474" s="103">
        <f t="shared" si="111"/>
        <v>0</v>
      </c>
      <c r="U474" s="104">
        <f t="shared" si="112"/>
        <v>0</v>
      </c>
      <c r="V474" s="104">
        <f t="shared" si="112"/>
        <v>0</v>
      </c>
      <c r="X474" s="103" t="e">
        <f t="shared" si="113"/>
        <v>#REF!</v>
      </c>
      <c r="Y474" s="103" t="e">
        <f t="shared" si="114"/>
        <v>#REF!</v>
      </c>
      <c r="Z474" s="104" t="e">
        <f t="shared" si="115"/>
        <v>#REF!</v>
      </c>
      <c r="AA474" s="104" t="e">
        <f t="shared" si="115"/>
        <v>#REF!</v>
      </c>
      <c r="AC474" s="103" t="e">
        <f t="shared" si="116"/>
        <v>#REF!</v>
      </c>
      <c r="AD474" s="103" t="e">
        <f t="shared" si="117"/>
        <v>#REF!</v>
      </c>
      <c r="AE474" s="104" t="e">
        <f t="shared" si="118"/>
        <v>#REF!</v>
      </c>
      <c r="AF474" s="104" t="e">
        <f t="shared" si="118"/>
        <v>#REF!</v>
      </c>
      <c r="AH474" s="103" t="e">
        <f t="shared" si="119"/>
        <v>#REF!</v>
      </c>
      <c r="AI474" s="103" t="e">
        <f t="shared" si="120"/>
        <v>#REF!</v>
      </c>
      <c r="AJ474" s="104" t="e">
        <f t="shared" si="121"/>
        <v>#REF!</v>
      </c>
      <c r="AK474" s="104" t="e">
        <f t="shared" si="121"/>
        <v>#REF!</v>
      </c>
    </row>
    <row r="475" spans="19:37">
      <c r="S475" s="103">
        <f t="shared" si="110"/>
        <v>0</v>
      </c>
      <c r="T475" s="103">
        <f t="shared" si="111"/>
        <v>0</v>
      </c>
      <c r="U475" s="104">
        <f t="shared" si="112"/>
        <v>0</v>
      </c>
      <c r="V475" s="104">
        <f t="shared" si="112"/>
        <v>0</v>
      </c>
      <c r="X475" s="103" t="e">
        <f t="shared" si="113"/>
        <v>#REF!</v>
      </c>
      <c r="Y475" s="103" t="e">
        <f t="shared" si="114"/>
        <v>#REF!</v>
      </c>
      <c r="Z475" s="104" t="e">
        <f t="shared" si="115"/>
        <v>#REF!</v>
      </c>
      <c r="AA475" s="104" t="e">
        <f t="shared" si="115"/>
        <v>#REF!</v>
      </c>
      <c r="AC475" s="103" t="e">
        <f t="shared" si="116"/>
        <v>#REF!</v>
      </c>
      <c r="AD475" s="103" t="e">
        <f t="shared" si="117"/>
        <v>#REF!</v>
      </c>
      <c r="AE475" s="104" t="e">
        <f t="shared" si="118"/>
        <v>#REF!</v>
      </c>
      <c r="AF475" s="104" t="e">
        <f t="shared" si="118"/>
        <v>#REF!</v>
      </c>
      <c r="AH475" s="103" t="e">
        <f t="shared" si="119"/>
        <v>#REF!</v>
      </c>
      <c r="AI475" s="103" t="e">
        <f t="shared" si="120"/>
        <v>#REF!</v>
      </c>
      <c r="AJ475" s="104" t="e">
        <f t="shared" si="121"/>
        <v>#REF!</v>
      </c>
      <c r="AK475" s="104" t="e">
        <f t="shared" si="121"/>
        <v>#REF!</v>
      </c>
    </row>
    <row r="476" spans="19:37">
      <c r="S476" s="103">
        <f t="shared" si="110"/>
        <v>0</v>
      </c>
      <c r="T476" s="103">
        <f t="shared" si="111"/>
        <v>0</v>
      </c>
      <c r="U476" s="104">
        <f t="shared" si="112"/>
        <v>0</v>
      </c>
      <c r="V476" s="104">
        <f t="shared" si="112"/>
        <v>0</v>
      </c>
      <c r="X476" s="103" t="e">
        <f t="shared" si="113"/>
        <v>#REF!</v>
      </c>
      <c r="Y476" s="103" t="e">
        <f t="shared" si="114"/>
        <v>#REF!</v>
      </c>
      <c r="Z476" s="104" t="e">
        <f t="shared" si="115"/>
        <v>#REF!</v>
      </c>
      <c r="AA476" s="104" t="e">
        <f t="shared" si="115"/>
        <v>#REF!</v>
      </c>
      <c r="AC476" s="103" t="e">
        <f t="shared" si="116"/>
        <v>#REF!</v>
      </c>
      <c r="AD476" s="103" t="e">
        <f t="shared" si="117"/>
        <v>#REF!</v>
      </c>
      <c r="AE476" s="104" t="e">
        <f t="shared" si="118"/>
        <v>#REF!</v>
      </c>
      <c r="AF476" s="104" t="e">
        <f t="shared" si="118"/>
        <v>#REF!</v>
      </c>
      <c r="AH476" s="103" t="e">
        <f t="shared" si="119"/>
        <v>#REF!</v>
      </c>
      <c r="AI476" s="103" t="e">
        <f t="shared" si="120"/>
        <v>#REF!</v>
      </c>
      <c r="AJ476" s="104" t="e">
        <f t="shared" si="121"/>
        <v>#REF!</v>
      </c>
      <c r="AK476" s="104" t="e">
        <f t="shared" si="121"/>
        <v>#REF!</v>
      </c>
    </row>
    <row r="477" spans="19:37">
      <c r="S477" s="103">
        <f t="shared" si="110"/>
        <v>0</v>
      </c>
      <c r="T477" s="103">
        <f t="shared" si="111"/>
        <v>0</v>
      </c>
      <c r="U477" s="104">
        <f t="shared" si="112"/>
        <v>0</v>
      </c>
      <c r="V477" s="104">
        <f t="shared" si="112"/>
        <v>0</v>
      </c>
      <c r="X477" s="103" t="e">
        <f t="shared" si="113"/>
        <v>#REF!</v>
      </c>
      <c r="Y477" s="103" t="e">
        <f t="shared" si="114"/>
        <v>#REF!</v>
      </c>
      <c r="Z477" s="104" t="e">
        <f t="shared" si="115"/>
        <v>#REF!</v>
      </c>
      <c r="AA477" s="104" t="e">
        <f t="shared" si="115"/>
        <v>#REF!</v>
      </c>
      <c r="AC477" s="103" t="e">
        <f t="shared" si="116"/>
        <v>#REF!</v>
      </c>
      <c r="AD477" s="103" t="e">
        <f t="shared" si="117"/>
        <v>#REF!</v>
      </c>
      <c r="AE477" s="104" t="e">
        <f t="shared" si="118"/>
        <v>#REF!</v>
      </c>
      <c r="AF477" s="104" t="e">
        <f t="shared" si="118"/>
        <v>#REF!</v>
      </c>
      <c r="AH477" s="103" t="e">
        <f t="shared" si="119"/>
        <v>#REF!</v>
      </c>
      <c r="AI477" s="103" t="e">
        <f t="shared" si="120"/>
        <v>#REF!</v>
      </c>
      <c r="AJ477" s="104" t="e">
        <f t="shared" si="121"/>
        <v>#REF!</v>
      </c>
      <c r="AK477" s="104" t="e">
        <f t="shared" si="121"/>
        <v>#REF!</v>
      </c>
    </row>
    <row r="478" spans="19:37">
      <c r="S478" s="103">
        <f t="shared" si="110"/>
        <v>0</v>
      </c>
      <c r="T478" s="103">
        <f t="shared" si="111"/>
        <v>0</v>
      </c>
      <c r="U478" s="104">
        <f t="shared" si="112"/>
        <v>0</v>
      </c>
      <c r="V478" s="104">
        <f t="shared" si="112"/>
        <v>0</v>
      </c>
      <c r="X478" s="103" t="e">
        <f t="shared" si="113"/>
        <v>#REF!</v>
      </c>
      <c r="Y478" s="103" t="e">
        <f t="shared" si="114"/>
        <v>#REF!</v>
      </c>
      <c r="Z478" s="104" t="e">
        <f t="shared" si="115"/>
        <v>#REF!</v>
      </c>
      <c r="AA478" s="104" t="e">
        <f t="shared" si="115"/>
        <v>#REF!</v>
      </c>
      <c r="AC478" s="103" t="e">
        <f t="shared" si="116"/>
        <v>#REF!</v>
      </c>
      <c r="AD478" s="103" t="e">
        <f t="shared" si="117"/>
        <v>#REF!</v>
      </c>
      <c r="AE478" s="104" t="e">
        <f t="shared" si="118"/>
        <v>#REF!</v>
      </c>
      <c r="AF478" s="104" t="e">
        <f t="shared" si="118"/>
        <v>#REF!</v>
      </c>
      <c r="AH478" s="103" t="e">
        <f t="shared" si="119"/>
        <v>#REF!</v>
      </c>
      <c r="AI478" s="103" t="e">
        <f t="shared" si="120"/>
        <v>#REF!</v>
      </c>
      <c r="AJ478" s="104" t="e">
        <f t="shared" si="121"/>
        <v>#REF!</v>
      </c>
      <c r="AK478" s="104" t="e">
        <f t="shared" si="121"/>
        <v>#REF!</v>
      </c>
    </row>
    <row r="479" spans="19:37">
      <c r="S479" s="103">
        <f t="shared" si="110"/>
        <v>0</v>
      </c>
      <c r="T479" s="103">
        <f t="shared" si="111"/>
        <v>0</v>
      </c>
      <c r="U479" s="104">
        <f t="shared" si="112"/>
        <v>0</v>
      </c>
      <c r="V479" s="104">
        <f t="shared" si="112"/>
        <v>0</v>
      </c>
      <c r="X479" s="103" t="e">
        <f t="shared" si="113"/>
        <v>#REF!</v>
      </c>
      <c r="Y479" s="103" t="e">
        <f t="shared" si="114"/>
        <v>#REF!</v>
      </c>
      <c r="Z479" s="104" t="e">
        <f t="shared" si="115"/>
        <v>#REF!</v>
      </c>
      <c r="AA479" s="104" t="e">
        <f t="shared" si="115"/>
        <v>#REF!</v>
      </c>
      <c r="AC479" s="103" t="e">
        <f t="shared" si="116"/>
        <v>#REF!</v>
      </c>
      <c r="AD479" s="103" t="e">
        <f t="shared" si="117"/>
        <v>#REF!</v>
      </c>
      <c r="AE479" s="104" t="e">
        <f t="shared" si="118"/>
        <v>#REF!</v>
      </c>
      <c r="AF479" s="104" t="e">
        <f t="shared" si="118"/>
        <v>#REF!</v>
      </c>
      <c r="AH479" s="103" t="e">
        <f t="shared" si="119"/>
        <v>#REF!</v>
      </c>
      <c r="AI479" s="103" t="e">
        <f t="shared" si="120"/>
        <v>#REF!</v>
      </c>
      <c r="AJ479" s="104" t="e">
        <f t="shared" si="121"/>
        <v>#REF!</v>
      </c>
      <c r="AK479" s="104" t="e">
        <f t="shared" si="121"/>
        <v>#REF!</v>
      </c>
    </row>
    <row r="480" spans="19:37">
      <c r="S480" s="103">
        <f t="shared" si="110"/>
        <v>0</v>
      </c>
      <c r="T480" s="103">
        <f t="shared" si="111"/>
        <v>0</v>
      </c>
      <c r="U480" s="104">
        <f t="shared" si="112"/>
        <v>0</v>
      </c>
      <c r="V480" s="104">
        <f t="shared" si="112"/>
        <v>0</v>
      </c>
      <c r="X480" s="103" t="e">
        <f t="shared" si="113"/>
        <v>#REF!</v>
      </c>
      <c r="Y480" s="103" t="e">
        <f t="shared" si="114"/>
        <v>#REF!</v>
      </c>
      <c r="Z480" s="104" t="e">
        <f t="shared" si="115"/>
        <v>#REF!</v>
      </c>
      <c r="AA480" s="104" t="e">
        <f t="shared" si="115"/>
        <v>#REF!</v>
      </c>
      <c r="AC480" s="103" t="e">
        <f t="shared" si="116"/>
        <v>#REF!</v>
      </c>
      <c r="AD480" s="103" t="e">
        <f t="shared" si="117"/>
        <v>#REF!</v>
      </c>
      <c r="AE480" s="104" t="e">
        <f t="shared" si="118"/>
        <v>#REF!</v>
      </c>
      <c r="AF480" s="104" t="e">
        <f t="shared" si="118"/>
        <v>#REF!</v>
      </c>
      <c r="AH480" s="103" t="e">
        <f t="shared" si="119"/>
        <v>#REF!</v>
      </c>
      <c r="AI480" s="103" t="e">
        <f t="shared" si="120"/>
        <v>#REF!</v>
      </c>
      <c r="AJ480" s="104" t="e">
        <f t="shared" si="121"/>
        <v>#REF!</v>
      </c>
      <c r="AK480" s="104" t="e">
        <f t="shared" si="121"/>
        <v>#REF!</v>
      </c>
    </row>
    <row r="481" spans="19:37">
      <c r="S481" s="103">
        <f t="shared" si="110"/>
        <v>0</v>
      </c>
      <c r="T481" s="103">
        <f t="shared" si="111"/>
        <v>0</v>
      </c>
      <c r="U481" s="104">
        <f t="shared" si="112"/>
        <v>0</v>
      </c>
      <c r="V481" s="104">
        <f t="shared" si="112"/>
        <v>0</v>
      </c>
      <c r="X481" s="103" t="e">
        <f t="shared" si="113"/>
        <v>#REF!</v>
      </c>
      <c r="Y481" s="103" t="e">
        <f t="shared" si="114"/>
        <v>#REF!</v>
      </c>
      <c r="Z481" s="104" t="e">
        <f t="shared" si="115"/>
        <v>#REF!</v>
      </c>
      <c r="AA481" s="104" t="e">
        <f t="shared" si="115"/>
        <v>#REF!</v>
      </c>
      <c r="AC481" s="103" t="e">
        <f t="shared" si="116"/>
        <v>#REF!</v>
      </c>
      <c r="AD481" s="103" t="e">
        <f t="shared" si="117"/>
        <v>#REF!</v>
      </c>
      <c r="AE481" s="104" t="e">
        <f t="shared" si="118"/>
        <v>#REF!</v>
      </c>
      <c r="AF481" s="104" t="e">
        <f t="shared" si="118"/>
        <v>#REF!</v>
      </c>
      <c r="AH481" s="103" t="e">
        <f t="shared" si="119"/>
        <v>#REF!</v>
      </c>
      <c r="AI481" s="103" t="e">
        <f t="shared" si="120"/>
        <v>#REF!</v>
      </c>
      <c r="AJ481" s="104" t="e">
        <f t="shared" si="121"/>
        <v>#REF!</v>
      </c>
      <c r="AK481" s="104" t="e">
        <f t="shared" si="121"/>
        <v>#REF!</v>
      </c>
    </row>
    <row r="482" spans="19:37">
      <c r="S482" s="103">
        <f t="shared" si="110"/>
        <v>0</v>
      </c>
      <c r="T482" s="103">
        <f t="shared" si="111"/>
        <v>0</v>
      </c>
      <c r="U482" s="104">
        <f t="shared" si="112"/>
        <v>0</v>
      </c>
      <c r="V482" s="104">
        <f t="shared" si="112"/>
        <v>0</v>
      </c>
      <c r="X482" s="103" t="e">
        <f t="shared" si="113"/>
        <v>#REF!</v>
      </c>
      <c r="Y482" s="103" t="e">
        <f t="shared" si="114"/>
        <v>#REF!</v>
      </c>
      <c r="Z482" s="104" t="e">
        <f t="shared" si="115"/>
        <v>#REF!</v>
      </c>
      <c r="AA482" s="104" t="e">
        <f t="shared" si="115"/>
        <v>#REF!</v>
      </c>
      <c r="AC482" s="103" t="e">
        <f t="shared" si="116"/>
        <v>#REF!</v>
      </c>
      <c r="AD482" s="103" t="e">
        <f t="shared" si="117"/>
        <v>#REF!</v>
      </c>
      <c r="AE482" s="104" t="e">
        <f t="shared" si="118"/>
        <v>#REF!</v>
      </c>
      <c r="AF482" s="104" t="e">
        <f t="shared" si="118"/>
        <v>#REF!</v>
      </c>
      <c r="AH482" s="103" t="e">
        <f t="shared" si="119"/>
        <v>#REF!</v>
      </c>
      <c r="AI482" s="103" t="e">
        <f t="shared" si="120"/>
        <v>#REF!</v>
      </c>
      <c r="AJ482" s="104" t="e">
        <f t="shared" si="121"/>
        <v>#REF!</v>
      </c>
      <c r="AK482" s="104" t="e">
        <f t="shared" si="121"/>
        <v>#REF!</v>
      </c>
    </row>
    <row r="483" spans="19:37">
      <c r="S483" s="103">
        <f t="shared" si="110"/>
        <v>0</v>
      </c>
      <c r="T483" s="103">
        <f t="shared" si="111"/>
        <v>0</v>
      </c>
      <c r="U483" s="104">
        <f t="shared" si="112"/>
        <v>0</v>
      </c>
      <c r="V483" s="104">
        <f t="shared" si="112"/>
        <v>0</v>
      </c>
      <c r="X483" s="103" t="e">
        <f t="shared" si="113"/>
        <v>#REF!</v>
      </c>
      <c r="Y483" s="103" t="e">
        <f t="shared" si="114"/>
        <v>#REF!</v>
      </c>
      <c r="Z483" s="104" t="e">
        <f t="shared" si="115"/>
        <v>#REF!</v>
      </c>
      <c r="AA483" s="104" t="e">
        <f t="shared" si="115"/>
        <v>#REF!</v>
      </c>
      <c r="AC483" s="103" t="e">
        <f t="shared" si="116"/>
        <v>#REF!</v>
      </c>
      <c r="AD483" s="103" t="e">
        <f t="shared" si="117"/>
        <v>#REF!</v>
      </c>
      <c r="AE483" s="104" t="e">
        <f t="shared" si="118"/>
        <v>#REF!</v>
      </c>
      <c r="AF483" s="104" t="e">
        <f t="shared" si="118"/>
        <v>#REF!</v>
      </c>
      <c r="AH483" s="103" t="e">
        <f t="shared" si="119"/>
        <v>#REF!</v>
      </c>
      <c r="AI483" s="103" t="e">
        <f t="shared" si="120"/>
        <v>#REF!</v>
      </c>
      <c r="AJ483" s="104" t="e">
        <f t="shared" si="121"/>
        <v>#REF!</v>
      </c>
      <c r="AK483" s="104" t="e">
        <f t="shared" si="121"/>
        <v>#REF!</v>
      </c>
    </row>
    <row r="484" spans="19:37">
      <c r="S484" s="103">
        <f t="shared" si="110"/>
        <v>0</v>
      </c>
      <c r="T484" s="103">
        <f t="shared" si="111"/>
        <v>0</v>
      </c>
      <c r="U484" s="104">
        <f t="shared" si="112"/>
        <v>0</v>
      </c>
      <c r="V484" s="104">
        <f t="shared" si="112"/>
        <v>0</v>
      </c>
      <c r="X484" s="103" t="e">
        <f t="shared" si="113"/>
        <v>#REF!</v>
      </c>
      <c r="Y484" s="103" t="e">
        <f t="shared" si="114"/>
        <v>#REF!</v>
      </c>
      <c r="Z484" s="104" t="e">
        <f t="shared" si="115"/>
        <v>#REF!</v>
      </c>
      <c r="AA484" s="104" t="e">
        <f t="shared" si="115"/>
        <v>#REF!</v>
      </c>
      <c r="AC484" s="103" t="e">
        <f t="shared" si="116"/>
        <v>#REF!</v>
      </c>
      <c r="AD484" s="103" t="e">
        <f t="shared" si="117"/>
        <v>#REF!</v>
      </c>
      <c r="AE484" s="104" t="e">
        <f t="shared" si="118"/>
        <v>#REF!</v>
      </c>
      <c r="AF484" s="104" t="e">
        <f t="shared" si="118"/>
        <v>#REF!</v>
      </c>
      <c r="AH484" s="103" t="e">
        <f t="shared" si="119"/>
        <v>#REF!</v>
      </c>
      <c r="AI484" s="103" t="e">
        <f t="shared" si="120"/>
        <v>#REF!</v>
      </c>
      <c r="AJ484" s="104" t="e">
        <f t="shared" si="121"/>
        <v>#REF!</v>
      </c>
      <c r="AK484" s="104" t="e">
        <f t="shared" si="121"/>
        <v>#REF!</v>
      </c>
    </row>
    <row r="485" spans="19:37">
      <c r="S485" s="103">
        <f t="shared" si="110"/>
        <v>0</v>
      </c>
      <c r="T485" s="103">
        <f t="shared" si="111"/>
        <v>0</v>
      </c>
      <c r="U485" s="104">
        <f t="shared" si="112"/>
        <v>0</v>
      </c>
      <c r="V485" s="104">
        <f t="shared" si="112"/>
        <v>0</v>
      </c>
      <c r="X485" s="103" t="e">
        <f t="shared" si="113"/>
        <v>#REF!</v>
      </c>
      <c r="Y485" s="103" t="e">
        <f t="shared" si="114"/>
        <v>#REF!</v>
      </c>
      <c r="Z485" s="104" t="e">
        <f t="shared" si="115"/>
        <v>#REF!</v>
      </c>
      <c r="AA485" s="104" t="e">
        <f t="shared" si="115"/>
        <v>#REF!</v>
      </c>
      <c r="AC485" s="103" t="e">
        <f t="shared" si="116"/>
        <v>#REF!</v>
      </c>
      <c r="AD485" s="103" t="e">
        <f t="shared" si="117"/>
        <v>#REF!</v>
      </c>
      <c r="AE485" s="104" t="e">
        <f t="shared" si="118"/>
        <v>#REF!</v>
      </c>
      <c r="AF485" s="104" t="e">
        <f t="shared" si="118"/>
        <v>#REF!</v>
      </c>
      <c r="AH485" s="103" t="e">
        <f t="shared" si="119"/>
        <v>#REF!</v>
      </c>
      <c r="AI485" s="103" t="e">
        <f t="shared" si="120"/>
        <v>#REF!</v>
      </c>
      <c r="AJ485" s="104" t="e">
        <f t="shared" si="121"/>
        <v>#REF!</v>
      </c>
      <c r="AK485" s="104" t="e">
        <f t="shared" si="121"/>
        <v>#REF!</v>
      </c>
    </row>
    <row r="486" spans="19:37">
      <c r="S486" s="103">
        <f t="shared" si="110"/>
        <v>0</v>
      </c>
      <c r="T486" s="103">
        <f t="shared" si="111"/>
        <v>0</v>
      </c>
      <c r="U486" s="104">
        <f t="shared" si="112"/>
        <v>0</v>
      </c>
      <c r="V486" s="104">
        <f t="shared" si="112"/>
        <v>0</v>
      </c>
      <c r="X486" s="103" t="e">
        <f t="shared" si="113"/>
        <v>#REF!</v>
      </c>
      <c r="Y486" s="103" t="e">
        <f t="shared" si="114"/>
        <v>#REF!</v>
      </c>
      <c r="Z486" s="104" t="e">
        <f t="shared" si="115"/>
        <v>#REF!</v>
      </c>
      <c r="AA486" s="104" t="e">
        <f t="shared" si="115"/>
        <v>#REF!</v>
      </c>
      <c r="AC486" s="103" t="e">
        <f t="shared" si="116"/>
        <v>#REF!</v>
      </c>
      <c r="AD486" s="103" t="e">
        <f t="shared" si="117"/>
        <v>#REF!</v>
      </c>
      <c r="AE486" s="104" t="e">
        <f t="shared" si="118"/>
        <v>#REF!</v>
      </c>
      <c r="AF486" s="104" t="e">
        <f t="shared" si="118"/>
        <v>#REF!</v>
      </c>
      <c r="AH486" s="103" t="e">
        <f t="shared" si="119"/>
        <v>#REF!</v>
      </c>
      <c r="AI486" s="103" t="e">
        <f t="shared" si="120"/>
        <v>#REF!</v>
      </c>
      <c r="AJ486" s="104" t="e">
        <f t="shared" si="121"/>
        <v>#REF!</v>
      </c>
      <c r="AK486" s="104" t="e">
        <f t="shared" si="121"/>
        <v>#REF!</v>
      </c>
    </row>
    <row r="487" spans="19:37">
      <c r="S487" s="103">
        <f t="shared" si="110"/>
        <v>0</v>
      </c>
      <c r="T487" s="103">
        <f t="shared" si="111"/>
        <v>0</v>
      </c>
      <c r="U487" s="104">
        <f t="shared" si="112"/>
        <v>0</v>
      </c>
      <c r="V487" s="104">
        <f t="shared" si="112"/>
        <v>0</v>
      </c>
      <c r="X487" s="103" t="e">
        <f t="shared" si="113"/>
        <v>#REF!</v>
      </c>
      <c r="Y487" s="103" t="e">
        <f t="shared" si="114"/>
        <v>#REF!</v>
      </c>
      <c r="Z487" s="104" t="e">
        <f t="shared" si="115"/>
        <v>#REF!</v>
      </c>
      <c r="AA487" s="104" t="e">
        <f t="shared" si="115"/>
        <v>#REF!</v>
      </c>
      <c r="AC487" s="103" t="e">
        <f t="shared" si="116"/>
        <v>#REF!</v>
      </c>
      <c r="AD487" s="103" t="e">
        <f t="shared" si="117"/>
        <v>#REF!</v>
      </c>
      <c r="AE487" s="104" t="e">
        <f t="shared" si="118"/>
        <v>#REF!</v>
      </c>
      <c r="AF487" s="104" t="e">
        <f t="shared" si="118"/>
        <v>#REF!</v>
      </c>
      <c r="AH487" s="103" t="e">
        <f t="shared" si="119"/>
        <v>#REF!</v>
      </c>
      <c r="AI487" s="103" t="e">
        <f t="shared" si="120"/>
        <v>#REF!</v>
      </c>
      <c r="AJ487" s="104" t="e">
        <f t="shared" si="121"/>
        <v>#REF!</v>
      </c>
      <c r="AK487" s="104" t="e">
        <f t="shared" si="121"/>
        <v>#REF!</v>
      </c>
    </row>
    <row r="488" spans="19:37">
      <c r="S488" s="103">
        <f t="shared" si="110"/>
        <v>0</v>
      </c>
      <c r="T488" s="103">
        <f t="shared" si="111"/>
        <v>0</v>
      </c>
      <c r="U488" s="104">
        <f t="shared" si="112"/>
        <v>0</v>
      </c>
      <c r="V488" s="104">
        <f t="shared" si="112"/>
        <v>0</v>
      </c>
      <c r="X488" s="103" t="e">
        <f t="shared" si="113"/>
        <v>#REF!</v>
      </c>
      <c r="Y488" s="103" t="e">
        <f t="shared" si="114"/>
        <v>#REF!</v>
      </c>
      <c r="Z488" s="104" t="e">
        <f t="shared" si="115"/>
        <v>#REF!</v>
      </c>
      <c r="AA488" s="104" t="e">
        <f t="shared" si="115"/>
        <v>#REF!</v>
      </c>
      <c r="AC488" s="103" t="e">
        <f t="shared" si="116"/>
        <v>#REF!</v>
      </c>
      <c r="AD488" s="103" t="e">
        <f t="shared" si="117"/>
        <v>#REF!</v>
      </c>
      <c r="AE488" s="104" t="e">
        <f t="shared" si="118"/>
        <v>#REF!</v>
      </c>
      <c r="AF488" s="104" t="e">
        <f t="shared" si="118"/>
        <v>#REF!</v>
      </c>
      <c r="AH488" s="103" t="e">
        <f t="shared" si="119"/>
        <v>#REF!</v>
      </c>
      <c r="AI488" s="103" t="e">
        <f t="shared" si="120"/>
        <v>#REF!</v>
      </c>
      <c r="AJ488" s="104" t="e">
        <f t="shared" si="121"/>
        <v>#REF!</v>
      </c>
      <c r="AK488" s="104" t="e">
        <f t="shared" si="121"/>
        <v>#REF!</v>
      </c>
    </row>
    <row r="489" spans="19:37">
      <c r="S489" s="103">
        <f t="shared" si="110"/>
        <v>0</v>
      </c>
      <c r="T489" s="103">
        <f t="shared" si="111"/>
        <v>0</v>
      </c>
      <c r="U489" s="104">
        <f t="shared" si="112"/>
        <v>0</v>
      </c>
      <c r="V489" s="104">
        <f t="shared" si="112"/>
        <v>0</v>
      </c>
      <c r="X489" s="103" t="e">
        <f t="shared" si="113"/>
        <v>#REF!</v>
      </c>
      <c r="Y489" s="103" t="e">
        <f t="shared" si="114"/>
        <v>#REF!</v>
      </c>
      <c r="Z489" s="104" t="e">
        <f t="shared" si="115"/>
        <v>#REF!</v>
      </c>
      <c r="AA489" s="104" t="e">
        <f t="shared" si="115"/>
        <v>#REF!</v>
      </c>
      <c r="AC489" s="103" t="e">
        <f t="shared" si="116"/>
        <v>#REF!</v>
      </c>
      <c r="AD489" s="103" t="e">
        <f t="shared" si="117"/>
        <v>#REF!</v>
      </c>
      <c r="AE489" s="104" t="e">
        <f t="shared" si="118"/>
        <v>#REF!</v>
      </c>
      <c r="AF489" s="104" t="e">
        <f t="shared" si="118"/>
        <v>#REF!</v>
      </c>
      <c r="AH489" s="103" t="e">
        <f t="shared" si="119"/>
        <v>#REF!</v>
      </c>
      <c r="AI489" s="103" t="e">
        <f t="shared" si="120"/>
        <v>#REF!</v>
      </c>
      <c r="AJ489" s="104" t="e">
        <f t="shared" si="121"/>
        <v>#REF!</v>
      </c>
      <c r="AK489" s="104" t="e">
        <f t="shared" si="121"/>
        <v>#REF!</v>
      </c>
    </row>
    <row r="490" spans="19:37">
      <c r="S490" s="103">
        <f t="shared" si="110"/>
        <v>0</v>
      </c>
      <c r="T490" s="103">
        <f t="shared" si="111"/>
        <v>0</v>
      </c>
      <c r="U490" s="104">
        <f t="shared" si="112"/>
        <v>0</v>
      </c>
      <c r="V490" s="104">
        <f t="shared" si="112"/>
        <v>0</v>
      </c>
      <c r="X490" s="103" t="e">
        <f t="shared" si="113"/>
        <v>#REF!</v>
      </c>
      <c r="Y490" s="103" t="e">
        <f t="shared" si="114"/>
        <v>#REF!</v>
      </c>
      <c r="Z490" s="104" t="e">
        <f t="shared" si="115"/>
        <v>#REF!</v>
      </c>
      <c r="AA490" s="104" t="e">
        <f t="shared" si="115"/>
        <v>#REF!</v>
      </c>
      <c r="AC490" s="103" t="e">
        <f t="shared" si="116"/>
        <v>#REF!</v>
      </c>
      <c r="AD490" s="103" t="e">
        <f t="shared" si="117"/>
        <v>#REF!</v>
      </c>
      <c r="AE490" s="104" t="e">
        <f t="shared" si="118"/>
        <v>#REF!</v>
      </c>
      <c r="AF490" s="104" t="e">
        <f t="shared" si="118"/>
        <v>#REF!</v>
      </c>
      <c r="AH490" s="103" t="e">
        <f t="shared" si="119"/>
        <v>#REF!</v>
      </c>
      <c r="AI490" s="103" t="e">
        <f t="shared" si="120"/>
        <v>#REF!</v>
      </c>
      <c r="AJ490" s="104" t="e">
        <f t="shared" si="121"/>
        <v>#REF!</v>
      </c>
      <c r="AK490" s="104" t="e">
        <f t="shared" si="121"/>
        <v>#REF!</v>
      </c>
    </row>
    <row r="491" spans="19:37">
      <c r="S491" s="103">
        <f t="shared" si="110"/>
        <v>0</v>
      </c>
      <c r="T491" s="103">
        <f t="shared" si="111"/>
        <v>0</v>
      </c>
      <c r="U491" s="104">
        <f t="shared" si="112"/>
        <v>0</v>
      </c>
      <c r="V491" s="104">
        <f t="shared" si="112"/>
        <v>0</v>
      </c>
      <c r="X491" s="103" t="e">
        <f t="shared" si="113"/>
        <v>#REF!</v>
      </c>
      <c r="Y491" s="103" t="e">
        <f t="shared" si="114"/>
        <v>#REF!</v>
      </c>
      <c r="Z491" s="104" t="e">
        <f t="shared" si="115"/>
        <v>#REF!</v>
      </c>
      <c r="AA491" s="104" t="e">
        <f t="shared" si="115"/>
        <v>#REF!</v>
      </c>
      <c r="AC491" s="103" t="e">
        <f t="shared" si="116"/>
        <v>#REF!</v>
      </c>
      <c r="AD491" s="103" t="e">
        <f t="shared" si="117"/>
        <v>#REF!</v>
      </c>
      <c r="AE491" s="104" t="e">
        <f t="shared" si="118"/>
        <v>#REF!</v>
      </c>
      <c r="AF491" s="104" t="e">
        <f t="shared" si="118"/>
        <v>#REF!</v>
      </c>
      <c r="AH491" s="103" t="e">
        <f t="shared" si="119"/>
        <v>#REF!</v>
      </c>
      <c r="AI491" s="103" t="e">
        <f t="shared" si="120"/>
        <v>#REF!</v>
      </c>
      <c r="AJ491" s="104" t="e">
        <f t="shared" si="121"/>
        <v>#REF!</v>
      </c>
      <c r="AK491" s="104" t="e">
        <f t="shared" si="121"/>
        <v>#REF!</v>
      </c>
    </row>
    <row r="492" spans="19:37">
      <c r="S492" s="103">
        <f t="shared" si="110"/>
        <v>0</v>
      </c>
      <c r="T492" s="103">
        <f t="shared" si="111"/>
        <v>0</v>
      </c>
      <c r="U492" s="104">
        <f t="shared" si="112"/>
        <v>0</v>
      </c>
      <c r="V492" s="104">
        <f t="shared" si="112"/>
        <v>0</v>
      </c>
      <c r="X492" s="103" t="e">
        <f t="shared" si="113"/>
        <v>#REF!</v>
      </c>
      <c r="Y492" s="103" t="e">
        <f t="shared" si="114"/>
        <v>#REF!</v>
      </c>
      <c r="Z492" s="104" t="e">
        <f t="shared" si="115"/>
        <v>#REF!</v>
      </c>
      <c r="AA492" s="104" t="e">
        <f t="shared" si="115"/>
        <v>#REF!</v>
      </c>
      <c r="AC492" s="103" t="e">
        <f t="shared" si="116"/>
        <v>#REF!</v>
      </c>
      <c r="AD492" s="103" t="e">
        <f t="shared" si="117"/>
        <v>#REF!</v>
      </c>
      <c r="AE492" s="104" t="e">
        <f t="shared" si="118"/>
        <v>#REF!</v>
      </c>
      <c r="AF492" s="104" t="e">
        <f t="shared" si="118"/>
        <v>#REF!</v>
      </c>
      <c r="AH492" s="103" t="e">
        <f t="shared" si="119"/>
        <v>#REF!</v>
      </c>
      <c r="AI492" s="103" t="e">
        <f t="shared" si="120"/>
        <v>#REF!</v>
      </c>
      <c r="AJ492" s="104" t="e">
        <f t="shared" si="121"/>
        <v>#REF!</v>
      </c>
      <c r="AK492" s="104" t="e">
        <f t="shared" si="121"/>
        <v>#REF!</v>
      </c>
    </row>
    <row r="493" spans="19:37">
      <c r="S493" s="103">
        <f t="shared" si="110"/>
        <v>0</v>
      </c>
      <c r="T493" s="103">
        <f t="shared" si="111"/>
        <v>0</v>
      </c>
      <c r="U493" s="104">
        <f t="shared" si="112"/>
        <v>0</v>
      </c>
      <c r="V493" s="104">
        <f t="shared" si="112"/>
        <v>0</v>
      </c>
      <c r="X493" s="103" t="e">
        <f t="shared" si="113"/>
        <v>#REF!</v>
      </c>
      <c r="Y493" s="103" t="e">
        <f t="shared" si="114"/>
        <v>#REF!</v>
      </c>
      <c r="Z493" s="104" t="e">
        <f t="shared" si="115"/>
        <v>#REF!</v>
      </c>
      <c r="AA493" s="104" t="e">
        <f t="shared" si="115"/>
        <v>#REF!</v>
      </c>
      <c r="AC493" s="103" t="e">
        <f t="shared" si="116"/>
        <v>#REF!</v>
      </c>
      <c r="AD493" s="103" t="e">
        <f t="shared" si="117"/>
        <v>#REF!</v>
      </c>
      <c r="AE493" s="104" t="e">
        <f t="shared" si="118"/>
        <v>#REF!</v>
      </c>
      <c r="AF493" s="104" t="e">
        <f t="shared" si="118"/>
        <v>#REF!</v>
      </c>
      <c r="AH493" s="103" t="e">
        <f t="shared" si="119"/>
        <v>#REF!</v>
      </c>
      <c r="AI493" s="103" t="e">
        <f t="shared" si="120"/>
        <v>#REF!</v>
      </c>
      <c r="AJ493" s="104" t="e">
        <f t="shared" si="121"/>
        <v>#REF!</v>
      </c>
      <c r="AK493" s="104" t="e">
        <f t="shared" si="121"/>
        <v>#REF!</v>
      </c>
    </row>
    <row r="494" spans="19:37">
      <c r="S494" s="103">
        <f t="shared" si="110"/>
        <v>0</v>
      </c>
      <c r="T494" s="103">
        <f t="shared" si="111"/>
        <v>0</v>
      </c>
      <c r="U494" s="104">
        <f t="shared" si="112"/>
        <v>0</v>
      </c>
      <c r="V494" s="104">
        <f t="shared" si="112"/>
        <v>0</v>
      </c>
      <c r="X494" s="103" t="e">
        <f t="shared" si="113"/>
        <v>#REF!</v>
      </c>
      <c r="Y494" s="103" t="e">
        <f t="shared" si="114"/>
        <v>#REF!</v>
      </c>
      <c r="Z494" s="104" t="e">
        <f t="shared" si="115"/>
        <v>#REF!</v>
      </c>
      <c r="AA494" s="104" t="e">
        <f t="shared" si="115"/>
        <v>#REF!</v>
      </c>
      <c r="AC494" s="103" t="e">
        <f t="shared" si="116"/>
        <v>#REF!</v>
      </c>
      <c r="AD494" s="103" t="e">
        <f t="shared" si="117"/>
        <v>#REF!</v>
      </c>
      <c r="AE494" s="104" t="e">
        <f t="shared" si="118"/>
        <v>#REF!</v>
      </c>
      <c r="AF494" s="104" t="e">
        <f t="shared" si="118"/>
        <v>#REF!</v>
      </c>
      <c r="AH494" s="103" t="e">
        <f t="shared" si="119"/>
        <v>#REF!</v>
      </c>
      <c r="AI494" s="103" t="e">
        <f t="shared" si="120"/>
        <v>#REF!</v>
      </c>
      <c r="AJ494" s="104" t="e">
        <f t="shared" si="121"/>
        <v>#REF!</v>
      </c>
      <c r="AK494" s="104" t="e">
        <f t="shared" si="121"/>
        <v>#REF!</v>
      </c>
    </row>
    <row r="495" spans="19:37">
      <c r="S495" s="103">
        <f t="shared" si="110"/>
        <v>0</v>
      </c>
      <c r="T495" s="103">
        <f t="shared" si="111"/>
        <v>0</v>
      </c>
      <c r="U495" s="104">
        <f t="shared" si="112"/>
        <v>0</v>
      </c>
      <c r="V495" s="104">
        <f t="shared" si="112"/>
        <v>0</v>
      </c>
      <c r="X495" s="103" t="e">
        <f t="shared" si="113"/>
        <v>#REF!</v>
      </c>
      <c r="Y495" s="103" t="e">
        <f t="shared" si="114"/>
        <v>#REF!</v>
      </c>
      <c r="Z495" s="104" t="e">
        <f t="shared" si="115"/>
        <v>#REF!</v>
      </c>
      <c r="AA495" s="104" t="e">
        <f t="shared" si="115"/>
        <v>#REF!</v>
      </c>
      <c r="AC495" s="103" t="e">
        <f t="shared" si="116"/>
        <v>#REF!</v>
      </c>
      <c r="AD495" s="103" t="e">
        <f t="shared" si="117"/>
        <v>#REF!</v>
      </c>
      <c r="AE495" s="104" t="e">
        <f t="shared" si="118"/>
        <v>#REF!</v>
      </c>
      <c r="AF495" s="104" t="e">
        <f t="shared" si="118"/>
        <v>#REF!</v>
      </c>
      <c r="AH495" s="103" t="e">
        <f t="shared" si="119"/>
        <v>#REF!</v>
      </c>
      <c r="AI495" s="103" t="e">
        <f t="shared" si="120"/>
        <v>#REF!</v>
      </c>
      <c r="AJ495" s="104" t="e">
        <f t="shared" si="121"/>
        <v>#REF!</v>
      </c>
      <c r="AK495" s="104" t="e">
        <f t="shared" si="121"/>
        <v>#REF!</v>
      </c>
    </row>
    <row r="496" spans="19:37">
      <c r="S496" s="103">
        <f t="shared" si="110"/>
        <v>0</v>
      </c>
      <c r="T496" s="103">
        <f t="shared" si="111"/>
        <v>0</v>
      </c>
      <c r="U496" s="104">
        <f t="shared" si="112"/>
        <v>0</v>
      </c>
      <c r="V496" s="104">
        <f t="shared" si="112"/>
        <v>0</v>
      </c>
      <c r="X496" s="103" t="e">
        <f t="shared" si="113"/>
        <v>#REF!</v>
      </c>
      <c r="Y496" s="103" t="e">
        <f t="shared" si="114"/>
        <v>#REF!</v>
      </c>
      <c r="Z496" s="104" t="e">
        <f t="shared" si="115"/>
        <v>#REF!</v>
      </c>
      <c r="AA496" s="104" t="e">
        <f t="shared" si="115"/>
        <v>#REF!</v>
      </c>
      <c r="AC496" s="103" t="e">
        <f t="shared" si="116"/>
        <v>#REF!</v>
      </c>
      <c r="AD496" s="103" t="e">
        <f t="shared" si="117"/>
        <v>#REF!</v>
      </c>
      <c r="AE496" s="104" t="e">
        <f t="shared" si="118"/>
        <v>#REF!</v>
      </c>
      <c r="AF496" s="104" t="e">
        <f t="shared" si="118"/>
        <v>#REF!</v>
      </c>
      <c r="AH496" s="103" t="e">
        <f t="shared" si="119"/>
        <v>#REF!</v>
      </c>
      <c r="AI496" s="103" t="e">
        <f t="shared" si="120"/>
        <v>#REF!</v>
      </c>
      <c r="AJ496" s="104" t="e">
        <f t="shared" si="121"/>
        <v>#REF!</v>
      </c>
      <c r="AK496" s="104" t="e">
        <f t="shared" si="121"/>
        <v>#REF!</v>
      </c>
    </row>
    <row r="497" spans="19:37">
      <c r="S497" s="103">
        <f t="shared" si="110"/>
        <v>0</v>
      </c>
      <c r="T497" s="103">
        <f t="shared" si="111"/>
        <v>0</v>
      </c>
      <c r="U497" s="104">
        <f t="shared" si="112"/>
        <v>0</v>
      </c>
      <c r="V497" s="104">
        <f t="shared" si="112"/>
        <v>0</v>
      </c>
      <c r="X497" s="103" t="e">
        <f t="shared" si="113"/>
        <v>#REF!</v>
      </c>
      <c r="Y497" s="103" t="e">
        <f t="shared" si="114"/>
        <v>#REF!</v>
      </c>
      <c r="Z497" s="104" t="e">
        <f t="shared" si="115"/>
        <v>#REF!</v>
      </c>
      <c r="AA497" s="104" t="e">
        <f t="shared" si="115"/>
        <v>#REF!</v>
      </c>
      <c r="AC497" s="103" t="e">
        <f t="shared" si="116"/>
        <v>#REF!</v>
      </c>
      <c r="AD497" s="103" t="e">
        <f t="shared" si="117"/>
        <v>#REF!</v>
      </c>
      <c r="AE497" s="104" t="e">
        <f t="shared" si="118"/>
        <v>#REF!</v>
      </c>
      <c r="AF497" s="104" t="e">
        <f t="shared" si="118"/>
        <v>#REF!</v>
      </c>
      <c r="AH497" s="103" t="e">
        <f t="shared" si="119"/>
        <v>#REF!</v>
      </c>
      <c r="AI497" s="103" t="e">
        <f t="shared" si="120"/>
        <v>#REF!</v>
      </c>
      <c r="AJ497" s="104" t="e">
        <f t="shared" si="121"/>
        <v>#REF!</v>
      </c>
      <c r="AK497" s="104" t="e">
        <f t="shared" si="121"/>
        <v>#REF!</v>
      </c>
    </row>
    <row r="498" spans="19:37">
      <c r="S498" s="103">
        <f t="shared" si="110"/>
        <v>0</v>
      </c>
      <c r="T498" s="103">
        <f t="shared" si="111"/>
        <v>0</v>
      </c>
      <c r="U498" s="104">
        <f t="shared" si="112"/>
        <v>0</v>
      </c>
      <c r="V498" s="104">
        <f t="shared" si="112"/>
        <v>0</v>
      </c>
      <c r="X498" s="103" t="e">
        <f t="shared" si="113"/>
        <v>#REF!</v>
      </c>
      <c r="Y498" s="103" t="e">
        <f t="shared" si="114"/>
        <v>#REF!</v>
      </c>
      <c r="Z498" s="104" t="e">
        <f t="shared" si="115"/>
        <v>#REF!</v>
      </c>
      <c r="AA498" s="104" t="e">
        <f t="shared" si="115"/>
        <v>#REF!</v>
      </c>
      <c r="AC498" s="103" t="e">
        <f t="shared" si="116"/>
        <v>#REF!</v>
      </c>
      <c r="AD498" s="103" t="e">
        <f t="shared" si="117"/>
        <v>#REF!</v>
      </c>
      <c r="AE498" s="104" t="e">
        <f t="shared" si="118"/>
        <v>#REF!</v>
      </c>
      <c r="AF498" s="104" t="e">
        <f t="shared" si="118"/>
        <v>#REF!</v>
      </c>
      <c r="AH498" s="103" t="e">
        <f t="shared" si="119"/>
        <v>#REF!</v>
      </c>
      <c r="AI498" s="103" t="e">
        <f t="shared" si="120"/>
        <v>#REF!</v>
      </c>
      <c r="AJ498" s="104" t="e">
        <f t="shared" si="121"/>
        <v>#REF!</v>
      </c>
      <c r="AK498" s="104" t="e">
        <f t="shared" si="121"/>
        <v>#REF!</v>
      </c>
    </row>
    <row r="499" spans="19:37">
      <c r="S499" s="103">
        <f t="shared" si="110"/>
        <v>0</v>
      </c>
      <c r="T499" s="103">
        <f t="shared" si="111"/>
        <v>0</v>
      </c>
      <c r="U499" s="104">
        <f t="shared" si="112"/>
        <v>0</v>
      </c>
      <c r="V499" s="104">
        <f t="shared" si="112"/>
        <v>0</v>
      </c>
      <c r="X499" s="103" t="e">
        <f t="shared" si="113"/>
        <v>#REF!</v>
      </c>
      <c r="Y499" s="103" t="e">
        <f t="shared" si="114"/>
        <v>#REF!</v>
      </c>
      <c r="Z499" s="104" t="e">
        <f t="shared" si="115"/>
        <v>#REF!</v>
      </c>
      <c r="AA499" s="104" t="e">
        <f t="shared" si="115"/>
        <v>#REF!</v>
      </c>
      <c r="AC499" s="103" t="e">
        <f t="shared" si="116"/>
        <v>#REF!</v>
      </c>
      <c r="AD499" s="103" t="e">
        <f t="shared" si="117"/>
        <v>#REF!</v>
      </c>
      <c r="AE499" s="104" t="e">
        <f t="shared" si="118"/>
        <v>#REF!</v>
      </c>
      <c r="AF499" s="104" t="e">
        <f t="shared" si="118"/>
        <v>#REF!</v>
      </c>
      <c r="AH499" s="103" t="e">
        <f t="shared" si="119"/>
        <v>#REF!</v>
      </c>
      <c r="AI499" s="103" t="e">
        <f t="shared" si="120"/>
        <v>#REF!</v>
      </c>
      <c r="AJ499" s="104" t="e">
        <f t="shared" si="121"/>
        <v>#REF!</v>
      </c>
      <c r="AK499" s="104" t="e">
        <f t="shared" si="121"/>
        <v>#REF!</v>
      </c>
    </row>
    <row r="500" spans="19:37">
      <c r="S500" s="103">
        <f t="shared" si="110"/>
        <v>0</v>
      </c>
      <c r="T500" s="103">
        <f t="shared" si="111"/>
        <v>0</v>
      </c>
      <c r="U500" s="104">
        <f t="shared" si="112"/>
        <v>0</v>
      </c>
      <c r="V500" s="104">
        <f t="shared" si="112"/>
        <v>0</v>
      </c>
      <c r="X500" s="103" t="e">
        <f t="shared" si="113"/>
        <v>#REF!</v>
      </c>
      <c r="Y500" s="103" t="e">
        <f t="shared" si="114"/>
        <v>#REF!</v>
      </c>
      <c r="Z500" s="104" t="e">
        <f t="shared" si="115"/>
        <v>#REF!</v>
      </c>
      <c r="AA500" s="104" t="e">
        <f t="shared" si="115"/>
        <v>#REF!</v>
      </c>
      <c r="AC500" s="103" t="e">
        <f t="shared" si="116"/>
        <v>#REF!</v>
      </c>
      <c r="AD500" s="103" t="e">
        <f t="shared" si="117"/>
        <v>#REF!</v>
      </c>
      <c r="AE500" s="104" t="e">
        <f t="shared" si="118"/>
        <v>#REF!</v>
      </c>
      <c r="AF500" s="104" t="e">
        <f t="shared" si="118"/>
        <v>#REF!</v>
      </c>
      <c r="AH500" s="103" t="e">
        <f t="shared" si="119"/>
        <v>#REF!</v>
      </c>
      <c r="AI500" s="103" t="e">
        <f t="shared" si="120"/>
        <v>#REF!</v>
      </c>
      <c r="AJ500" s="104" t="e">
        <f t="shared" si="121"/>
        <v>#REF!</v>
      </c>
      <c r="AK500" s="104" t="e">
        <f t="shared" si="121"/>
        <v>#REF!</v>
      </c>
    </row>
    <row r="501" spans="19:37">
      <c r="S501" s="103">
        <f t="shared" si="110"/>
        <v>0</v>
      </c>
      <c r="T501" s="103">
        <f t="shared" si="111"/>
        <v>0</v>
      </c>
      <c r="U501" s="104">
        <f t="shared" si="112"/>
        <v>0</v>
      </c>
      <c r="V501" s="104">
        <f t="shared" si="112"/>
        <v>0</v>
      </c>
      <c r="X501" s="103" t="e">
        <f t="shared" si="113"/>
        <v>#REF!</v>
      </c>
      <c r="Y501" s="103" t="e">
        <f t="shared" si="114"/>
        <v>#REF!</v>
      </c>
      <c r="Z501" s="104" t="e">
        <f t="shared" si="115"/>
        <v>#REF!</v>
      </c>
      <c r="AA501" s="104" t="e">
        <f t="shared" si="115"/>
        <v>#REF!</v>
      </c>
      <c r="AC501" s="103" t="e">
        <f t="shared" si="116"/>
        <v>#REF!</v>
      </c>
      <c r="AD501" s="103" t="e">
        <f t="shared" si="117"/>
        <v>#REF!</v>
      </c>
      <c r="AE501" s="104" t="e">
        <f t="shared" si="118"/>
        <v>#REF!</v>
      </c>
      <c r="AF501" s="104" t="e">
        <f t="shared" si="118"/>
        <v>#REF!</v>
      </c>
      <c r="AH501" s="103" t="e">
        <f t="shared" si="119"/>
        <v>#REF!</v>
      </c>
      <c r="AI501" s="103" t="e">
        <f t="shared" si="120"/>
        <v>#REF!</v>
      </c>
      <c r="AJ501" s="104" t="e">
        <f t="shared" si="121"/>
        <v>#REF!</v>
      </c>
      <c r="AK501" s="104" t="e">
        <f t="shared" si="121"/>
        <v>#REF!</v>
      </c>
    </row>
    <row r="502" spans="19:37">
      <c r="S502" s="103">
        <f t="shared" si="110"/>
        <v>0</v>
      </c>
      <c r="T502" s="103">
        <f t="shared" si="111"/>
        <v>0</v>
      </c>
      <c r="U502" s="104">
        <f t="shared" si="112"/>
        <v>0</v>
      </c>
      <c r="V502" s="104">
        <f t="shared" si="112"/>
        <v>0</v>
      </c>
      <c r="X502" s="103" t="e">
        <f t="shared" si="113"/>
        <v>#REF!</v>
      </c>
      <c r="Y502" s="103" t="e">
        <f t="shared" si="114"/>
        <v>#REF!</v>
      </c>
      <c r="Z502" s="104" t="e">
        <f t="shared" si="115"/>
        <v>#REF!</v>
      </c>
      <c r="AA502" s="104" t="e">
        <f t="shared" si="115"/>
        <v>#REF!</v>
      </c>
      <c r="AC502" s="103" t="e">
        <f t="shared" si="116"/>
        <v>#REF!</v>
      </c>
      <c r="AD502" s="103" t="e">
        <f t="shared" si="117"/>
        <v>#REF!</v>
      </c>
      <c r="AE502" s="104" t="e">
        <f t="shared" si="118"/>
        <v>#REF!</v>
      </c>
      <c r="AF502" s="104" t="e">
        <f t="shared" si="118"/>
        <v>#REF!</v>
      </c>
      <c r="AH502" s="103" t="e">
        <f t="shared" si="119"/>
        <v>#REF!</v>
      </c>
      <c r="AI502" s="103" t="e">
        <f t="shared" si="120"/>
        <v>#REF!</v>
      </c>
      <c r="AJ502" s="104" t="e">
        <f t="shared" si="121"/>
        <v>#REF!</v>
      </c>
      <c r="AK502" s="104" t="e">
        <f t="shared" si="121"/>
        <v>#REF!</v>
      </c>
    </row>
    <row r="503" spans="19:37">
      <c r="S503" s="103">
        <f t="shared" si="110"/>
        <v>0</v>
      </c>
      <c r="T503" s="103">
        <f t="shared" si="111"/>
        <v>0</v>
      </c>
      <c r="U503" s="104">
        <f t="shared" si="112"/>
        <v>0</v>
      </c>
      <c r="V503" s="104">
        <f t="shared" si="112"/>
        <v>0</v>
      </c>
      <c r="X503" s="103" t="e">
        <f t="shared" si="113"/>
        <v>#REF!</v>
      </c>
      <c r="Y503" s="103" t="e">
        <f t="shared" si="114"/>
        <v>#REF!</v>
      </c>
      <c r="Z503" s="104" t="e">
        <f t="shared" si="115"/>
        <v>#REF!</v>
      </c>
      <c r="AA503" s="104" t="e">
        <f t="shared" si="115"/>
        <v>#REF!</v>
      </c>
      <c r="AC503" s="103" t="e">
        <f t="shared" si="116"/>
        <v>#REF!</v>
      </c>
      <c r="AD503" s="103" t="e">
        <f t="shared" si="117"/>
        <v>#REF!</v>
      </c>
      <c r="AE503" s="104" t="e">
        <f t="shared" si="118"/>
        <v>#REF!</v>
      </c>
      <c r="AF503" s="104" t="e">
        <f t="shared" si="118"/>
        <v>#REF!</v>
      </c>
      <c r="AH503" s="103" t="e">
        <f t="shared" si="119"/>
        <v>#REF!</v>
      </c>
      <c r="AI503" s="103" t="e">
        <f t="shared" si="120"/>
        <v>#REF!</v>
      </c>
      <c r="AJ503" s="104" t="e">
        <f t="shared" si="121"/>
        <v>#REF!</v>
      </c>
      <c r="AK503" s="104" t="e">
        <f t="shared" si="121"/>
        <v>#REF!</v>
      </c>
    </row>
    <row r="504" spans="19:37">
      <c r="S504" s="103">
        <f t="shared" si="110"/>
        <v>0</v>
      </c>
      <c r="T504" s="103">
        <f t="shared" si="111"/>
        <v>0</v>
      </c>
      <c r="U504" s="104">
        <f t="shared" si="112"/>
        <v>0</v>
      </c>
      <c r="V504" s="104">
        <f t="shared" si="112"/>
        <v>0</v>
      </c>
      <c r="X504" s="103" t="e">
        <f t="shared" si="113"/>
        <v>#REF!</v>
      </c>
      <c r="Y504" s="103" t="e">
        <f t="shared" si="114"/>
        <v>#REF!</v>
      </c>
      <c r="Z504" s="104" t="e">
        <f t="shared" si="115"/>
        <v>#REF!</v>
      </c>
      <c r="AA504" s="104" t="e">
        <f t="shared" si="115"/>
        <v>#REF!</v>
      </c>
      <c r="AC504" s="103" t="e">
        <f t="shared" si="116"/>
        <v>#REF!</v>
      </c>
      <c r="AD504" s="103" t="e">
        <f t="shared" si="117"/>
        <v>#REF!</v>
      </c>
      <c r="AE504" s="104" t="e">
        <f t="shared" si="118"/>
        <v>#REF!</v>
      </c>
      <c r="AF504" s="104" t="e">
        <f t="shared" si="118"/>
        <v>#REF!</v>
      </c>
      <c r="AH504" s="103" t="e">
        <f t="shared" si="119"/>
        <v>#REF!</v>
      </c>
      <c r="AI504" s="103" t="e">
        <f t="shared" si="120"/>
        <v>#REF!</v>
      </c>
      <c r="AJ504" s="104" t="e">
        <f t="shared" si="121"/>
        <v>#REF!</v>
      </c>
      <c r="AK504" s="104" t="e">
        <f t="shared" si="121"/>
        <v>#REF!</v>
      </c>
    </row>
    <row r="505" spans="19:37">
      <c r="S505" s="103">
        <f t="shared" si="110"/>
        <v>0</v>
      </c>
      <c r="T505" s="103">
        <f t="shared" si="111"/>
        <v>0</v>
      </c>
      <c r="U505" s="104">
        <f t="shared" si="112"/>
        <v>0</v>
      </c>
      <c r="V505" s="104">
        <f t="shared" si="112"/>
        <v>0</v>
      </c>
      <c r="X505" s="103" t="e">
        <f t="shared" si="113"/>
        <v>#REF!</v>
      </c>
      <c r="Y505" s="103" t="e">
        <f t="shared" si="114"/>
        <v>#REF!</v>
      </c>
      <c r="Z505" s="104" t="e">
        <f t="shared" si="115"/>
        <v>#REF!</v>
      </c>
      <c r="AA505" s="104" t="e">
        <f t="shared" si="115"/>
        <v>#REF!</v>
      </c>
      <c r="AC505" s="103" t="e">
        <f t="shared" si="116"/>
        <v>#REF!</v>
      </c>
      <c r="AD505" s="103" t="e">
        <f t="shared" si="117"/>
        <v>#REF!</v>
      </c>
      <c r="AE505" s="104" t="e">
        <f t="shared" si="118"/>
        <v>#REF!</v>
      </c>
      <c r="AF505" s="104" t="e">
        <f t="shared" si="118"/>
        <v>#REF!</v>
      </c>
      <c r="AH505" s="103" t="e">
        <f t="shared" si="119"/>
        <v>#REF!</v>
      </c>
      <c r="AI505" s="103" t="e">
        <f t="shared" si="120"/>
        <v>#REF!</v>
      </c>
      <c r="AJ505" s="104" t="e">
        <f t="shared" si="121"/>
        <v>#REF!</v>
      </c>
      <c r="AK505" s="104" t="e">
        <f t="shared" si="121"/>
        <v>#REF!</v>
      </c>
    </row>
    <row r="506" spans="19:37">
      <c r="S506" s="103">
        <f t="shared" si="110"/>
        <v>0</v>
      </c>
      <c r="T506" s="103">
        <f t="shared" si="111"/>
        <v>0</v>
      </c>
      <c r="U506" s="104">
        <f t="shared" si="112"/>
        <v>0</v>
      </c>
      <c r="V506" s="104">
        <f t="shared" si="112"/>
        <v>0</v>
      </c>
      <c r="X506" s="103" t="e">
        <f t="shared" si="113"/>
        <v>#REF!</v>
      </c>
      <c r="Y506" s="103" t="e">
        <f t="shared" si="114"/>
        <v>#REF!</v>
      </c>
      <c r="Z506" s="104" t="e">
        <f t="shared" si="115"/>
        <v>#REF!</v>
      </c>
      <c r="AA506" s="104" t="e">
        <f t="shared" si="115"/>
        <v>#REF!</v>
      </c>
      <c r="AC506" s="103" t="e">
        <f t="shared" si="116"/>
        <v>#REF!</v>
      </c>
      <c r="AD506" s="103" t="e">
        <f t="shared" si="117"/>
        <v>#REF!</v>
      </c>
      <c r="AE506" s="104" t="e">
        <f t="shared" si="118"/>
        <v>#REF!</v>
      </c>
      <c r="AF506" s="104" t="e">
        <f t="shared" si="118"/>
        <v>#REF!</v>
      </c>
      <c r="AH506" s="103" t="e">
        <f t="shared" si="119"/>
        <v>#REF!</v>
      </c>
      <c r="AI506" s="103" t="e">
        <f t="shared" si="120"/>
        <v>#REF!</v>
      </c>
      <c r="AJ506" s="104" t="e">
        <f t="shared" si="121"/>
        <v>#REF!</v>
      </c>
      <c r="AK506" s="104" t="e">
        <f t="shared" si="121"/>
        <v>#REF!</v>
      </c>
    </row>
    <row r="507" spans="19:37">
      <c r="S507" s="103">
        <f t="shared" si="110"/>
        <v>0</v>
      </c>
      <c r="T507" s="103">
        <f t="shared" si="111"/>
        <v>0</v>
      </c>
      <c r="U507" s="104">
        <f t="shared" si="112"/>
        <v>0</v>
      </c>
      <c r="V507" s="104">
        <f t="shared" si="112"/>
        <v>0</v>
      </c>
      <c r="X507" s="103" t="e">
        <f t="shared" si="113"/>
        <v>#REF!</v>
      </c>
      <c r="Y507" s="103" t="e">
        <f t="shared" si="114"/>
        <v>#REF!</v>
      </c>
      <c r="Z507" s="104" t="e">
        <f t="shared" si="115"/>
        <v>#REF!</v>
      </c>
      <c r="AA507" s="104" t="e">
        <f t="shared" si="115"/>
        <v>#REF!</v>
      </c>
      <c r="AC507" s="103" t="e">
        <f t="shared" si="116"/>
        <v>#REF!</v>
      </c>
      <c r="AD507" s="103" t="e">
        <f t="shared" si="117"/>
        <v>#REF!</v>
      </c>
      <c r="AE507" s="104" t="e">
        <f t="shared" si="118"/>
        <v>#REF!</v>
      </c>
      <c r="AF507" s="104" t="e">
        <f t="shared" si="118"/>
        <v>#REF!</v>
      </c>
      <c r="AH507" s="103" t="e">
        <f t="shared" si="119"/>
        <v>#REF!</v>
      </c>
      <c r="AI507" s="103" t="e">
        <f t="shared" si="120"/>
        <v>#REF!</v>
      </c>
      <c r="AJ507" s="104" t="e">
        <f t="shared" si="121"/>
        <v>#REF!</v>
      </c>
      <c r="AK507" s="104" t="e">
        <f t="shared" si="121"/>
        <v>#REF!</v>
      </c>
    </row>
    <row r="508" spans="19:37">
      <c r="S508" s="103">
        <f t="shared" si="110"/>
        <v>0</v>
      </c>
      <c r="T508" s="103">
        <f t="shared" si="111"/>
        <v>0</v>
      </c>
      <c r="U508" s="104">
        <f t="shared" si="112"/>
        <v>0</v>
      </c>
      <c r="V508" s="104">
        <f t="shared" si="112"/>
        <v>0</v>
      </c>
      <c r="X508" s="103" t="e">
        <f t="shared" si="113"/>
        <v>#REF!</v>
      </c>
      <c r="Y508" s="103" t="e">
        <f t="shared" si="114"/>
        <v>#REF!</v>
      </c>
      <c r="Z508" s="104" t="e">
        <f t="shared" si="115"/>
        <v>#REF!</v>
      </c>
      <c r="AA508" s="104" t="e">
        <f t="shared" si="115"/>
        <v>#REF!</v>
      </c>
      <c r="AC508" s="103" t="e">
        <f t="shared" si="116"/>
        <v>#REF!</v>
      </c>
      <c r="AD508" s="103" t="e">
        <f t="shared" si="117"/>
        <v>#REF!</v>
      </c>
      <c r="AE508" s="104" t="e">
        <f t="shared" si="118"/>
        <v>#REF!</v>
      </c>
      <c r="AF508" s="104" t="e">
        <f t="shared" si="118"/>
        <v>#REF!</v>
      </c>
      <c r="AH508" s="103" t="e">
        <f t="shared" si="119"/>
        <v>#REF!</v>
      </c>
      <c r="AI508" s="103" t="e">
        <f t="shared" si="120"/>
        <v>#REF!</v>
      </c>
      <c r="AJ508" s="104" t="e">
        <f t="shared" si="121"/>
        <v>#REF!</v>
      </c>
      <c r="AK508" s="104" t="e">
        <f t="shared" si="121"/>
        <v>#REF!</v>
      </c>
    </row>
    <row r="509" spans="19:37">
      <c r="S509" s="103">
        <f t="shared" si="110"/>
        <v>0</v>
      </c>
      <c r="T509" s="103">
        <f t="shared" si="111"/>
        <v>0</v>
      </c>
      <c r="U509" s="104">
        <f t="shared" si="112"/>
        <v>0</v>
      </c>
      <c r="V509" s="104">
        <f t="shared" si="112"/>
        <v>0</v>
      </c>
      <c r="X509" s="103" t="e">
        <f t="shared" si="113"/>
        <v>#REF!</v>
      </c>
      <c r="Y509" s="103" t="e">
        <f t="shared" si="114"/>
        <v>#REF!</v>
      </c>
      <c r="Z509" s="104" t="e">
        <f t="shared" si="115"/>
        <v>#REF!</v>
      </c>
      <c r="AA509" s="104" t="e">
        <f t="shared" si="115"/>
        <v>#REF!</v>
      </c>
      <c r="AC509" s="103" t="e">
        <f t="shared" si="116"/>
        <v>#REF!</v>
      </c>
      <c r="AD509" s="103" t="e">
        <f t="shared" si="117"/>
        <v>#REF!</v>
      </c>
      <c r="AE509" s="104" t="e">
        <f t="shared" si="118"/>
        <v>#REF!</v>
      </c>
      <c r="AF509" s="104" t="e">
        <f t="shared" si="118"/>
        <v>#REF!</v>
      </c>
      <c r="AH509" s="103" t="e">
        <f t="shared" si="119"/>
        <v>#REF!</v>
      </c>
      <c r="AI509" s="103" t="e">
        <f t="shared" si="120"/>
        <v>#REF!</v>
      </c>
      <c r="AJ509" s="104" t="e">
        <f t="shared" si="121"/>
        <v>#REF!</v>
      </c>
      <c r="AK509" s="104" t="e">
        <f t="shared" si="121"/>
        <v>#REF!</v>
      </c>
    </row>
    <row r="510" spans="19:37">
      <c r="S510" s="103">
        <f t="shared" si="110"/>
        <v>0</v>
      </c>
      <c r="T510" s="103">
        <f t="shared" si="111"/>
        <v>0</v>
      </c>
      <c r="U510" s="104">
        <f t="shared" si="112"/>
        <v>0</v>
      </c>
      <c r="V510" s="104">
        <f t="shared" si="112"/>
        <v>0</v>
      </c>
      <c r="X510" s="103" t="e">
        <f t="shared" si="113"/>
        <v>#REF!</v>
      </c>
      <c r="Y510" s="103" t="e">
        <f t="shared" si="114"/>
        <v>#REF!</v>
      </c>
      <c r="Z510" s="104" t="e">
        <f t="shared" si="115"/>
        <v>#REF!</v>
      </c>
      <c r="AA510" s="104" t="e">
        <f t="shared" si="115"/>
        <v>#REF!</v>
      </c>
      <c r="AC510" s="103" t="e">
        <f t="shared" si="116"/>
        <v>#REF!</v>
      </c>
      <c r="AD510" s="103" t="e">
        <f t="shared" si="117"/>
        <v>#REF!</v>
      </c>
      <c r="AE510" s="104" t="e">
        <f t="shared" si="118"/>
        <v>#REF!</v>
      </c>
      <c r="AF510" s="104" t="e">
        <f t="shared" si="118"/>
        <v>#REF!</v>
      </c>
      <c r="AH510" s="103" t="e">
        <f t="shared" si="119"/>
        <v>#REF!</v>
      </c>
      <c r="AI510" s="103" t="e">
        <f t="shared" si="120"/>
        <v>#REF!</v>
      </c>
      <c r="AJ510" s="104" t="e">
        <f t="shared" si="121"/>
        <v>#REF!</v>
      </c>
      <c r="AK510" s="104" t="e">
        <f t="shared" si="121"/>
        <v>#REF!</v>
      </c>
    </row>
    <row r="511" spans="19:37">
      <c r="S511" s="103">
        <f t="shared" si="110"/>
        <v>0</v>
      </c>
      <c r="T511" s="103">
        <f t="shared" si="111"/>
        <v>0</v>
      </c>
      <c r="U511" s="104">
        <f t="shared" si="112"/>
        <v>0</v>
      </c>
      <c r="V511" s="104">
        <f t="shared" si="112"/>
        <v>0</v>
      </c>
      <c r="X511" s="103" t="e">
        <f t="shared" si="113"/>
        <v>#REF!</v>
      </c>
      <c r="Y511" s="103" t="e">
        <f t="shared" si="114"/>
        <v>#REF!</v>
      </c>
      <c r="Z511" s="104" t="e">
        <f t="shared" si="115"/>
        <v>#REF!</v>
      </c>
      <c r="AA511" s="104" t="e">
        <f t="shared" si="115"/>
        <v>#REF!</v>
      </c>
      <c r="AC511" s="103" t="e">
        <f t="shared" si="116"/>
        <v>#REF!</v>
      </c>
      <c r="AD511" s="103" t="e">
        <f t="shared" si="117"/>
        <v>#REF!</v>
      </c>
      <c r="AE511" s="104" t="e">
        <f t="shared" si="118"/>
        <v>#REF!</v>
      </c>
      <c r="AF511" s="104" t="e">
        <f t="shared" si="118"/>
        <v>#REF!</v>
      </c>
      <c r="AH511" s="103" t="e">
        <f t="shared" si="119"/>
        <v>#REF!</v>
      </c>
      <c r="AI511" s="103" t="e">
        <f t="shared" si="120"/>
        <v>#REF!</v>
      </c>
      <c r="AJ511" s="104" t="e">
        <f t="shared" si="121"/>
        <v>#REF!</v>
      </c>
      <c r="AK511" s="104" t="e">
        <f t="shared" si="121"/>
        <v>#REF!</v>
      </c>
    </row>
    <row r="512" spans="19:37">
      <c r="S512" s="103">
        <f t="shared" si="110"/>
        <v>0</v>
      </c>
      <c r="T512" s="103">
        <f t="shared" si="111"/>
        <v>0</v>
      </c>
      <c r="U512" s="104">
        <f t="shared" si="112"/>
        <v>0</v>
      </c>
      <c r="V512" s="104">
        <f t="shared" si="112"/>
        <v>0</v>
      </c>
      <c r="X512" s="103" t="e">
        <f t="shared" si="113"/>
        <v>#REF!</v>
      </c>
      <c r="Y512" s="103" t="e">
        <f t="shared" si="114"/>
        <v>#REF!</v>
      </c>
      <c r="Z512" s="104" t="e">
        <f t="shared" si="115"/>
        <v>#REF!</v>
      </c>
      <c r="AA512" s="104" t="e">
        <f t="shared" si="115"/>
        <v>#REF!</v>
      </c>
      <c r="AC512" s="103" t="e">
        <f t="shared" si="116"/>
        <v>#REF!</v>
      </c>
      <c r="AD512" s="103" t="e">
        <f t="shared" si="117"/>
        <v>#REF!</v>
      </c>
      <c r="AE512" s="104" t="e">
        <f t="shared" si="118"/>
        <v>#REF!</v>
      </c>
      <c r="AF512" s="104" t="e">
        <f t="shared" si="118"/>
        <v>#REF!</v>
      </c>
      <c r="AH512" s="103" t="e">
        <f t="shared" si="119"/>
        <v>#REF!</v>
      </c>
      <c r="AI512" s="103" t="e">
        <f t="shared" si="120"/>
        <v>#REF!</v>
      </c>
      <c r="AJ512" s="104" t="e">
        <f t="shared" si="121"/>
        <v>#REF!</v>
      </c>
      <c r="AK512" s="104" t="e">
        <f t="shared" si="121"/>
        <v>#REF!</v>
      </c>
    </row>
    <row r="513" spans="19:37">
      <c r="S513" s="103">
        <f t="shared" si="110"/>
        <v>0</v>
      </c>
      <c r="T513" s="103">
        <f t="shared" si="111"/>
        <v>0</v>
      </c>
      <c r="U513" s="104">
        <f t="shared" si="112"/>
        <v>0</v>
      </c>
      <c r="V513" s="104">
        <f t="shared" si="112"/>
        <v>0</v>
      </c>
      <c r="X513" s="103" t="e">
        <f t="shared" si="113"/>
        <v>#REF!</v>
      </c>
      <c r="Y513" s="103" t="e">
        <f t="shared" si="114"/>
        <v>#REF!</v>
      </c>
      <c r="Z513" s="104" t="e">
        <f t="shared" si="115"/>
        <v>#REF!</v>
      </c>
      <c r="AA513" s="104" t="e">
        <f t="shared" si="115"/>
        <v>#REF!</v>
      </c>
      <c r="AC513" s="103" t="e">
        <f t="shared" si="116"/>
        <v>#REF!</v>
      </c>
      <c r="AD513" s="103" t="e">
        <f t="shared" si="117"/>
        <v>#REF!</v>
      </c>
      <c r="AE513" s="104" t="e">
        <f t="shared" si="118"/>
        <v>#REF!</v>
      </c>
      <c r="AF513" s="104" t="e">
        <f t="shared" si="118"/>
        <v>#REF!</v>
      </c>
      <c r="AH513" s="103" t="e">
        <f t="shared" si="119"/>
        <v>#REF!</v>
      </c>
      <c r="AI513" s="103" t="e">
        <f t="shared" si="120"/>
        <v>#REF!</v>
      </c>
      <c r="AJ513" s="104" t="e">
        <f t="shared" si="121"/>
        <v>#REF!</v>
      </c>
      <c r="AK513" s="104" t="e">
        <f t="shared" si="121"/>
        <v>#REF!</v>
      </c>
    </row>
    <row r="514" spans="19:37">
      <c r="S514" s="103">
        <f t="shared" si="110"/>
        <v>0</v>
      </c>
      <c r="T514" s="103">
        <f t="shared" si="111"/>
        <v>0</v>
      </c>
      <c r="U514" s="104">
        <f t="shared" si="112"/>
        <v>0</v>
      </c>
      <c r="V514" s="104">
        <f t="shared" si="112"/>
        <v>0</v>
      </c>
      <c r="X514" s="103" t="e">
        <f t="shared" si="113"/>
        <v>#REF!</v>
      </c>
      <c r="Y514" s="103" t="e">
        <f t="shared" si="114"/>
        <v>#REF!</v>
      </c>
      <c r="Z514" s="104" t="e">
        <f t="shared" si="115"/>
        <v>#REF!</v>
      </c>
      <c r="AA514" s="104" t="e">
        <f t="shared" si="115"/>
        <v>#REF!</v>
      </c>
      <c r="AC514" s="103" t="e">
        <f t="shared" si="116"/>
        <v>#REF!</v>
      </c>
      <c r="AD514" s="103" t="e">
        <f t="shared" si="117"/>
        <v>#REF!</v>
      </c>
      <c r="AE514" s="104" t="e">
        <f t="shared" si="118"/>
        <v>#REF!</v>
      </c>
      <c r="AF514" s="104" t="e">
        <f t="shared" si="118"/>
        <v>#REF!</v>
      </c>
      <c r="AH514" s="103" t="e">
        <f t="shared" si="119"/>
        <v>#REF!</v>
      </c>
      <c r="AI514" s="103" t="e">
        <f t="shared" si="120"/>
        <v>#REF!</v>
      </c>
      <c r="AJ514" s="104" t="e">
        <f t="shared" si="121"/>
        <v>#REF!</v>
      </c>
      <c r="AK514" s="104" t="e">
        <f t="shared" si="121"/>
        <v>#REF!</v>
      </c>
    </row>
    <row r="515" spans="19:37">
      <c r="S515" s="103">
        <f t="shared" si="110"/>
        <v>0</v>
      </c>
      <c r="T515" s="103">
        <f t="shared" si="111"/>
        <v>0</v>
      </c>
      <c r="U515" s="104">
        <f t="shared" si="112"/>
        <v>0</v>
      </c>
      <c r="V515" s="104">
        <f t="shared" si="112"/>
        <v>0</v>
      </c>
      <c r="X515" s="103" t="e">
        <f t="shared" si="113"/>
        <v>#REF!</v>
      </c>
      <c r="Y515" s="103" t="e">
        <f t="shared" si="114"/>
        <v>#REF!</v>
      </c>
      <c r="Z515" s="104" t="e">
        <f t="shared" si="115"/>
        <v>#REF!</v>
      </c>
      <c r="AA515" s="104" t="e">
        <f t="shared" si="115"/>
        <v>#REF!</v>
      </c>
      <c r="AC515" s="103" t="e">
        <f t="shared" si="116"/>
        <v>#REF!</v>
      </c>
      <c r="AD515" s="103" t="e">
        <f t="shared" si="117"/>
        <v>#REF!</v>
      </c>
      <c r="AE515" s="104" t="e">
        <f t="shared" si="118"/>
        <v>#REF!</v>
      </c>
      <c r="AF515" s="104" t="e">
        <f t="shared" si="118"/>
        <v>#REF!</v>
      </c>
      <c r="AH515" s="103" t="e">
        <f t="shared" si="119"/>
        <v>#REF!</v>
      </c>
      <c r="AI515" s="103" t="e">
        <f t="shared" si="120"/>
        <v>#REF!</v>
      </c>
      <c r="AJ515" s="104" t="e">
        <f t="shared" si="121"/>
        <v>#REF!</v>
      </c>
      <c r="AK515" s="104" t="e">
        <f t="shared" si="121"/>
        <v>#REF!</v>
      </c>
    </row>
    <row r="516" spans="19:37">
      <c r="S516" s="103">
        <f t="shared" si="110"/>
        <v>0</v>
      </c>
      <c r="T516" s="103">
        <f t="shared" si="111"/>
        <v>0</v>
      </c>
      <c r="U516" s="104">
        <f t="shared" si="112"/>
        <v>0</v>
      </c>
      <c r="V516" s="104">
        <f t="shared" si="112"/>
        <v>0</v>
      </c>
      <c r="X516" s="103" t="e">
        <f t="shared" si="113"/>
        <v>#REF!</v>
      </c>
      <c r="Y516" s="103" t="e">
        <f t="shared" si="114"/>
        <v>#REF!</v>
      </c>
      <c r="Z516" s="104" t="e">
        <f t="shared" si="115"/>
        <v>#REF!</v>
      </c>
      <c r="AA516" s="104" t="e">
        <f t="shared" si="115"/>
        <v>#REF!</v>
      </c>
      <c r="AC516" s="103" t="e">
        <f t="shared" si="116"/>
        <v>#REF!</v>
      </c>
      <c r="AD516" s="103" t="e">
        <f t="shared" si="117"/>
        <v>#REF!</v>
      </c>
      <c r="AE516" s="104" t="e">
        <f t="shared" si="118"/>
        <v>#REF!</v>
      </c>
      <c r="AF516" s="104" t="e">
        <f t="shared" si="118"/>
        <v>#REF!</v>
      </c>
      <c r="AH516" s="103" t="e">
        <f t="shared" si="119"/>
        <v>#REF!</v>
      </c>
      <c r="AI516" s="103" t="e">
        <f t="shared" si="120"/>
        <v>#REF!</v>
      </c>
      <c r="AJ516" s="104" t="e">
        <f t="shared" si="121"/>
        <v>#REF!</v>
      </c>
      <c r="AK516" s="104" t="e">
        <f t="shared" si="121"/>
        <v>#REF!</v>
      </c>
    </row>
    <row r="517" spans="19:37">
      <c r="S517" s="103">
        <f t="shared" si="110"/>
        <v>0</v>
      </c>
      <c r="T517" s="103">
        <f t="shared" si="111"/>
        <v>0</v>
      </c>
      <c r="U517" s="104">
        <f t="shared" si="112"/>
        <v>0</v>
      </c>
      <c r="V517" s="104">
        <f t="shared" si="112"/>
        <v>0</v>
      </c>
      <c r="X517" s="103" t="e">
        <f t="shared" si="113"/>
        <v>#REF!</v>
      </c>
      <c r="Y517" s="103" t="e">
        <f t="shared" si="114"/>
        <v>#REF!</v>
      </c>
      <c r="Z517" s="104" t="e">
        <f t="shared" si="115"/>
        <v>#REF!</v>
      </c>
      <c r="AA517" s="104" t="e">
        <f t="shared" si="115"/>
        <v>#REF!</v>
      </c>
      <c r="AC517" s="103" t="e">
        <f t="shared" si="116"/>
        <v>#REF!</v>
      </c>
      <c r="AD517" s="103" t="e">
        <f t="shared" si="117"/>
        <v>#REF!</v>
      </c>
      <c r="AE517" s="104" t="e">
        <f t="shared" si="118"/>
        <v>#REF!</v>
      </c>
      <c r="AF517" s="104" t="e">
        <f t="shared" si="118"/>
        <v>#REF!</v>
      </c>
      <c r="AH517" s="103" t="e">
        <f t="shared" si="119"/>
        <v>#REF!</v>
      </c>
      <c r="AI517" s="103" t="e">
        <f t="shared" si="120"/>
        <v>#REF!</v>
      </c>
      <c r="AJ517" s="104" t="e">
        <f t="shared" si="121"/>
        <v>#REF!</v>
      </c>
      <c r="AK517" s="104" t="e">
        <f t="shared" si="121"/>
        <v>#REF!</v>
      </c>
    </row>
    <row r="518" spans="19:37">
      <c r="S518" s="103">
        <f t="shared" si="110"/>
        <v>0</v>
      </c>
      <c r="T518" s="103">
        <f t="shared" si="111"/>
        <v>0</v>
      </c>
      <c r="U518" s="104">
        <f t="shared" si="112"/>
        <v>0</v>
      </c>
      <c r="V518" s="104">
        <f t="shared" si="112"/>
        <v>0</v>
      </c>
      <c r="X518" s="103" t="e">
        <f t="shared" si="113"/>
        <v>#REF!</v>
      </c>
      <c r="Y518" s="103" t="e">
        <f t="shared" si="114"/>
        <v>#REF!</v>
      </c>
      <c r="Z518" s="104" t="e">
        <f t="shared" si="115"/>
        <v>#REF!</v>
      </c>
      <c r="AA518" s="104" t="e">
        <f t="shared" si="115"/>
        <v>#REF!</v>
      </c>
      <c r="AC518" s="103" t="e">
        <f t="shared" si="116"/>
        <v>#REF!</v>
      </c>
      <c r="AD518" s="103" t="e">
        <f t="shared" si="117"/>
        <v>#REF!</v>
      </c>
      <c r="AE518" s="104" t="e">
        <f t="shared" si="118"/>
        <v>#REF!</v>
      </c>
      <c r="AF518" s="104" t="e">
        <f t="shared" si="118"/>
        <v>#REF!</v>
      </c>
      <c r="AH518" s="103" t="e">
        <f t="shared" si="119"/>
        <v>#REF!</v>
      </c>
      <c r="AI518" s="103" t="e">
        <f t="shared" si="120"/>
        <v>#REF!</v>
      </c>
      <c r="AJ518" s="104" t="e">
        <f t="shared" si="121"/>
        <v>#REF!</v>
      </c>
      <c r="AK518" s="104" t="e">
        <f t="shared" si="121"/>
        <v>#REF!</v>
      </c>
    </row>
    <row r="519" spans="19:37">
      <c r="S519" s="103">
        <f t="shared" si="110"/>
        <v>0</v>
      </c>
      <c r="T519" s="103">
        <f t="shared" si="111"/>
        <v>0</v>
      </c>
      <c r="U519" s="104">
        <f t="shared" si="112"/>
        <v>0</v>
      </c>
      <c r="V519" s="104">
        <f t="shared" si="112"/>
        <v>0</v>
      </c>
      <c r="X519" s="103" t="e">
        <f t="shared" si="113"/>
        <v>#REF!</v>
      </c>
      <c r="Y519" s="103" t="e">
        <f t="shared" si="114"/>
        <v>#REF!</v>
      </c>
      <c r="Z519" s="104" t="e">
        <f t="shared" si="115"/>
        <v>#REF!</v>
      </c>
      <c r="AA519" s="104" t="e">
        <f t="shared" si="115"/>
        <v>#REF!</v>
      </c>
      <c r="AC519" s="103" t="e">
        <f t="shared" si="116"/>
        <v>#REF!</v>
      </c>
      <c r="AD519" s="103" t="e">
        <f t="shared" si="117"/>
        <v>#REF!</v>
      </c>
      <c r="AE519" s="104" t="e">
        <f t="shared" si="118"/>
        <v>#REF!</v>
      </c>
      <c r="AF519" s="104" t="e">
        <f t="shared" si="118"/>
        <v>#REF!</v>
      </c>
      <c r="AH519" s="103" t="e">
        <f t="shared" si="119"/>
        <v>#REF!</v>
      </c>
      <c r="AI519" s="103" t="e">
        <f t="shared" si="120"/>
        <v>#REF!</v>
      </c>
      <c r="AJ519" s="104" t="e">
        <f t="shared" si="121"/>
        <v>#REF!</v>
      </c>
      <c r="AK519" s="104" t="e">
        <f t="shared" si="121"/>
        <v>#REF!</v>
      </c>
    </row>
    <row r="520" spans="19:37">
      <c r="S520" s="103">
        <f t="shared" si="110"/>
        <v>0</v>
      </c>
      <c r="T520" s="103">
        <f t="shared" si="111"/>
        <v>0</v>
      </c>
      <c r="U520" s="104">
        <f t="shared" si="112"/>
        <v>0</v>
      </c>
      <c r="V520" s="104">
        <f t="shared" si="112"/>
        <v>0</v>
      </c>
      <c r="X520" s="103" t="e">
        <f t="shared" si="113"/>
        <v>#REF!</v>
      </c>
      <c r="Y520" s="103" t="e">
        <f t="shared" si="114"/>
        <v>#REF!</v>
      </c>
      <c r="Z520" s="104" t="e">
        <f t="shared" si="115"/>
        <v>#REF!</v>
      </c>
      <c r="AA520" s="104" t="e">
        <f t="shared" si="115"/>
        <v>#REF!</v>
      </c>
      <c r="AC520" s="103" t="e">
        <f t="shared" si="116"/>
        <v>#REF!</v>
      </c>
      <c r="AD520" s="103" t="e">
        <f t="shared" si="117"/>
        <v>#REF!</v>
      </c>
      <c r="AE520" s="104" t="e">
        <f t="shared" si="118"/>
        <v>#REF!</v>
      </c>
      <c r="AF520" s="104" t="e">
        <f t="shared" si="118"/>
        <v>#REF!</v>
      </c>
      <c r="AH520" s="103" t="e">
        <f t="shared" si="119"/>
        <v>#REF!</v>
      </c>
      <c r="AI520" s="103" t="e">
        <f t="shared" si="120"/>
        <v>#REF!</v>
      </c>
      <c r="AJ520" s="104" t="e">
        <f t="shared" si="121"/>
        <v>#REF!</v>
      </c>
      <c r="AK520" s="104" t="e">
        <f t="shared" si="121"/>
        <v>#REF!</v>
      </c>
    </row>
    <row r="521" spans="19:37">
      <c r="S521" s="103">
        <f t="shared" si="110"/>
        <v>0</v>
      </c>
      <c r="T521" s="103">
        <f t="shared" si="111"/>
        <v>0</v>
      </c>
      <c r="U521" s="104">
        <f t="shared" si="112"/>
        <v>0</v>
      </c>
      <c r="V521" s="104">
        <f t="shared" si="112"/>
        <v>0</v>
      </c>
      <c r="X521" s="103" t="e">
        <f t="shared" si="113"/>
        <v>#REF!</v>
      </c>
      <c r="Y521" s="103" t="e">
        <f t="shared" si="114"/>
        <v>#REF!</v>
      </c>
      <c r="Z521" s="104" t="e">
        <f t="shared" si="115"/>
        <v>#REF!</v>
      </c>
      <c r="AA521" s="104" t="e">
        <f t="shared" si="115"/>
        <v>#REF!</v>
      </c>
      <c r="AC521" s="103" t="e">
        <f t="shared" si="116"/>
        <v>#REF!</v>
      </c>
      <c r="AD521" s="103" t="e">
        <f t="shared" si="117"/>
        <v>#REF!</v>
      </c>
      <c r="AE521" s="104" t="e">
        <f t="shared" si="118"/>
        <v>#REF!</v>
      </c>
      <c r="AF521" s="104" t="e">
        <f t="shared" si="118"/>
        <v>#REF!</v>
      </c>
      <c r="AH521" s="103" t="e">
        <f t="shared" si="119"/>
        <v>#REF!</v>
      </c>
      <c r="AI521" s="103" t="e">
        <f t="shared" si="120"/>
        <v>#REF!</v>
      </c>
      <c r="AJ521" s="104" t="e">
        <f t="shared" si="121"/>
        <v>#REF!</v>
      </c>
      <c r="AK521" s="104" t="e">
        <f t="shared" si="121"/>
        <v>#REF!</v>
      </c>
    </row>
    <row r="522" spans="19:37">
      <c r="S522" s="103">
        <f t="shared" si="110"/>
        <v>0</v>
      </c>
      <c r="T522" s="103">
        <f t="shared" si="111"/>
        <v>0</v>
      </c>
      <c r="U522" s="104">
        <f t="shared" si="112"/>
        <v>0</v>
      </c>
      <c r="V522" s="104">
        <f t="shared" si="112"/>
        <v>0</v>
      </c>
      <c r="X522" s="103" t="e">
        <f t="shared" si="113"/>
        <v>#REF!</v>
      </c>
      <c r="Y522" s="103" t="e">
        <f t="shared" si="114"/>
        <v>#REF!</v>
      </c>
      <c r="Z522" s="104" t="e">
        <f t="shared" si="115"/>
        <v>#REF!</v>
      </c>
      <c r="AA522" s="104" t="e">
        <f t="shared" si="115"/>
        <v>#REF!</v>
      </c>
      <c r="AC522" s="103" t="e">
        <f t="shared" si="116"/>
        <v>#REF!</v>
      </c>
      <c r="AD522" s="103" t="e">
        <f t="shared" si="117"/>
        <v>#REF!</v>
      </c>
      <c r="AE522" s="104" t="e">
        <f t="shared" si="118"/>
        <v>#REF!</v>
      </c>
      <c r="AF522" s="104" t="e">
        <f t="shared" si="118"/>
        <v>#REF!</v>
      </c>
      <c r="AH522" s="103" t="e">
        <f t="shared" si="119"/>
        <v>#REF!</v>
      </c>
      <c r="AI522" s="103" t="e">
        <f t="shared" si="120"/>
        <v>#REF!</v>
      </c>
      <c r="AJ522" s="104" t="e">
        <f t="shared" si="121"/>
        <v>#REF!</v>
      </c>
      <c r="AK522" s="104" t="e">
        <f t="shared" si="121"/>
        <v>#REF!</v>
      </c>
    </row>
    <row r="523" spans="19:37">
      <c r="S523" s="103">
        <f t="shared" si="110"/>
        <v>0</v>
      </c>
      <c r="T523" s="103">
        <f t="shared" si="111"/>
        <v>0</v>
      </c>
      <c r="U523" s="104">
        <f t="shared" si="112"/>
        <v>0</v>
      </c>
      <c r="V523" s="104">
        <f t="shared" si="112"/>
        <v>0</v>
      </c>
      <c r="X523" s="103" t="e">
        <f t="shared" si="113"/>
        <v>#REF!</v>
      </c>
      <c r="Y523" s="103" t="e">
        <f t="shared" si="114"/>
        <v>#REF!</v>
      </c>
      <c r="Z523" s="104" t="e">
        <f t="shared" si="115"/>
        <v>#REF!</v>
      </c>
      <c r="AA523" s="104" t="e">
        <f t="shared" si="115"/>
        <v>#REF!</v>
      </c>
      <c r="AC523" s="103" t="e">
        <f t="shared" si="116"/>
        <v>#REF!</v>
      </c>
      <c r="AD523" s="103" t="e">
        <f t="shared" si="117"/>
        <v>#REF!</v>
      </c>
      <c r="AE523" s="104" t="e">
        <f t="shared" si="118"/>
        <v>#REF!</v>
      </c>
      <c r="AF523" s="104" t="e">
        <f t="shared" si="118"/>
        <v>#REF!</v>
      </c>
      <c r="AH523" s="103" t="e">
        <f t="shared" si="119"/>
        <v>#REF!</v>
      </c>
      <c r="AI523" s="103" t="e">
        <f t="shared" si="120"/>
        <v>#REF!</v>
      </c>
      <c r="AJ523" s="104" t="e">
        <f t="shared" si="121"/>
        <v>#REF!</v>
      </c>
      <c r="AK523" s="104" t="e">
        <f t="shared" si="121"/>
        <v>#REF!</v>
      </c>
    </row>
    <row r="524" spans="19:37">
      <c r="S524" s="103">
        <f t="shared" si="110"/>
        <v>0</v>
      </c>
      <c r="T524" s="103">
        <f t="shared" si="111"/>
        <v>0</v>
      </c>
      <c r="U524" s="104">
        <f t="shared" si="112"/>
        <v>0</v>
      </c>
      <c r="V524" s="104">
        <f t="shared" si="112"/>
        <v>0</v>
      </c>
      <c r="X524" s="103" t="e">
        <f t="shared" si="113"/>
        <v>#REF!</v>
      </c>
      <c r="Y524" s="103" t="e">
        <f t="shared" si="114"/>
        <v>#REF!</v>
      </c>
      <c r="Z524" s="104" t="e">
        <f t="shared" si="115"/>
        <v>#REF!</v>
      </c>
      <c r="AA524" s="104" t="e">
        <f t="shared" si="115"/>
        <v>#REF!</v>
      </c>
      <c r="AC524" s="103" t="e">
        <f t="shared" si="116"/>
        <v>#REF!</v>
      </c>
      <c r="AD524" s="103" t="e">
        <f t="shared" si="117"/>
        <v>#REF!</v>
      </c>
      <c r="AE524" s="104" t="e">
        <f t="shared" si="118"/>
        <v>#REF!</v>
      </c>
      <c r="AF524" s="104" t="e">
        <f t="shared" si="118"/>
        <v>#REF!</v>
      </c>
      <c r="AH524" s="103" t="e">
        <f t="shared" si="119"/>
        <v>#REF!</v>
      </c>
      <c r="AI524" s="103" t="e">
        <f t="shared" si="120"/>
        <v>#REF!</v>
      </c>
      <c r="AJ524" s="104" t="e">
        <f t="shared" si="121"/>
        <v>#REF!</v>
      </c>
      <c r="AK524" s="104" t="e">
        <f t="shared" si="121"/>
        <v>#REF!</v>
      </c>
    </row>
    <row r="525" spans="19:37">
      <c r="S525" s="103">
        <f t="shared" si="110"/>
        <v>0</v>
      </c>
      <c r="T525" s="103">
        <f t="shared" si="111"/>
        <v>0</v>
      </c>
      <c r="U525" s="104">
        <f t="shared" si="112"/>
        <v>0</v>
      </c>
      <c r="V525" s="104">
        <f t="shared" si="112"/>
        <v>0</v>
      </c>
      <c r="X525" s="103" t="e">
        <f t="shared" si="113"/>
        <v>#REF!</v>
      </c>
      <c r="Y525" s="103" t="e">
        <f t="shared" si="114"/>
        <v>#REF!</v>
      </c>
      <c r="Z525" s="104" t="e">
        <f t="shared" si="115"/>
        <v>#REF!</v>
      </c>
      <c r="AA525" s="104" t="e">
        <f t="shared" si="115"/>
        <v>#REF!</v>
      </c>
      <c r="AC525" s="103" t="e">
        <f t="shared" si="116"/>
        <v>#REF!</v>
      </c>
      <c r="AD525" s="103" t="e">
        <f t="shared" si="117"/>
        <v>#REF!</v>
      </c>
      <c r="AE525" s="104" t="e">
        <f t="shared" si="118"/>
        <v>#REF!</v>
      </c>
      <c r="AF525" s="104" t="e">
        <f t="shared" si="118"/>
        <v>#REF!</v>
      </c>
      <c r="AH525" s="103" t="e">
        <f t="shared" si="119"/>
        <v>#REF!</v>
      </c>
      <c r="AI525" s="103" t="e">
        <f t="shared" si="120"/>
        <v>#REF!</v>
      </c>
      <c r="AJ525" s="104" t="e">
        <f t="shared" si="121"/>
        <v>#REF!</v>
      </c>
      <c r="AK525" s="104" t="e">
        <f t="shared" si="121"/>
        <v>#REF!</v>
      </c>
    </row>
    <row r="526" spans="19:37">
      <c r="S526" s="103">
        <f t="shared" si="110"/>
        <v>0</v>
      </c>
      <c r="T526" s="103">
        <f t="shared" si="111"/>
        <v>0</v>
      </c>
      <c r="U526" s="104">
        <f t="shared" si="112"/>
        <v>0</v>
      </c>
      <c r="V526" s="104">
        <f t="shared" si="112"/>
        <v>0</v>
      </c>
      <c r="X526" s="103" t="e">
        <f t="shared" si="113"/>
        <v>#REF!</v>
      </c>
      <c r="Y526" s="103" t="e">
        <f t="shared" si="114"/>
        <v>#REF!</v>
      </c>
      <c r="Z526" s="104" t="e">
        <f t="shared" si="115"/>
        <v>#REF!</v>
      </c>
      <c r="AA526" s="104" t="e">
        <f t="shared" si="115"/>
        <v>#REF!</v>
      </c>
      <c r="AC526" s="103" t="e">
        <f t="shared" si="116"/>
        <v>#REF!</v>
      </c>
      <c r="AD526" s="103" t="e">
        <f t="shared" si="117"/>
        <v>#REF!</v>
      </c>
      <c r="AE526" s="104" t="e">
        <f t="shared" si="118"/>
        <v>#REF!</v>
      </c>
      <c r="AF526" s="104" t="e">
        <f t="shared" si="118"/>
        <v>#REF!</v>
      </c>
      <c r="AH526" s="103" t="e">
        <f t="shared" si="119"/>
        <v>#REF!</v>
      </c>
      <c r="AI526" s="103" t="e">
        <f t="shared" si="120"/>
        <v>#REF!</v>
      </c>
      <c r="AJ526" s="104" t="e">
        <f t="shared" si="121"/>
        <v>#REF!</v>
      </c>
      <c r="AK526" s="104" t="e">
        <f t="shared" si="121"/>
        <v>#REF!</v>
      </c>
    </row>
    <row r="527" spans="19:37">
      <c r="S527" s="103">
        <f t="shared" si="110"/>
        <v>0</v>
      </c>
      <c r="T527" s="103">
        <f t="shared" si="111"/>
        <v>0</v>
      </c>
      <c r="U527" s="104">
        <f t="shared" si="112"/>
        <v>0</v>
      </c>
      <c r="V527" s="104">
        <f t="shared" si="112"/>
        <v>0</v>
      </c>
      <c r="X527" s="103" t="e">
        <f t="shared" si="113"/>
        <v>#REF!</v>
      </c>
      <c r="Y527" s="103" t="e">
        <f t="shared" si="114"/>
        <v>#REF!</v>
      </c>
      <c r="Z527" s="104" t="e">
        <f t="shared" si="115"/>
        <v>#REF!</v>
      </c>
      <c r="AA527" s="104" t="e">
        <f t="shared" si="115"/>
        <v>#REF!</v>
      </c>
      <c r="AC527" s="103" t="e">
        <f t="shared" si="116"/>
        <v>#REF!</v>
      </c>
      <c r="AD527" s="103" t="e">
        <f t="shared" si="117"/>
        <v>#REF!</v>
      </c>
      <c r="AE527" s="104" t="e">
        <f t="shared" si="118"/>
        <v>#REF!</v>
      </c>
      <c r="AF527" s="104" t="e">
        <f t="shared" si="118"/>
        <v>#REF!</v>
      </c>
      <c r="AH527" s="103" t="e">
        <f t="shared" si="119"/>
        <v>#REF!</v>
      </c>
      <c r="AI527" s="103" t="e">
        <f t="shared" si="120"/>
        <v>#REF!</v>
      </c>
      <c r="AJ527" s="104" t="e">
        <f t="shared" si="121"/>
        <v>#REF!</v>
      </c>
      <c r="AK527" s="104" t="e">
        <f t="shared" si="121"/>
        <v>#REF!</v>
      </c>
    </row>
    <row r="528" spans="19:37">
      <c r="S528" s="103">
        <f t="shared" si="110"/>
        <v>0</v>
      </c>
      <c r="T528" s="103">
        <f t="shared" si="111"/>
        <v>0</v>
      </c>
      <c r="U528" s="104">
        <f t="shared" si="112"/>
        <v>0</v>
      </c>
      <c r="V528" s="104">
        <f t="shared" si="112"/>
        <v>0</v>
      </c>
      <c r="X528" s="103" t="e">
        <f t="shared" si="113"/>
        <v>#REF!</v>
      </c>
      <c r="Y528" s="103" t="e">
        <f t="shared" si="114"/>
        <v>#REF!</v>
      </c>
      <c r="Z528" s="104" t="e">
        <f t="shared" si="115"/>
        <v>#REF!</v>
      </c>
      <c r="AA528" s="104" t="e">
        <f t="shared" si="115"/>
        <v>#REF!</v>
      </c>
      <c r="AC528" s="103" t="e">
        <f t="shared" si="116"/>
        <v>#REF!</v>
      </c>
      <c r="AD528" s="103" t="e">
        <f t="shared" si="117"/>
        <v>#REF!</v>
      </c>
      <c r="AE528" s="104" t="e">
        <f t="shared" si="118"/>
        <v>#REF!</v>
      </c>
      <c r="AF528" s="104" t="e">
        <f t="shared" si="118"/>
        <v>#REF!</v>
      </c>
      <c r="AH528" s="103" t="e">
        <f t="shared" si="119"/>
        <v>#REF!</v>
      </c>
      <c r="AI528" s="103" t="e">
        <f t="shared" si="120"/>
        <v>#REF!</v>
      </c>
      <c r="AJ528" s="104" t="e">
        <f t="shared" si="121"/>
        <v>#REF!</v>
      </c>
      <c r="AK528" s="104" t="e">
        <f t="shared" si="121"/>
        <v>#REF!</v>
      </c>
    </row>
    <row r="529" spans="19:37">
      <c r="S529" s="103">
        <f t="shared" si="110"/>
        <v>0</v>
      </c>
      <c r="T529" s="103">
        <f t="shared" si="111"/>
        <v>0</v>
      </c>
      <c r="U529" s="104">
        <f t="shared" si="112"/>
        <v>0</v>
      </c>
      <c r="V529" s="104">
        <f t="shared" si="112"/>
        <v>0</v>
      </c>
      <c r="X529" s="103" t="e">
        <f t="shared" si="113"/>
        <v>#REF!</v>
      </c>
      <c r="Y529" s="103" t="e">
        <f t="shared" si="114"/>
        <v>#REF!</v>
      </c>
      <c r="Z529" s="104" t="e">
        <f t="shared" si="115"/>
        <v>#REF!</v>
      </c>
      <c r="AA529" s="104" t="e">
        <f t="shared" si="115"/>
        <v>#REF!</v>
      </c>
      <c r="AC529" s="103" t="e">
        <f t="shared" si="116"/>
        <v>#REF!</v>
      </c>
      <c r="AD529" s="103" t="e">
        <f t="shared" si="117"/>
        <v>#REF!</v>
      </c>
      <c r="AE529" s="104" t="e">
        <f t="shared" si="118"/>
        <v>#REF!</v>
      </c>
      <c r="AF529" s="104" t="e">
        <f t="shared" si="118"/>
        <v>#REF!</v>
      </c>
      <c r="AH529" s="103" t="e">
        <f t="shared" si="119"/>
        <v>#REF!</v>
      </c>
      <c r="AI529" s="103" t="e">
        <f t="shared" si="120"/>
        <v>#REF!</v>
      </c>
      <c r="AJ529" s="104" t="e">
        <f t="shared" si="121"/>
        <v>#REF!</v>
      </c>
      <c r="AK529" s="104" t="e">
        <f t="shared" si="121"/>
        <v>#REF!</v>
      </c>
    </row>
    <row r="530" spans="19:37">
      <c r="S530" s="103">
        <f t="shared" si="110"/>
        <v>0</v>
      </c>
      <c r="T530" s="103">
        <f t="shared" si="111"/>
        <v>0</v>
      </c>
      <c r="U530" s="104">
        <f t="shared" si="112"/>
        <v>0</v>
      </c>
      <c r="V530" s="104">
        <f t="shared" si="112"/>
        <v>0</v>
      </c>
      <c r="X530" s="103" t="e">
        <f t="shared" si="113"/>
        <v>#REF!</v>
      </c>
      <c r="Y530" s="103" t="e">
        <f t="shared" si="114"/>
        <v>#REF!</v>
      </c>
      <c r="Z530" s="104" t="e">
        <f t="shared" si="115"/>
        <v>#REF!</v>
      </c>
      <c r="AA530" s="104" t="e">
        <f t="shared" si="115"/>
        <v>#REF!</v>
      </c>
      <c r="AC530" s="103" t="e">
        <f t="shared" si="116"/>
        <v>#REF!</v>
      </c>
      <c r="AD530" s="103" t="e">
        <f t="shared" si="117"/>
        <v>#REF!</v>
      </c>
      <c r="AE530" s="104" t="e">
        <f t="shared" si="118"/>
        <v>#REF!</v>
      </c>
      <c r="AF530" s="104" t="e">
        <f t="shared" si="118"/>
        <v>#REF!</v>
      </c>
      <c r="AH530" s="103" t="e">
        <f t="shared" si="119"/>
        <v>#REF!</v>
      </c>
      <c r="AI530" s="103" t="e">
        <f t="shared" si="120"/>
        <v>#REF!</v>
      </c>
      <c r="AJ530" s="104" t="e">
        <f t="shared" si="121"/>
        <v>#REF!</v>
      </c>
      <c r="AK530" s="104" t="e">
        <f t="shared" si="121"/>
        <v>#REF!</v>
      </c>
    </row>
    <row r="531" spans="19:37">
      <c r="S531" s="103">
        <f t="shared" si="110"/>
        <v>0</v>
      </c>
      <c r="T531" s="103">
        <f t="shared" si="111"/>
        <v>0</v>
      </c>
      <c r="U531" s="104">
        <f t="shared" si="112"/>
        <v>0</v>
      </c>
      <c r="V531" s="104">
        <f t="shared" si="112"/>
        <v>0</v>
      </c>
      <c r="X531" s="103" t="e">
        <f t="shared" si="113"/>
        <v>#REF!</v>
      </c>
      <c r="Y531" s="103" t="e">
        <f t="shared" si="114"/>
        <v>#REF!</v>
      </c>
      <c r="Z531" s="104" t="e">
        <f t="shared" si="115"/>
        <v>#REF!</v>
      </c>
      <c r="AA531" s="104" t="e">
        <f t="shared" si="115"/>
        <v>#REF!</v>
      </c>
      <c r="AC531" s="103" t="e">
        <f t="shared" si="116"/>
        <v>#REF!</v>
      </c>
      <c r="AD531" s="103" t="e">
        <f t="shared" si="117"/>
        <v>#REF!</v>
      </c>
      <c r="AE531" s="104" t="e">
        <f t="shared" si="118"/>
        <v>#REF!</v>
      </c>
      <c r="AF531" s="104" t="e">
        <f t="shared" si="118"/>
        <v>#REF!</v>
      </c>
      <c r="AH531" s="103" t="e">
        <f t="shared" si="119"/>
        <v>#REF!</v>
      </c>
      <c r="AI531" s="103" t="e">
        <f t="shared" si="120"/>
        <v>#REF!</v>
      </c>
      <c r="AJ531" s="104" t="e">
        <f t="shared" si="121"/>
        <v>#REF!</v>
      </c>
      <c r="AK531" s="104" t="e">
        <f t="shared" si="121"/>
        <v>#REF!</v>
      </c>
    </row>
    <row r="532" spans="19:37">
      <c r="S532" s="103">
        <f t="shared" si="110"/>
        <v>0</v>
      </c>
      <c r="T532" s="103">
        <f t="shared" si="111"/>
        <v>0</v>
      </c>
      <c r="U532" s="104">
        <f t="shared" si="112"/>
        <v>0</v>
      </c>
      <c r="V532" s="104">
        <f t="shared" si="112"/>
        <v>0</v>
      </c>
      <c r="X532" s="103" t="e">
        <f t="shared" si="113"/>
        <v>#REF!</v>
      </c>
      <c r="Y532" s="103" t="e">
        <f t="shared" si="114"/>
        <v>#REF!</v>
      </c>
      <c r="Z532" s="104" t="e">
        <f t="shared" si="115"/>
        <v>#REF!</v>
      </c>
      <c r="AA532" s="104" t="e">
        <f t="shared" si="115"/>
        <v>#REF!</v>
      </c>
      <c r="AC532" s="103" t="e">
        <f t="shared" si="116"/>
        <v>#REF!</v>
      </c>
      <c r="AD532" s="103" t="e">
        <f t="shared" si="117"/>
        <v>#REF!</v>
      </c>
      <c r="AE532" s="104" t="e">
        <f t="shared" si="118"/>
        <v>#REF!</v>
      </c>
      <c r="AF532" s="104" t="e">
        <f t="shared" si="118"/>
        <v>#REF!</v>
      </c>
      <c r="AH532" s="103" t="e">
        <f t="shared" si="119"/>
        <v>#REF!</v>
      </c>
      <c r="AI532" s="103" t="e">
        <f t="shared" si="120"/>
        <v>#REF!</v>
      </c>
      <c r="AJ532" s="104" t="e">
        <f t="shared" si="121"/>
        <v>#REF!</v>
      </c>
      <c r="AK532" s="104" t="e">
        <f t="shared" si="121"/>
        <v>#REF!</v>
      </c>
    </row>
    <row r="533" spans="19:37">
      <c r="S533" s="103">
        <f t="shared" si="110"/>
        <v>0</v>
      </c>
      <c r="T533" s="103">
        <f t="shared" si="111"/>
        <v>0</v>
      </c>
      <c r="U533" s="104">
        <f t="shared" si="112"/>
        <v>0</v>
      </c>
      <c r="V533" s="104">
        <f t="shared" si="112"/>
        <v>0</v>
      </c>
      <c r="X533" s="103" t="e">
        <f t="shared" si="113"/>
        <v>#REF!</v>
      </c>
      <c r="Y533" s="103" t="e">
        <f t="shared" si="114"/>
        <v>#REF!</v>
      </c>
      <c r="Z533" s="104" t="e">
        <f t="shared" si="115"/>
        <v>#REF!</v>
      </c>
      <c r="AA533" s="104" t="e">
        <f t="shared" si="115"/>
        <v>#REF!</v>
      </c>
      <c r="AC533" s="103" t="e">
        <f t="shared" si="116"/>
        <v>#REF!</v>
      </c>
      <c r="AD533" s="103" t="e">
        <f t="shared" si="117"/>
        <v>#REF!</v>
      </c>
      <c r="AE533" s="104" t="e">
        <f t="shared" si="118"/>
        <v>#REF!</v>
      </c>
      <c r="AF533" s="104" t="e">
        <f t="shared" si="118"/>
        <v>#REF!</v>
      </c>
      <c r="AH533" s="103" t="e">
        <f t="shared" si="119"/>
        <v>#REF!</v>
      </c>
      <c r="AI533" s="103" t="e">
        <f t="shared" si="120"/>
        <v>#REF!</v>
      </c>
      <c r="AJ533" s="104" t="e">
        <f t="shared" si="121"/>
        <v>#REF!</v>
      </c>
      <c r="AK533" s="104" t="e">
        <f t="shared" si="121"/>
        <v>#REF!</v>
      </c>
    </row>
    <row r="534" spans="19:37">
      <c r="S534" s="103">
        <f>IF($A534&lt;&gt;"(DC)", $E534*$R$7, $E534)</f>
        <v>0</v>
      </c>
      <c r="T534" s="103">
        <f>IF($A534&lt;&gt;"(DC)", $F534*$R$7, $F534)</f>
        <v>0</v>
      </c>
      <c r="U534" s="104">
        <f t="shared" ref="U534:V536" si="122">IF(AND($D534="",S534=""),"",IF($D534="",S534,$D534+S534))</f>
        <v>0</v>
      </c>
      <c r="V534" s="104">
        <f t="shared" si="122"/>
        <v>0</v>
      </c>
      <c r="X534" s="103" t="e">
        <f>IF($A534&lt;&gt;"(DC)", $E534*$W$7, $E534)</f>
        <v>#REF!</v>
      </c>
      <c r="Y534" s="103" t="e">
        <f>IF($A534&lt;&gt;"(DC)", $F534*$W$7, $F534)</f>
        <v>#REF!</v>
      </c>
      <c r="Z534" s="104" t="e">
        <f t="shared" ref="Z534:AA536" si="123">IF(AND($D534="",X534=""),"",IF($D534="",X534,$D534+X534))</f>
        <v>#REF!</v>
      </c>
      <c r="AA534" s="104" t="e">
        <f t="shared" si="123"/>
        <v>#REF!</v>
      </c>
      <c r="AC534" s="103" t="e">
        <f>IF($A534&lt;&gt;"(DC)", $E534*$W$7, $E534)</f>
        <v>#REF!</v>
      </c>
      <c r="AD534" s="103" t="e">
        <f>IF($A534&lt;&gt;"(DC)", $F534*$W$7, $F534)</f>
        <v>#REF!</v>
      </c>
      <c r="AE534" s="104" t="e">
        <f t="shared" ref="AE534:AF536" si="124">IF(AND($D534="",AC534=""),"",IF($D534="",AC534,$D534+AC534))</f>
        <v>#REF!</v>
      </c>
      <c r="AF534" s="104" t="e">
        <f t="shared" si="124"/>
        <v>#REF!</v>
      </c>
      <c r="AH534" s="103" t="e">
        <f>IF($A534&lt;&gt;"(DC)", $E534*$AG$7, $E534)</f>
        <v>#REF!</v>
      </c>
      <c r="AI534" s="103" t="e">
        <f>IF($A534&lt;&gt;"(DC)", $F534*$AG$7, $F534)</f>
        <v>#REF!</v>
      </c>
      <c r="AJ534" s="104" t="e">
        <f t="shared" ref="AJ534:AK536" si="125">IF(AND($D534="",AH534=""),"",IF($D534="",AH534,$D534+AH534))</f>
        <v>#REF!</v>
      </c>
      <c r="AK534" s="104" t="e">
        <f t="shared" si="125"/>
        <v>#REF!</v>
      </c>
    </row>
    <row r="535" spans="19:37">
      <c r="S535" s="103">
        <f>IF($A535&lt;&gt;"(DC)", $E535*$R$7, $E535)</f>
        <v>0</v>
      </c>
      <c r="T535" s="103">
        <f>IF($A535&lt;&gt;"(DC)", $F535*$R$7, $F535)</f>
        <v>0</v>
      </c>
      <c r="U535" s="104">
        <f t="shared" si="122"/>
        <v>0</v>
      </c>
      <c r="V535" s="104">
        <f t="shared" si="122"/>
        <v>0</v>
      </c>
      <c r="X535" s="103" t="e">
        <f>IF($A535&lt;&gt;"(DC)", $E535*$W$7, $E535)</f>
        <v>#REF!</v>
      </c>
      <c r="Y535" s="103" t="e">
        <f>IF($A535&lt;&gt;"(DC)", $F535*$W$7, $F535)</f>
        <v>#REF!</v>
      </c>
      <c r="Z535" s="104" t="e">
        <f t="shared" si="123"/>
        <v>#REF!</v>
      </c>
      <c r="AA535" s="104" t="e">
        <f t="shared" si="123"/>
        <v>#REF!</v>
      </c>
      <c r="AC535" s="103" t="e">
        <f>IF($A535&lt;&gt;"(DC)", $E535*$W$7, $E535)</f>
        <v>#REF!</v>
      </c>
      <c r="AD535" s="103" t="e">
        <f>IF($A535&lt;&gt;"(DC)", $F535*$W$7, $F535)</f>
        <v>#REF!</v>
      </c>
      <c r="AE535" s="104" t="e">
        <f t="shared" si="124"/>
        <v>#REF!</v>
      </c>
      <c r="AF535" s="104" t="e">
        <f t="shared" si="124"/>
        <v>#REF!</v>
      </c>
      <c r="AH535" s="103" t="e">
        <f>IF($A535&lt;&gt;"(DC)", $E535*$AG$7, $E535)</f>
        <v>#REF!</v>
      </c>
      <c r="AI535" s="103" t="e">
        <f>IF($A535&lt;&gt;"(DC)", $F535*$AG$7, $F535)</f>
        <v>#REF!</v>
      </c>
      <c r="AJ535" s="104" t="e">
        <f t="shared" si="125"/>
        <v>#REF!</v>
      </c>
      <c r="AK535" s="104" t="e">
        <f t="shared" si="125"/>
        <v>#REF!</v>
      </c>
    </row>
    <row r="536" spans="19:37">
      <c r="S536" s="103">
        <f>IF($A536&lt;&gt;"(DC)", $E536*$R$7, $E536)</f>
        <v>0</v>
      </c>
      <c r="T536" s="103">
        <f>IF($A536&lt;&gt;"(DC)", $F536*$R$7, $F536)</f>
        <v>0</v>
      </c>
      <c r="U536" s="104">
        <f t="shared" si="122"/>
        <v>0</v>
      </c>
      <c r="V536" s="104">
        <f t="shared" si="122"/>
        <v>0</v>
      </c>
      <c r="X536" s="103" t="e">
        <f>IF($A536&lt;&gt;"(DC)", $E536*$W$7, $E536)</f>
        <v>#REF!</v>
      </c>
      <c r="Y536" s="103" t="e">
        <f>IF($A536&lt;&gt;"(DC)", $F536*$W$7, $F536)</f>
        <v>#REF!</v>
      </c>
      <c r="Z536" s="104" t="e">
        <f t="shared" si="123"/>
        <v>#REF!</v>
      </c>
      <c r="AA536" s="104" t="e">
        <f t="shared" si="123"/>
        <v>#REF!</v>
      </c>
      <c r="AC536" s="103" t="e">
        <f>IF($A536&lt;&gt;"(DC)", $E536*$W$7, $E536)</f>
        <v>#REF!</v>
      </c>
      <c r="AD536" s="103" t="e">
        <f>IF($A536&lt;&gt;"(DC)", $F536*$W$7, $F536)</f>
        <v>#REF!</v>
      </c>
      <c r="AE536" s="104" t="e">
        <f t="shared" si="124"/>
        <v>#REF!</v>
      </c>
      <c r="AF536" s="104" t="e">
        <f t="shared" si="124"/>
        <v>#REF!</v>
      </c>
      <c r="AH536" s="103" t="e">
        <f>IF($A536&lt;&gt;"(DC)", $E536*$AG$7, $E536)</f>
        <v>#REF!</v>
      </c>
      <c r="AI536" s="103" t="e">
        <f>IF($A536&lt;&gt;"(DC)", $F536*$AG$7, $F536)</f>
        <v>#REF!</v>
      </c>
      <c r="AJ536" s="104" t="e">
        <f t="shared" si="125"/>
        <v>#REF!</v>
      </c>
      <c r="AK536" s="104" t="e">
        <f t="shared" si="125"/>
        <v>#REF!</v>
      </c>
    </row>
  </sheetData>
  <sheetProtection formatCells="0"/>
  <mergeCells count="17">
    <mergeCell ref="L8:M8"/>
    <mergeCell ref="N8:O8"/>
    <mergeCell ref="P8:Q8"/>
    <mergeCell ref="J9:K9"/>
    <mergeCell ref="L9:M9"/>
    <mergeCell ref="N9:O9"/>
    <mergeCell ref="A1:K1"/>
    <mergeCell ref="E4:H4"/>
    <mergeCell ref="E5:H5"/>
    <mergeCell ref="E6:H6"/>
    <mergeCell ref="B8:H8"/>
    <mergeCell ref="J8:K8"/>
    <mergeCell ref="P9:Q9"/>
    <mergeCell ref="X9:AA9"/>
    <mergeCell ref="AC9:AF9"/>
    <mergeCell ref="AH9:AK9"/>
    <mergeCell ref="S9:V9"/>
  </mergeCells>
  <phoneticPr fontId="38" type="noConversion"/>
  <conditionalFormatting sqref="D11:D140 D242:D247">
    <cfRule type="expression" dxfId="71" priority="54">
      <formula>AND(#REF!&lt;&gt;"Tolerance",$D11&lt;&gt;"")</formula>
    </cfRule>
  </conditionalFormatting>
  <conditionalFormatting sqref="D141:D142 D145:D146 D216:D217">
    <cfRule type="expression" dxfId="70" priority="41">
      <formula>AND(#REF!&lt;&gt;"Tolerance",#REF!&lt;&gt;"")</formula>
    </cfRule>
    <cfRule type="expression" dxfId="69" priority="42">
      <formula>AND(OR(#REF!="GD&amp;T",#REF!="MAX",#REF!="MIN"),#REF!="")</formula>
    </cfRule>
    <cfRule type="containsBlanks" dxfId="68" priority="43">
      <formula>LEN(TRIM(#REF!))=0</formula>
    </cfRule>
    <cfRule type="expression" dxfId="67" priority="44">
      <formula>AND(#REF!&lt;&gt;"Tolerance",#REF!&lt;&gt;"")</formula>
    </cfRule>
    <cfRule type="expression" dxfId="66" priority="45">
      <formula>AND(OR(#REF!="GD&amp;T",#REF!="MAX",#REF!="MIN"),#REF!="")</formula>
    </cfRule>
  </conditionalFormatting>
  <conditionalFormatting sqref="D143:D144 D149:D151 D167:D168 D192 D195:D199">
    <cfRule type="expression" dxfId="65" priority="12">
      <formula>AND(#REF!&lt;&gt;"Tolerance",$D143&lt;&gt;"")</formula>
    </cfRule>
  </conditionalFormatting>
  <conditionalFormatting sqref="D147:D148">
    <cfRule type="containsBlanks" dxfId="64" priority="2">
      <formula>LEN(TRIM(D147))=0</formula>
    </cfRule>
  </conditionalFormatting>
  <conditionalFormatting sqref="D149 D167:D168 D192 D195 D11:D140 D143:D144 D151">
    <cfRule type="expression" dxfId="63" priority="10">
      <formula>AND(OR(#REF!="GD&amp;T",#REF!="MAX",#REF!="MIN"),$D11="")</formula>
    </cfRule>
  </conditionalFormatting>
  <conditionalFormatting sqref="D150:D156 D196:D202">
    <cfRule type="expression" dxfId="62" priority="13">
      <formula>AND(OR(#REF!="GD&amp;T",#REF!="MAX",#REF!="MIN"),$D150="")</formula>
    </cfRule>
    <cfRule type="containsBlanks" dxfId="61" priority="14">
      <formula>LEN(TRIM(D150))=0</formula>
    </cfRule>
  </conditionalFormatting>
  <conditionalFormatting sqref="D152 D161:D166 D169:D176 D147:D148 D154:D155 D183 D190 D201:D213">
    <cfRule type="expression" dxfId="60" priority="9">
      <formula>AND(#REF!&lt;&gt;"Tolerance",$D147&lt;&gt;"")</formula>
    </cfRule>
  </conditionalFormatting>
  <conditionalFormatting sqref="D152">
    <cfRule type="containsBlanks" dxfId="59" priority="8">
      <formula>LEN(TRIM(D152))=0</formula>
    </cfRule>
  </conditionalFormatting>
  <conditionalFormatting sqref="D152:D160 D200:D215">
    <cfRule type="expression" dxfId="58" priority="20">
      <formula>AND(OR(#REF!="GD&amp;T",#REF!="MAX",#REF!="MIN"),$D152="")</formula>
    </cfRule>
  </conditionalFormatting>
  <conditionalFormatting sqref="D153">
    <cfRule type="expression" dxfId="57" priority="17">
      <formula>AND(#REF!&lt;&gt;"Tolerance",$D153&lt;&gt;"")</formula>
    </cfRule>
    <cfRule type="containsBlanks" dxfId="56" priority="18">
      <formula>LEN(TRIM(D153))=0</formula>
    </cfRule>
  </conditionalFormatting>
  <conditionalFormatting sqref="D156:D158">
    <cfRule type="expression" dxfId="55" priority="19">
      <formula>AND(#REF!&lt;&gt;"Tolerance",$D156&lt;&gt;"")</formula>
    </cfRule>
  </conditionalFormatting>
  <conditionalFormatting sqref="D157:D160">
    <cfRule type="containsBlanks" dxfId="54" priority="4">
      <formula>LEN(TRIM(D157))=0</formula>
    </cfRule>
  </conditionalFormatting>
  <conditionalFormatting sqref="D159:D160 D200">
    <cfRule type="expression" dxfId="53" priority="22">
      <formula>AND(#REF!&lt;&gt;"Tolerance",$D159&lt;&gt;"")</formula>
    </cfRule>
  </conditionalFormatting>
  <conditionalFormatting sqref="D161:D163">
    <cfRule type="expression" dxfId="52" priority="15">
      <formula>AND(OR(#REF!="GD&amp;T",#REF!="MAX",#REF!="MIN"),$D161="")</formula>
    </cfRule>
    <cfRule type="containsBlanks" dxfId="51" priority="16">
      <formula>LEN(TRIM(D161))=0</formula>
    </cfRule>
  </conditionalFormatting>
  <conditionalFormatting sqref="D164:D166 D169:D176">
    <cfRule type="containsBlanks" dxfId="50" priority="7">
      <formula>LEN(TRIM(D164))=0</formula>
    </cfRule>
  </conditionalFormatting>
  <conditionalFormatting sqref="D190:D196">
    <cfRule type="expression" dxfId="49" priority="26">
      <formula>AND(OR(#REF!="GD&amp;T",#REF!="MAX",#REF!="MIN"),$D190="")</formula>
    </cfRule>
  </conditionalFormatting>
  <conditionalFormatting sqref="D191:D194">
    <cfRule type="expression" dxfId="48" priority="23">
      <formula>AND(OR(#REF!="GD&amp;T",#REF!="MAX",#REF!="MIN"),$D191="")</formula>
    </cfRule>
    <cfRule type="containsBlanks" dxfId="47" priority="24">
      <formula>LEN(TRIM(D191))=0</formula>
    </cfRule>
    <cfRule type="expression" dxfId="46" priority="25">
      <formula>AND(#REF!&lt;&gt;"Tolerance",$D191&lt;&gt;"")</formula>
    </cfRule>
  </conditionalFormatting>
  <conditionalFormatting sqref="D214:D215 D220:D222 D238:D239 D263 D266:D270 D290:D307 D312:D330">
    <cfRule type="expression" dxfId="45" priority="57">
      <formula>AND(#REF!&lt;&gt;"Tolerance",$D214&lt;&gt;"")</formula>
    </cfRule>
  </conditionalFormatting>
  <conditionalFormatting sqref="D218:D219">
    <cfRule type="containsBlanks" dxfId="44" priority="34">
      <formula>LEN(TRIM(D218))=0</formula>
    </cfRule>
  </conditionalFormatting>
  <conditionalFormatting sqref="D218:D226 D228:D247 D254 D261 D272:D330 D266:D267 D157:D176 D147:D150 D143:D144 D183">
    <cfRule type="expression" dxfId="43" priority="52">
      <formula>AND(OR(#REF!="GD&amp;T",#REF!="MAX",#REF!="MIN"),$D143="")</formula>
    </cfRule>
  </conditionalFormatting>
  <conditionalFormatting sqref="D218:D247 D261:D330 D190:D215 D11:D140 D143:D144 D147:D176 D183 D254">
    <cfRule type="expression" dxfId="42" priority="68">
      <formula>AND(#REF!&lt;&gt;"Tolerance",$D11&lt;&gt;"")</formula>
    </cfRule>
  </conditionalFormatting>
  <conditionalFormatting sqref="D221:D227 D267:D273">
    <cfRule type="expression" dxfId="41" priority="58">
      <formula>AND(OR(#REF!="GD&amp;T",#REF!="MAX",#REF!="MIN"),$D221="")</formula>
    </cfRule>
    <cfRule type="containsBlanks" dxfId="40" priority="59">
      <formula>LEN(TRIM(D221))=0</formula>
    </cfRule>
  </conditionalFormatting>
  <conditionalFormatting sqref="D223 D232:D237 D240:D241 D218:D219 D225:D226 D254 D261 D272:D289">
    <cfRule type="expression" dxfId="39" priority="51">
      <formula>AND(#REF!&lt;&gt;"Tolerance",$D218&lt;&gt;"")</formula>
    </cfRule>
  </conditionalFormatting>
  <conditionalFormatting sqref="D223">
    <cfRule type="containsBlanks" dxfId="38" priority="40">
      <formula>LEN(TRIM(D223))=0</formula>
    </cfRule>
  </conditionalFormatting>
  <conditionalFormatting sqref="D224">
    <cfRule type="expression" dxfId="37" priority="62">
      <formula>AND(#REF!&lt;&gt;"Tolerance",$D224&lt;&gt;"")</formula>
    </cfRule>
    <cfRule type="containsBlanks" dxfId="36" priority="63">
      <formula>LEN(TRIM(D224))=0</formula>
    </cfRule>
  </conditionalFormatting>
  <conditionalFormatting sqref="D227:D229">
    <cfRule type="expression" dxfId="35" priority="64">
      <formula>AND(#REF!&lt;&gt;"Tolerance",$D227&lt;&gt;"")</formula>
    </cfRule>
  </conditionalFormatting>
  <conditionalFormatting sqref="D227:D231">
    <cfRule type="expression" dxfId="34" priority="65">
      <formula>AND(OR(#REF!="GD&amp;T",#REF!="MAX",#REF!="MIN"),$D227="")</formula>
    </cfRule>
  </conditionalFormatting>
  <conditionalFormatting sqref="D228:D231">
    <cfRule type="containsBlanks" dxfId="33" priority="36">
      <formula>LEN(TRIM(D228))=0</formula>
    </cfRule>
  </conditionalFormatting>
  <conditionalFormatting sqref="D232:D234">
    <cfRule type="containsBlanks" dxfId="32" priority="61">
      <formula>LEN(TRIM(D232))=0</formula>
    </cfRule>
  </conditionalFormatting>
  <conditionalFormatting sqref="D235:D237 D240:D241">
    <cfRule type="containsBlanks" dxfId="31" priority="39">
      <formula>LEN(TRIM(D235))=0</formula>
    </cfRule>
  </conditionalFormatting>
  <conditionalFormatting sqref="D242:D247 D135:D138">
    <cfRule type="containsBlanks" dxfId="30" priority="53">
      <formula>LEN(TRIM(D135))=0</formula>
    </cfRule>
  </conditionalFormatting>
  <conditionalFormatting sqref="D262:D265">
    <cfRule type="expression" dxfId="29" priority="69">
      <formula>AND(OR(#REF!="GD&amp;T",#REF!="MAX",#REF!="MIN"),$D262="")</formula>
    </cfRule>
    <cfRule type="containsBlanks" dxfId="28" priority="70">
      <formula>LEN(TRIM(D262))=0</formula>
    </cfRule>
    <cfRule type="expression" dxfId="27" priority="71">
      <formula>AND(#REF!&lt;&gt;"Tolerance",$D262&lt;&gt;"")</formula>
    </cfRule>
    <cfRule type="expression" dxfId="26" priority="72">
      <formula>AND(OR(#REF!="GD&amp;T",#REF!="MAX",#REF!="MIN"),$D262="")</formula>
    </cfRule>
  </conditionalFormatting>
  <conditionalFormatting sqref="D263 D220 D222 D238:D239 D266 D290:D307 D312:D330 D214:D215">
    <cfRule type="containsBlanks" dxfId="25" priority="56">
      <formula>LEN(TRIM(D214))=0</formula>
    </cfRule>
  </conditionalFormatting>
  <conditionalFormatting sqref="D263">
    <cfRule type="expression" dxfId="24" priority="55">
      <formula>AND(OR(#REF!="GD&amp;T",#REF!="MAX",#REF!="MIN"),$D263="")</formula>
    </cfRule>
  </conditionalFormatting>
  <conditionalFormatting sqref="D271 D230:D231">
    <cfRule type="expression" dxfId="23" priority="67">
      <formula>AND(#REF!&lt;&gt;"Tolerance",$D230&lt;&gt;"")</formula>
    </cfRule>
  </conditionalFormatting>
  <conditionalFormatting sqref="D271">
    <cfRule type="expression" dxfId="22" priority="66">
      <formula>AND(OR(#REF!="GD&amp;T",#REF!="MAX",#REF!="MIN"),$D271="")</formula>
    </cfRule>
  </conditionalFormatting>
  <conditionalFormatting sqref="D308:D311">
    <cfRule type="expression" dxfId="21" priority="27">
      <formula>AND(#REF!&lt;&gt;"Tolerance",$D308&lt;&gt;"")</formula>
    </cfRule>
  </conditionalFormatting>
  <conditionalFormatting sqref="D11:F144 D149 D151 D167:D168 D192 D195">
    <cfRule type="containsBlanks" dxfId="20" priority="11">
      <formula>LEN(TRIM(D11))=0</formula>
    </cfRule>
  </conditionalFormatting>
  <conditionalFormatting sqref="D141:F142 D145:F146 D216:F217">
    <cfRule type="containsBlanks" dxfId="19" priority="46">
      <formula>LEN(TRIM(#REF!))=0</formula>
    </cfRule>
  </conditionalFormatting>
  <conditionalFormatting sqref="D147:F150">
    <cfRule type="containsBlanks" dxfId="18" priority="6">
      <formula>LEN(TRIM(D147))=0</formula>
    </cfRule>
  </conditionalFormatting>
  <conditionalFormatting sqref="D154:F176 D183:F183">
    <cfRule type="containsBlanks" dxfId="17" priority="3">
      <formula>LEN(TRIM(D154))=0</formula>
    </cfRule>
  </conditionalFormatting>
  <conditionalFormatting sqref="D190:F215">
    <cfRule type="containsBlanks" dxfId="16" priority="1">
      <formula>LEN(TRIM(D190))=0</formula>
    </cfRule>
  </conditionalFormatting>
  <conditionalFormatting sqref="D218:F221">
    <cfRule type="containsBlanks" dxfId="15" priority="38">
      <formula>LEN(TRIM(D218))=0</formula>
    </cfRule>
  </conditionalFormatting>
  <conditionalFormatting sqref="D225:F247 D254:F254">
    <cfRule type="containsBlanks" dxfId="14" priority="35">
      <formula>LEN(TRIM(D225))=0</formula>
    </cfRule>
  </conditionalFormatting>
  <conditionalFormatting sqref="D261:F330">
    <cfRule type="containsBlanks" dxfId="13" priority="32">
      <formula>LEN(TRIM(D261))=0</formula>
    </cfRule>
  </conditionalFormatting>
  <conditionalFormatting sqref="E11:E140 E143:E144 E147:E176 E183 E190:E215 E218:E247 E254 E261:E330">
    <cfRule type="expression" dxfId="12" priority="74">
      <formula>AND(#REF!="MIN",$E11&lt;&gt;"")</formula>
    </cfRule>
  </conditionalFormatting>
  <conditionalFormatting sqref="E141:E142 E145:E146 E216:E217">
    <cfRule type="expression" dxfId="11" priority="47">
      <formula>AND(#REF!="MIN",#REF!&lt;&gt;"")</formula>
    </cfRule>
    <cfRule type="expression" dxfId="10" priority="48">
      <formula>AND(#REF!="MIN",#REF!="")</formula>
    </cfRule>
  </conditionalFormatting>
  <conditionalFormatting sqref="E218:E247 E254 E261:E330 E11:E140 E143:E144 E147:E176 E183 E190:E215">
    <cfRule type="expression" dxfId="9" priority="73">
      <formula>AND(#REF!="MIN",$E11="")</formula>
    </cfRule>
  </conditionalFormatting>
  <conditionalFormatting sqref="E151:F153">
    <cfRule type="containsBlanks" dxfId="8" priority="5">
      <formula>LEN(TRIM(E151))=0</formula>
    </cfRule>
  </conditionalFormatting>
  <conditionalFormatting sqref="E222:F224">
    <cfRule type="containsBlanks" dxfId="7" priority="37">
      <formula>LEN(TRIM(E222))=0</formula>
    </cfRule>
  </conditionalFormatting>
  <conditionalFormatting sqref="F11:F140 F143:F144 F147:F176 F183 F190:F215 F218:F247 F254 F261:F330">
    <cfRule type="expression" dxfId="6" priority="76">
      <formula>AND(OR(#REF!="GD&amp;T",#REF!="MAX"),$F11&lt;&gt;"")</formula>
    </cfRule>
  </conditionalFormatting>
  <conditionalFormatting sqref="F141:F142 F145:F146 F216:F217">
    <cfRule type="expression" dxfId="5" priority="49">
      <formula>AND(OR(#REF!="GD&amp;T",#REF!="MAX"),#REF!&lt;&gt;"")</formula>
    </cfRule>
    <cfRule type="expression" dxfId="4" priority="50">
      <formula>AND(OR(#REF!="GD&amp;T",#REF!="MAX"),#REF!="")</formula>
    </cfRule>
  </conditionalFormatting>
  <conditionalFormatting sqref="F218:F247 F254 F261:F330 F11:F140 F143:F144 F147:F176 F183 F190:F215">
    <cfRule type="expression" dxfId="3" priority="75">
      <formula>AND(OR(#REF!="GD&amp;T",#REF!="MAX"),$F11="")</formula>
    </cfRule>
  </conditionalFormatting>
  <conditionalFormatting sqref="J11:Q332">
    <cfRule type="expression" dxfId="2" priority="28">
      <formula>AND($G11&lt;&gt;"",#REF!&lt;&gt;"",J11&gt;$G11)</formula>
    </cfRule>
    <cfRule type="notContainsBlanks" dxfId="1" priority="29">
      <formula>LEN(TRIM(J11))&gt;0</formula>
    </cfRule>
    <cfRule type="expression" dxfId="0" priority="30">
      <formula>AND($H11&lt;&gt;"",#REF!&lt;&gt;"",J11&lt;$H11)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"/>
  <dimension ref="C1"/>
  <sheetViews>
    <sheetView zoomScale="70" zoomScaleNormal="70" workbookViewId="0">
      <selection activeCell="A3" sqref="A3:A10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3" ht="20.25" customHeight="1">
      <c r="C1" s="6"/>
    </row>
  </sheetData>
  <phoneticPr fontId="14" type="noConversion"/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L32"/>
  <sheetViews>
    <sheetView workbookViewId="0">
      <selection activeCell="E18" sqref="E18"/>
    </sheetView>
  </sheetViews>
  <sheetFormatPr defaultColWidth="11.109375" defaultRowHeight="17.25"/>
  <cols>
    <col min="4" max="4" width="11.6640625" customWidth="1"/>
    <col min="8" max="8" width="20" style="29" customWidth="1"/>
    <col min="9" max="9" width="10.6640625" style="29"/>
    <col min="10" max="10" width="16" style="29" customWidth="1"/>
  </cols>
  <sheetData>
    <row r="1" spans="1:12" ht="51.75">
      <c r="A1" s="210" t="s">
        <v>28</v>
      </c>
      <c r="B1" s="210"/>
      <c r="H1" s="32" t="s">
        <v>29</v>
      </c>
      <c r="I1" s="33"/>
      <c r="J1" s="32" t="s">
        <v>41</v>
      </c>
      <c r="L1" s="32" t="s">
        <v>79</v>
      </c>
    </row>
    <row r="2" spans="1:12">
      <c r="A2" s="29" t="s">
        <v>47</v>
      </c>
      <c r="B2" s="29" t="s">
        <v>48</v>
      </c>
      <c r="H2" s="29" t="s">
        <v>30</v>
      </c>
      <c r="J2" s="29" t="s">
        <v>45</v>
      </c>
      <c r="L2" s="29" t="s">
        <v>80</v>
      </c>
    </row>
    <row r="3" spans="1:12">
      <c r="H3" s="29" t="s">
        <v>31</v>
      </c>
      <c r="J3" s="29" t="s">
        <v>42</v>
      </c>
      <c r="L3" s="29" t="s">
        <v>81</v>
      </c>
    </row>
    <row r="4" spans="1:12">
      <c r="H4" s="29" t="s">
        <v>32</v>
      </c>
      <c r="J4" s="29" t="s">
        <v>43</v>
      </c>
      <c r="L4" s="29"/>
    </row>
    <row r="5" spans="1:12">
      <c r="H5" s="29" t="s">
        <v>12</v>
      </c>
      <c r="J5" s="29" t="s">
        <v>44</v>
      </c>
      <c r="L5" s="29"/>
    </row>
    <row r="6" spans="1:12">
      <c r="H6" s="29" t="s">
        <v>33</v>
      </c>
    </row>
    <row r="7" spans="1:12">
      <c r="H7" s="29" t="s">
        <v>34</v>
      </c>
    </row>
    <row r="8" spans="1:12">
      <c r="H8" s="29" t="s">
        <v>35</v>
      </c>
    </row>
    <row r="9" spans="1:12">
      <c r="H9" s="29" t="s">
        <v>36</v>
      </c>
    </row>
    <row r="10" spans="1:12">
      <c r="H10" s="29" t="s">
        <v>37</v>
      </c>
    </row>
    <row r="11" spans="1:12">
      <c r="A11">
        <v>70</v>
      </c>
      <c r="B11">
        <v>45</v>
      </c>
      <c r="D11" t="s">
        <v>91</v>
      </c>
      <c r="H11" s="29" t="s">
        <v>38</v>
      </c>
    </row>
    <row r="12" spans="1:12">
      <c r="A12">
        <v>70</v>
      </c>
      <c r="B12">
        <v>165</v>
      </c>
      <c r="D12" t="s">
        <v>93</v>
      </c>
      <c r="H12" s="29" t="s">
        <v>39</v>
      </c>
    </row>
    <row r="13" spans="1:12">
      <c r="A13">
        <v>70</v>
      </c>
      <c r="B13">
        <v>285</v>
      </c>
      <c r="D13" t="s">
        <v>92</v>
      </c>
      <c r="H13" s="29" t="s">
        <v>40</v>
      </c>
    </row>
    <row r="14" spans="1:12">
      <c r="A14">
        <v>70</v>
      </c>
      <c r="B14">
        <v>405</v>
      </c>
      <c r="D14" t="s">
        <v>103</v>
      </c>
    </row>
    <row r="15" spans="1:12">
      <c r="A15">
        <v>70</v>
      </c>
      <c r="B15">
        <v>525</v>
      </c>
      <c r="D15" t="s">
        <v>104</v>
      </c>
    </row>
    <row r="16" spans="1:12">
      <c r="A16">
        <v>70</v>
      </c>
      <c r="B16">
        <v>645</v>
      </c>
      <c r="D16" t="s">
        <v>90</v>
      </c>
    </row>
    <row r="17" spans="1:4">
      <c r="A17">
        <v>70</v>
      </c>
      <c r="B17">
        <v>765</v>
      </c>
      <c r="D17" t="s">
        <v>105</v>
      </c>
    </row>
    <row r="18" spans="1:4">
      <c r="A18">
        <v>70</v>
      </c>
      <c r="B18">
        <v>885</v>
      </c>
      <c r="D18" t="s">
        <v>106</v>
      </c>
    </row>
    <row r="19" spans="1:4">
      <c r="A19">
        <v>70</v>
      </c>
      <c r="B19">
        <v>1005</v>
      </c>
      <c r="D19" t="s">
        <v>108</v>
      </c>
    </row>
    <row r="20" spans="1:4">
      <c r="A20">
        <v>70</v>
      </c>
      <c r="B20">
        <v>1125</v>
      </c>
      <c r="D20" t="s">
        <v>109</v>
      </c>
    </row>
    <row r="21" spans="1:4">
      <c r="A21">
        <v>270</v>
      </c>
      <c r="B21">
        <v>45</v>
      </c>
      <c r="D21" t="s">
        <v>110</v>
      </c>
    </row>
    <row r="22" spans="1:4">
      <c r="A22">
        <v>270</v>
      </c>
      <c r="B22">
        <v>165</v>
      </c>
      <c r="D22" t="s">
        <v>111</v>
      </c>
    </row>
    <row r="23" spans="1:4">
      <c r="A23">
        <v>270</v>
      </c>
      <c r="B23">
        <v>285</v>
      </c>
      <c r="D23" t="s">
        <v>112</v>
      </c>
    </row>
    <row r="24" spans="1:4">
      <c r="A24">
        <v>270</v>
      </c>
      <c r="B24">
        <v>405</v>
      </c>
      <c r="D24" t="s">
        <v>113</v>
      </c>
    </row>
    <row r="25" spans="1:4">
      <c r="A25">
        <v>270</v>
      </c>
      <c r="B25">
        <v>525</v>
      </c>
      <c r="D25" t="s">
        <v>114</v>
      </c>
    </row>
    <row r="26" spans="1:4">
      <c r="A26">
        <v>270</v>
      </c>
      <c r="B26">
        <v>645</v>
      </c>
      <c r="D26" t="s">
        <v>115</v>
      </c>
    </row>
    <row r="27" spans="1:4">
      <c r="A27">
        <v>270</v>
      </c>
      <c r="B27">
        <v>765</v>
      </c>
      <c r="D27" t="s">
        <v>116</v>
      </c>
    </row>
    <row r="28" spans="1:4">
      <c r="A28">
        <v>270</v>
      </c>
      <c r="B28">
        <v>885</v>
      </c>
      <c r="D28" t="s">
        <v>117</v>
      </c>
    </row>
    <row r="29" spans="1:4">
      <c r="A29">
        <v>270</v>
      </c>
      <c r="B29">
        <v>1005</v>
      </c>
      <c r="D29" t="s">
        <v>38</v>
      </c>
    </row>
    <row r="30" spans="1:4">
      <c r="A30">
        <v>270</v>
      </c>
      <c r="B30">
        <v>1125</v>
      </c>
      <c r="D30" t="s">
        <v>107</v>
      </c>
    </row>
    <row r="31" spans="1:4">
      <c r="A31">
        <v>470</v>
      </c>
      <c r="B31">
        <v>45</v>
      </c>
      <c r="D31" t="s">
        <v>118</v>
      </c>
    </row>
    <row r="32" spans="1:4">
      <c r="A32">
        <v>470</v>
      </c>
      <c r="B32">
        <v>165</v>
      </c>
      <c r="D32" t="s">
        <v>119</v>
      </c>
    </row>
  </sheetData>
  <mergeCells count="1">
    <mergeCell ref="A1:B1"/>
  </mergeCells>
  <phoneticPr fontId="37" type="noConversion"/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D18"/>
  <sheetViews>
    <sheetView workbookViewId="0">
      <selection activeCell="A3" sqref="A3:A10"/>
    </sheetView>
  </sheetViews>
  <sheetFormatPr defaultColWidth="11.109375" defaultRowHeight="17.25"/>
  <cols>
    <col min="1" max="2" width="10.6640625" style="62"/>
    <col min="3" max="3" width="11.6640625" style="62" customWidth="1"/>
    <col min="4" max="4" width="92.109375" style="63" customWidth="1"/>
  </cols>
  <sheetData>
    <row r="1" spans="1:4" ht="26.25">
      <c r="A1" s="211" t="s">
        <v>54</v>
      </c>
      <c r="B1" s="211"/>
      <c r="C1" s="211"/>
      <c r="D1" s="211"/>
    </row>
    <row r="3" spans="1:4">
      <c r="A3" s="60" t="s">
        <v>50</v>
      </c>
      <c r="B3" s="60" t="s">
        <v>51</v>
      </c>
      <c r="C3" s="60" t="s">
        <v>52</v>
      </c>
      <c r="D3" s="61" t="s">
        <v>53</v>
      </c>
    </row>
    <row r="4" spans="1:4">
      <c r="A4" s="62">
        <v>1</v>
      </c>
      <c r="B4" s="76">
        <v>41649</v>
      </c>
      <c r="C4" s="62" t="s">
        <v>55</v>
      </c>
      <c r="D4" s="63" t="s">
        <v>56</v>
      </c>
    </row>
    <row r="5" spans="1:4" ht="172.5">
      <c r="A5" s="62">
        <v>2</v>
      </c>
      <c r="B5" s="76">
        <v>41742</v>
      </c>
      <c r="C5" s="62" t="s">
        <v>55</v>
      </c>
      <c r="D5" s="64" t="s">
        <v>67</v>
      </c>
    </row>
    <row r="6" spans="1:4" ht="34.5">
      <c r="A6" s="62">
        <v>2.1</v>
      </c>
      <c r="B6" s="76">
        <v>41751</v>
      </c>
      <c r="C6" s="62" t="s">
        <v>55</v>
      </c>
      <c r="D6" s="64" t="s">
        <v>70</v>
      </c>
    </row>
    <row r="7" spans="1:4" ht="34.5">
      <c r="A7" s="62">
        <v>2.2000000000000002</v>
      </c>
      <c r="B7" s="76">
        <v>41772</v>
      </c>
      <c r="C7" s="62" t="s">
        <v>55</v>
      </c>
      <c r="D7" s="64" t="s">
        <v>71</v>
      </c>
    </row>
    <row r="8" spans="1:4">
      <c r="A8" s="62">
        <v>2.2999999999999998</v>
      </c>
      <c r="B8" s="76">
        <v>41779</v>
      </c>
      <c r="C8" s="62" t="s">
        <v>55</v>
      </c>
      <c r="D8" s="64" t="s">
        <v>74</v>
      </c>
    </row>
    <row r="9" spans="1:4">
      <c r="A9" s="62">
        <v>2.4</v>
      </c>
      <c r="B9" s="76"/>
      <c r="C9" s="62" t="s">
        <v>55</v>
      </c>
      <c r="D9" s="63" t="s">
        <v>75</v>
      </c>
    </row>
    <row r="10" spans="1:4" ht="189.75">
      <c r="A10" s="62">
        <v>3</v>
      </c>
      <c r="B10" s="76">
        <v>42242</v>
      </c>
      <c r="C10" s="62" t="s">
        <v>55</v>
      </c>
      <c r="D10" s="64" t="s">
        <v>83</v>
      </c>
    </row>
    <row r="11" spans="1:4" ht="86.25">
      <c r="A11" s="62">
        <v>3.1</v>
      </c>
      <c r="B11" s="76">
        <v>42249</v>
      </c>
      <c r="C11" s="62" t="s">
        <v>55</v>
      </c>
      <c r="D11" s="64" t="s">
        <v>84</v>
      </c>
    </row>
    <row r="12" spans="1:4" ht="51.75">
      <c r="A12" s="62">
        <v>3.2</v>
      </c>
      <c r="B12" s="76">
        <v>42291</v>
      </c>
      <c r="C12" s="62" t="s">
        <v>55</v>
      </c>
      <c r="D12" s="64" t="s">
        <v>85</v>
      </c>
    </row>
    <row r="13" spans="1:4" ht="34.5">
      <c r="A13" s="62">
        <v>3.3</v>
      </c>
      <c r="B13" s="76">
        <v>42297</v>
      </c>
      <c r="C13" s="62" t="s">
        <v>55</v>
      </c>
      <c r="D13" s="64" t="s">
        <v>86</v>
      </c>
    </row>
    <row r="14" spans="1:4">
      <c r="A14" s="62">
        <v>3.4</v>
      </c>
      <c r="B14" s="76">
        <v>42922</v>
      </c>
      <c r="C14" s="62" t="s">
        <v>87</v>
      </c>
      <c r="D14" s="64" t="s">
        <v>88</v>
      </c>
    </row>
    <row r="15" spans="1:4" ht="34.5">
      <c r="A15" s="62">
        <v>4</v>
      </c>
      <c r="B15" s="76">
        <v>42925</v>
      </c>
      <c r="C15" s="62" t="s">
        <v>87</v>
      </c>
      <c r="D15" s="64" t="s">
        <v>89</v>
      </c>
    </row>
    <row r="16" spans="1:4" ht="34.5">
      <c r="A16" s="62">
        <v>4.0999999999999996</v>
      </c>
      <c r="B16" s="76" t="s">
        <v>99</v>
      </c>
      <c r="C16" s="62" t="s">
        <v>87</v>
      </c>
      <c r="D16" s="64" t="s">
        <v>94</v>
      </c>
    </row>
    <row r="17" spans="1:4" ht="34.5">
      <c r="A17" s="62">
        <v>4.2</v>
      </c>
      <c r="B17" s="76" t="s">
        <v>100</v>
      </c>
      <c r="C17" s="62" t="s">
        <v>87</v>
      </c>
      <c r="D17" s="64" t="s">
        <v>97</v>
      </c>
    </row>
    <row r="18" spans="1:4" ht="34.5">
      <c r="A18" s="62">
        <v>4.3</v>
      </c>
      <c r="B18" s="76" t="s">
        <v>101</v>
      </c>
      <c r="C18" s="62" t="s">
        <v>87</v>
      </c>
      <c r="D18" s="64" t="s">
        <v>102</v>
      </c>
    </row>
  </sheetData>
  <mergeCells count="1">
    <mergeCell ref="A1:D1"/>
  </mergeCells>
  <phoneticPr fontId="37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OQC</vt:lpstr>
      <vt:lpstr>1.CAV기존</vt:lpstr>
      <vt:lpstr>2.CAV기존</vt:lpstr>
      <vt:lpstr>3.CAV기존</vt:lpstr>
      <vt:lpstr>4.CAV기존</vt:lpstr>
      <vt:lpstr>OOC</vt:lpstr>
      <vt:lpstr>Drawing</vt:lpstr>
      <vt:lpstr>Setup</vt:lpstr>
      <vt:lpstr>Revision</vt:lpstr>
      <vt:lpstr>'1.CAV기존'!CMMVersion</vt:lpstr>
      <vt:lpstr>'3.CAV기존'!CMMVersion</vt:lpstr>
      <vt:lpstr>'4.CAV기존'!CMMVersion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임정택</cp:lastModifiedBy>
  <dcterms:created xsi:type="dcterms:W3CDTF">2012-05-22T11:55:56Z</dcterms:created>
  <dcterms:modified xsi:type="dcterms:W3CDTF">2025-12-15T00:44:31Z</dcterms:modified>
</cp:coreProperties>
</file>